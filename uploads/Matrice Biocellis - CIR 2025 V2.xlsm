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comments6.xml" ContentType="application/vnd.openxmlformats-officedocument.spreadsheetml.comments+xml"/>
  <Override PartName="/xl/threadedComments/threadedComment5.xml" ContentType="application/vnd.ms-excel.threadedcomments+xml"/>
  <Override PartName="/xl/comments7.xml" ContentType="application/vnd.openxmlformats-officedocument.spreadsheetml.comments+xml"/>
  <Override PartName="/xl/threadedComments/threadedComment6.xml" ContentType="application/vnd.ms-excel.threadedcomments+xml"/>
  <Override PartName="/xl/drawings/drawing9.xml" ContentType="application/vnd.openxmlformats-officedocument.drawing+xml"/>
  <Override PartName="/xl/ctrlProps/ctrlProp17.xml" ContentType="application/vnd.ms-excel.controlproperties+xml"/>
  <Override PartName="/xl/comments8.xml" ContentType="application/vnd.openxmlformats-officedocument.spreadsheetml.comments+xml"/>
  <Override PartName="/xl/threadedComments/threadedComment7.xml" ContentType="application/vnd.ms-excel.threadedcomments+xml"/>
  <Override PartName="/xl/drawings/drawing10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omments9.xml" ContentType="application/vnd.openxmlformats-officedocument.spreadsheetml.comments+xml"/>
  <Override PartName="/xl/threadedComments/threadedComment8.xml" ContentType="application/vnd.ms-excel.threadedcomments+xml"/>
  <Override PartName="/xl/drawings/drawing11.xml" ContentType="application/vnd.openxmlformats-officedocument.drawing+xml"/>
  <Override PartName="/xl/ctrlProps/ctrlProp20.xml" ContentType="application/vnd.ms-excel.controlproperties+xml"/>
  <Override PartName="/xl/drawings/drawing12.xml" ContentType="application/vnd.openxmlformats-officedocument.drawing+xml"/>
  <Override PartName="/xl/ctrlProps/ctrlProp21.xml" ContentType="application/vnd.ms-excel.controlproperties+xml"/>
  <Override PartName="/xl/comments10.xml" ContentType="application/vnd.openxmlformats-officedocument.spreadsheetml.comments+xml"/>
  <Override PartName="/xl/threadedComments/threadedComment9.xml" ContentType="application/vnd.ms-excel.threadedcomments+xml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4.xml" ContentType="application/vnd.openxmlformats-officedocument.drawing+xml"/>
  <Override PartName="/xl/ctrlProps/ctrlProp22.xml" ContentType="application/vnd.ms-excel.controlproperties+xml"/>
  <Override PartName="/xl/comments11.xml" ContentType="application/vnd.openxmlformats-officedocument.spreadsheetml.comments+xml"/>
  <Override PartName="/xl/threadedComments/threadedComment10.xml" ContentType="application/vnd.ms-excel.threadedcomments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P:\Account shares\Biotech\SYNTHELIS-BIOCELLIS\2025\2 - Valorisation des Dépenses\"/>
    </mc:Choice>
  </mc:AlternateContent>
  <xr:revisionPtr revIDLastSave="0" documentId="13_ncr:1_{D6E61191-339F-4EB1-B7E9-253968796649}" xr6:coauthVersionLast="47" xr6:coauthVersionMax="47" xr10:uidLastSave="{00000000-0000-0000-0000-000000000000}"/>
  <bookViews>
    <workbookView xWindow="28680" yWindow="0" windowWidth="29040" windowHeight="15720" tabRatio="902" activeTab="2" xr2:uid="{6B2A5226-62B7-4442-BF8C-17A9A5CE05E5}"/>
  </bookViews>
  <sheets>
    <sheet name="suivi évolution" sheetId="18" r:id="rId1"/>
    <sheet name="parametrage" sheetId="3" state="hidden" r:id="rId2"/>
    <sheet name="2069 A" sheetId="11" r:id="rId3"/>
    <sheet name="2069-A2-SD" sheetId="13" r:id="rId4"/>
    <sheet name="parametres chiffrage" sheetId="2" r:id="rId5"/>
    <sheet name="Verif VS 24" sheetId="14" r:id="rId6"/>
    <sheet name="SYNTHESE final" sheetId="29" state="hidden" r:id="rId7"/>
    <sheet name="SYNTHESE" sheetId="1" r:id="rId8"/>
    <sheet name="SYNTHESE_TS" sheetId="21" r:id="rId9"/>
    <sheet name="REP cout" sheetId="4" r:id="rId10"/>
    <sheet name="REP_cout_TS" sheetId="22" r:id="rId11"/>
    <sheet name="VALO_AMO" sheetId="6" r:id="rId12"/>
    <sheet name="AMO_TS" sheetId="23" r:id="rId13"/>
    <sheet name="Fiche pour valo" sheetId="31" r:id="rId14"/>
    <sheet name="HRECH V3" sheetId="35" r:id="rId15"/>
    <sheet name="HRECH V 8 avril" sheetId="36" r:id="rId16"/>
    <sheet name="VALO_PERSO" sheetId="8" r:id="rId17"/>
    <sheet name="PERSO_TS" sheetId="24" r:id="rId18"/>
    <sheet name="HTRAV 2023" sheetId="15" r:id="rId19"/>
    <sheet name="Calcul FF" sheetId="16" r:id="rId20"/>
    <sheet name="VALO_BREVET" sheetId="9" r:id="rId21"/>
    <sheet name="BREVET_TS" sheetId="25" r:id="rId22"/>
    <sheet name="VALO_ST" sheetId="10" r:id="rId23"/>
    <sheet name="Sous-traitance_TS" sheetId="26" r:id="rId24"/>
    <sheet name="VALO-autres dépenses CIR" sheetId="12" r:id="rId25"/>
    <sheet name="VEILLE_TS" sheetId="30" r:id="rId26"/>
    <sheet name="VALO_SUBV" sheetId="17" r:id="rId27"/>
    <sheet name="PPT" sheetId="20" r:id="rId28"/>
    <sheet name="check list" sheetId="7" r:id="rId29"/>
    <sheet name="Amélioration Matrice" sheetId="27" r:id="rId30"/>
    <sheet name="JEI" sheetId="19" r:id="rId31"/>
    <sheet name="JEI Jules" sheetId="28" r:id="rId32"/>
  </sheets>
  <externalReferences>
    <externalReference r:id="rId33"/>
    <externalReference r:id="rId34"/>
  </externalReferences>
  <definedNames>
    <definedName name="_xleta.AND" hidden="1" xlm="1">#NAME?</definedName>
    <definedName name="_xleta.IF" hidden="1" xlm="1">#NAME?</definedName>
    <definedName name="_xleta.IFS" hidden="1" xlm="1">#NAME?</definedName>
    <definedName name="_xleta.N" hidden="1" xlm="1">#NAME?</definedName>
    <definedName name="_xleta.NOT" hidden="1" xlm="1">#NAME?</definedName>
    <definedName name="_xleta.SUM" hidden="1" xlm="1">#NAME?</definedName>
    <definedName name="_xleta.T" hidden="1" xlm="1">#NAME?</definedName>
    <definedName name="_xleta.YEAR" hidden="1" xlm="1">#NAME?</definedName>
    <definedName name="ListActiPrim">'[1]Données Listes'!$G$2:$G$18</definedName>
    <definedName name="ListActiSec">'[1]Données Listes'!$H$2:$H$18</definedName>
    <definedName name="ListActiTechno">'[1]Données Listes'!$E$2:$E$32</definedName>
    <definedName name="ListCloture">'[1]Données Listes'!$B$2:$B$16</definedName>
    <definedName name="ListEffortRD">'[1]Données Listes'!$D$2:$D$7</definedName>
    <definedName name="ListFormeJuridique">'[1]Données Listes'!$C$2:$C$20</definedName>
    <definedName name="ListGestionCIR">'[1]Données Listes'!$F$2:$F$10</definedName>
    <definedName name="TypeSource">'[1]Données Listes'!$I$2:$I$9</definedName>
  </definedNames>
  <calcPr calcId="191028"/>
  <pivotCaches>
    <pivotCache cacheId="56" r:id="rId35"/>
    <pivotCache cacheId="57" r:id="rId3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36" l="1"/>
  <c r="E8" i="36"/>
  <c r="E9" i="36"/>
  <c r="Y9" i="8"/>
  <c r="Y6" i="8"/>
  <c r="Y7" i="8"/>
  <c r="Y8" i="8"/>
  <c r="Y10" i="8"/>
  <c r="Y11" i="8"/>
  <c r="F7" i="36"/>
  <c r="E7" i="36"/>
  <c r="E4" i="36"/>
  <c r="D12" i="16"/>
  <c r="E12" i="16"/>
  <c r="F12" i="16"/>
  <c r="G12" i="16"/>
  <c r="H12" i="16"/>
  <c r="Q10" i="8" l="1"/>
  <c r="Q11" i="8"/>
  <c r="V11" i="8" s="1"/>
  <c r="Y5" i="8"/>
  <c r="AQ12" i="8"/>
  <c r="AA12" i="8"/>
  <c r="B8" i="24"/>
  <c r="C8" i="24"/>
  <c r="D8" i="24"/>
  <c r="E8" i="24"/>
  <c r="F8" i="24"/>
  <c r="G8" i="24"/>
  <c r="H8" i="24"/>
  <c r="I8" i="24"/>
  <c r="J8" i="24"/>
  <c r="L8" i="24"/>
  <c r="R8" i="24"/>
  <c r="T8" i="24"/>
  <c r="V8" i="24"/>
  <c r="X8" i="24"/>
  <c r="AD8" i="24"/>
  <c r="AF8" i="24"/>
  <c r="AH8" i="24"/>
  <c r="AJ8" i="24"/>
  <c r="B9" i="24"/>
  <c r="C9" i="24"/>
  <c r="D9" i="24"/>
  <c r="E9" i="24"/>
  <c r="F9" i="24"/>
  <c r="G9" i="24"/>
  <c r="H9" i="24"/>
  <c r="I9" i="24"/>
  <c r="J9" i="24"/>
  <c r="L9" i="24"/>
  <c r="R9" i="24"/>
  <c r="T9" i="24"/>
  <c r="V9" i="24"/>
  <c r="X9" i="24"/>
  <c r="AD9" i="24"/>
  <c r="AF9" i="24"/>
  <c r="AH9" i="24"/>
  <c r="AJ9" i="24"/>
  <c r="P4" i="6" l="1"/>
  <c r="V5" i="10"/>
  <c r="O11" i="8"/>
  <c r="G10" i="36"/>
  <c r="H10" i="36" s="1"/>
  <c r="Y12" i="8"/>
  <c r="Z7" i="8"/>
  <c r="Z9" i="8"/>
  <c r="N8" i="24"/>
  <c r="Z10" i="8"/>
  <c r="O8" i="24" s="1"/>
  <c r="N9" i="24"/>
  <c r="Z11" i="8"/>
  <c r="O9" i="24" s="1"/>
  <c r="P11" i="8"/>
  <c r="R11" i="8"/>
  <c r="T11" i="8" s="1"/>
  <c r="S11" i="8"/>
  <c r="U11" i="8" s="1"/>
  <c r="AL36" i="36"/>
  <c r="AL35" i="36"/>
  <c r="D34" i="36"/>
  <c r="C34" i="36"/>
  <c r="AL34" i="36" s="1"/>
  <c r="AL33" i="36"/>
  <c r="AL32" i="36"/>
  <c r="AL31" i="36"/>
  <c r="AL30" i="36"/>
  <c r="AL29" i="36"/>
  <c r="AL28" i="36"/>
  <c r="AL25" i="36"/>
  <c r="AL24" i="36"/>
  <c r="AL23" i="36"/>
  <c r="AL22" i="36"/>
  <c r="AL21" i="36"/>
  <c r="AL20" i="36"/>
  <c r="T12" i="36"/>
  <c r="S12" i="36"/>
  <c r="R12" i="36"/>
  <c r="U12" i="36" s="1"/>
  <c r="G9" i="36"/>
  <c r="H9" i="36" s="1"/>
  <c r="T8" i="36"/>
  <c r="S8" i="36"/>
  <c r="R8" i="36"/>
  <c r="U8" i="36" s="1"/>
  <c r="V8" i="36" s="1"/>
  <c r="W8" i="36" s="1"/>
  <c r="F8" i="36"/>
  <c r="G8" i="36" s="1"/>
  <c r="H8" i="36" s="1"/>
  <c r="T7" i="36"/>
  <c r="S7" i="36"/>
  <c r="R7" i="36"/>
  <c r="U7" i="36" s="1"/>
  <c r="V7" i="36" s="1"/>
  <c r="W7" i="36" s="1"/>
  <c r="Z8" i="8"/>
  <c r="G7" i="36"/>
  <c r="H7" i="36" s="1"/>
  <c r="T6" i="36"/>
  <c r="S6" i="36"/>
  <c r="R6" i="36"/>
  <c r="U6" i="36" s="1"/>
  <c r="V6" i="36" s="1"/>
  <c r="W6" i="36" s="1"/>
  <c r="F6" i="36"/>
  <c r="G6" i="36" s="1"/>
  <c r="H6" i="36" s="1"/>
  <c r="T5" i="36"/>
  <c r="S5" i="36"/>
  <c r="R5" i="36"/>
  <c r="U5" i="36" s="1"/>
  <c r="V5" i="36" s="1"/>
  <c r="W5" i="36" s="1"/>
  <c r="F5" i="36"/>
  <c r="Z6" i="8" s="1"/>
  <c r="E5" i="36"/>
  <c r="G5" i="36" s="1"/>
  <c r="H5" i="36" s="1"/>
  <c r="I5" i="36" s="1"/>
  <c r="T4" i="36"/>
  <c r="T14" i="36" s="1"/>
  <c r="S4" i="36"/>
  <c r="S14" i="36" s="1"/>
  <c r="R4" i="36"/>
  <c r="F4" i="36"/>
  <c r="F12" i="36" s="1"/>
  <c r="C7" i="4"/>
  <c r="AA12" i="24"/>
  <c r="AQ14" i="8"/>
  <c r="S14" i="35"/>
  <c r="T14" i="35"/>
  <c r="R14" i="35"/>
  <c r="F11" i="35"/>
  <c r="G4" i="35"/>
  <c r="T12" i="35"/>
  <c r="S12" i="35"/>
  <c r="R12" i="35"/>
  <c r="U12" i="35" s="1"/>
  <c r="T8" i="35"/>
  <c r="S8" i="35"/>
  <c r="R8" i="35"/>
  <c r="U8" i="35" s="1"/>
  <c r="V8" i="35" s="1"/>
  <c r="W8" i="35" s="1"/>
  <c r="T7" i="35"/>
  <c r="S7" i="35"/>
  <c r="R7" i="35"/>
  <c r="U7" i="35" s="1"/>
  <c r="V7" i="35" s="1"/>
  <c r="W7" i="35" s="1"/>
  <c r="T6" i="35"/>
  <c r="S6" i="35"/>
  <c r="R6" i="35"/>
  <c r="U6" i="35" s="1"/>
  <c r="V6" i="35" s="1"/>
  <c r="W6" i="35" s="1"/>
  <c r="T5" i="35"/>
  <c r="S5" i="35"/>
  <c r="R5" i="35"/>
  <c r="U5" i="35" s="1"/>
  <c r="V5" i="35" s="1"/>
  <c r="W5" i="35" s="1"/>
  <c r="T4" i="35"/>
  <c r="S4" i="35"/>
  <c r="R4" i="35"/>
  <c r="U4" i="35" s="1"/>
  <c r="V4" i="35" s="1"/>
  <c r="W4" i="35" s="1"/>
  <c r="AL33" i="35"/>
  <c r="AL32" i="35"/>
  <c r="AL31" i="35"/>
  <c r="AL30" i="35"/>
  <c r="AL29" i="35"/>
  <c r="AL28" i="35"/>
  <c r="AL25" i="35"/>
  <c r="AL24" i="35"/>
  <c r="AL23" i="35"/>
  <c r="AL22" i="35"/>
  <c r="AL21" i="35"/>
  <c r="AL20" i="35"/>
  <c r="G9" i="35"/>
  <c r="H9" i="35" s="1"/>
  <c r="F8" i="35"/>
  <c r="G8" i="35" s="1"/>
  <c r="H8" i="35" s="1"/>
  <c r="F7" i="35"/>
  <c r="E7" i="35"/>
  <c r="G7" i="35" s="1"/>
  <c r="H7" i="35" s="1"/>
  <c r="I7" i="35" s="1"/>
  <c r="F6" i="35"/>
  <c r="G6" i="35" s="1"/>
  <c r="H6" i="35" s="1"/>
  <c r="F5" i="35"/>
  <c r="E5" i="35"/>
  <c r="G5" i="35" s="1"/>
  <c r="H5" i="35" s="1"/>
  <c r="I5" i="35" s="1"/>
  <c r="F4" i="35"/>
  <c r="E4" i="35"/>
  <c r="H4" i="35" s="1"/>
  <c r="I4" i="35" s="1"/>
  <c r="P25" i="1"/>
  <c r="D7" i="16"/>
  <c r="E7" i="16"/>
  <c r="G7" i="16" s="1"/>
  <c r="F7" i="16"/>
  <c r="H7" i="16" s="1"/>
  <c r="D8" i="16"/>
  <c r="E8" i="16"/>
  <c r="G8" i="16" s="1"/>
  <c r="F8" i="16"/>
  <c r="H8" i="16" s="1"/>
  <c r="D9" i="16"/>
  <c r="E9" i="16"/>
  <c r="G9" i="16" s="1"/>
  <c r="F9" i="16"/>
  <c r="H9" i="16" s="1"/>
  <c r="D10" i="16"/>
  <c r="E10" i="16"/>
  <c r="G10" i="16" s="1"/>
  <c r="F10" i="16"/>
  <c r="H10" i="16" s="1"/>
  <c r="D11" i="16"/>
  <c r="E11" i="16"/>
  <c r="G11" i="16" s="1"/>
  <c r="F11" i="16"/>
  <c r="H11" i="16" s="1"/>
  <c r="I7" i="36" l="1"/>
  <c r="E11" i="35"/>
  <c r="Z5" i="8"/>
  <c r="Z12" i="8" s="1"/>
  <c r="E12" i="36"/>
  <c r="K9" i="24"/>
  <c r="AB11" i="8"/>
  <c r="P9" i="24" s="1"/>
  <c r="W12" i="36"/>
  <c r="V12" i="36"/>
  <c r="U4" i="36"/>
  <c r="V4" i="36" s="1"/>
  <c r="W4" i="36" s="1"/>
  <c r="R14" i="36"/>
  <c r="G4" i="36"/>
  <c r="H4" i="36" s="1"/>
  <c r="I4" i="36" s="1"/>
  <c r="W12" i="35"/>
  <c r="V12" i="35"/>
  <c r="B7" i="24"/>
  <c r="C7" i="24"/>
  <c r="D7" i="24"/>
  <c r="E7" i="24"/>
  <c r="F7" i="24"/>
  <c r="G7" i="24"/>
  <c r="N7" i="24"/>
  <c r="O7" i="24"/>
  <c r="R7" i="24"/>
  <c r="T7" i="24"/>
  <c r="V7" i="24"/>
  <c r="X7" i="24"/>
  <c r="AA7" i="24"/>
  <c r="AD7" i="24"/>
  <c r="AF7" i="24"/>
  <c r="AH7" i="24"/>
  <c r="AJ7" i="24"/>
  <c r="P9" i="8"/>
  <c r="Q9" i="8"/>
  <c r="R9" i="8"/>
  <c r="S9" i="8"/>
  <c r="AB9" i="8"/>
  <c r="O9" i="8"/>
  <c r="H12" i="17"/>
  <c r="H16" i="17" s="1"/>
  <c r="V9" i="8" l="1"/>
  <c r="H7" i="24"/>
  <c r="T9" i="8"/>
  <c r="I7" i="24"/>
  <c r="U9" i="8"/>
  <c r="J7" i="24"/>
  <c r="P7" i="24"/>
  <c r="E7" i="22"/>
  <c r="E8" i="22"/>
  <c r="E6" i="22"/>
  <c r="B4" i="24"/>
  <c r="C4" i="24"/>
  <c r="D4" i="24"/>
  <c r="E4" i="24"/>
  <c r="F4" i="24"/>
  <c r="G4" i="24"/>
  <c r="R4" i="24"/>
  <c r="V4" i="24"/>
  <c r="B5" i="24"/>
  <c r="C5" i="24"/>
  <c r="D5" i="24"/>
  <c r="E5" i="24"/>
  <c r="F5" i="24"/>
  <c r="G5" i="24"/>
  <c r="R5" i="24"/>
  <c r="V5" i="24"/>
  <c r="AD5" i="24"/>
  <c r="AF5" i="24"/>
  <c r="AH5" i="24"/>
  <c r="AJ5" i="24"/>
  <c r="B6" i="24"/>
  <c r="C6" i="24"/>
  <c r="D6" i="24"/>
  <c r="E6" i="24"/>
  <c r="F6" i="24"/>
  <c r="G6" i="24"/>
  <c r="R6" i="24"/>
  <c r="T6" i="24"/>
  <c r="V6" i="24"/>
  <c r="X6" i="24"/>
  <c r="AD6" i="24"/>
  <c r="AF6" i="24"/>
  <c r="AH6" i="24"/>
  <c r="AJ6" i="24"/>
  <c r="O6" i="24"/>
  <c r="O5" i="24"/>
  <c r="N5" i="24"/>
  <c r="O4" i="24"/>
  <c r="P7" i="8"/>
  <c r="H5" i="24" s="1"/>
  <c r="Q7" i="8"/>
  <c r="R7" i="8"/>
  <c r="S7" i="8"/>
  <c r="J5" i="24" s="1"/>
  <c r="AG7" i="8"/>
  <c r="T5" i="24" s="1"/>
  <c r="AL7" i="8"/>
  <c r="X5" i="24" s="1"/>
  <c r="O7" i="8"/>
  <c r="O10" i="8"/>
  <c r="P10" i="8"/>
  <c r="R10" i="8"/>
  <c r="S10" i="8"/>
  <c r="K7" i="24" l="1"/>
  <c r="T7" i="8"/>
  <c r="N4" i="24"/>
  <c r="AB10" i="8"/>
  <c r="P8" i="24" s="1"/>
  <c r="N6" i="24"/>
  <c r="U7" i="8"/>
  <c r="I5" i="24"/>
  <c r="V7" i="8"/>
  <c r="AB7" i="8"/>
  <c r="P5" i="24" s="1"/>
  <c r="V10" i="8"/>
  <c r="K8" i="24" s="1"/>
  <c r="T10" i="8"/>
  <c r="U10" i="8"/>
  <c r="D6" i="16"/>
  <c r="E6" i="16"/>
  <c r="G6" i="16" s="1"/>
  <c r="F6" i="16"/>
  <c r="H6" i="16" s="1"/>
  <c r="O8" i="8"/>
  <c r="P8" i="8"/>
  <c r="H6" i="24" s="1"/>
  <c r="Q8" i="8"/>
  <c r="R8" i="8"/>
  <c r="I6" i="24" s="1"/>
  <c r="S8" i="8"/>
  <c r="J6" i="24" s="1"/>
  <c r="K5" i="24" l="1"/>
  <c r="V8" i="8"/>
  <c r="T8" i="8"/>
  <c r="U8" i="8"/>
  <c r="AB8" i="8"/>
  <c r="P6" i="24" s="1"/>
  <c r="AP4" i="8"/>
  <c r="Z4" i="8"/>
  <c r="J3" i="23"/>
  <c r="O2" i="24"/>
  <c r="AA2" i="24"/>
  <c r="W24" i="20"/>
  <c r="W23" i="20"/>
  <c r="W22" i="20"/>
  <c r="W20" i="20"/>
  <c r="W19" i="20"/>
  <c r="W18" i="20"/>
  <c r="W17" i="20"/>
  <c r="W16" i="20"/>
  <c r="W15" i="20"/>
  <c r="W14" i="20"/>
  <c r="W13" i="20"/>
  <c r="W12" i="20"/>
  <c r="W11" i="20"/>
  <c r="W10" i="20"/>
  <c r="W9" i="20"/>
  <c r="W8" i="20"/>
  <c r="W7" i="20"/>
  <c r="W6" i="20"/>
  <c r="AH24" i="20"/>
  <c r="AH23" i="20"/>
  <c r="AH22" i="20"/>
  <c r="AH20" i="20"/>
  <c r="AH19" i="20"/>
  <c r="AH18" i="20"/>
  <c r="AH17" i="20"/>
  <c r="AH16" i="20"/>
  <c r="AH15" i="20"/>
  <c r="AH14" i="20"/>
  <c r="AH13" i="20"/>
  <c r="AH12" i="20"/>
  <c r="AH11" i="20"/>
  <c r="AH10" i="20"/>
  <c r="AH9" i="20"/>
  <c r="AH8" i="20"/>
  <c r="AH7" i="20"/>
  <c r="AH6" i="20"/>
  <c r="D14" i="22"/>
  <c r="D13" i="22"/>
  <c r="D12" i="22"/>
  <c r="D11" i="22"/>
  <c r="D10" i="22"/>
  <c r="D9" i="22"/>
  <c r="D4" i="22"/>
  <c r="P21" i="6"/>
  <c r="J21" i="23" s="1"/>
  <c r="P20" i="6"/>
  <c r="J20" i="23" s="1"/>
  <c r="P19" i="6"/>
  <c r="J19" i="23" s="1"/>
  <c r="P18" i="6"/>
  <c r="J18" i="23" s="1"/>
  <c r="P17" i="6"/>
  <c r="J17" i="23" s="1"/>
  <c r="P16" i="6"/>
  <c r="J16" i="23" s="1"/>
  <c r="P15" i="6"/>
  <c r="J15" i="23" s="1"/>
  <c r="P14" i="6"/>
  <c r="J14" i="23" s="1"/>
  <c r="P13" i="6"/>
  <c r="J13" i="23" s="1"/>
  <c r="P12" i="6"/>
  <c r="J12" i="23" s="1"/>
  <c r="P11" i="6"/>
  <c r="J11" i="23" s="1"/>
  <c r="P10" i="6"/>
  <c r="J10" i="23" s="1"/>
  <c r="P9" i="6"/>
  <c r="J9" i="23" s="1"/>
  <c r="P8" i="6"/>
  <c r="J8" i="23" s="1"/>
  <c r="P7" i="6"/>
  <c r="J7" i="23" s="1"/>
  <c r="P3" i="6"/>
  <c r="C5" i="4"/>
  <c r="D5" i="22" s="1"/>
  <c r="D7" i="22"/>
  <c r="K6" i="24" l="1"/>
  <c r="O3" i="24"/>
  <c r="O10" i="24" s="1"/>
  <c r="N3" i="24"/>
  <c r="N10" i="24" s="1"/>
  <c r="AH25" i="20"/>
  <c r="M231" i="28" l="1"/>
  <c r="P6" i="8"/>
  <c r="Q6" i="8"/>
  <c r="R6" i="8"/>
  <c r="I4" i="24" s="1"/>
  <c r="S6" i="8"/>
  <c r="J4" i="24" s="1"/>
  <c r="R5" i="8"/>
  <c r="S5" i="8"/>
  <c r="P5" i="8"/>
  <c r="Q5" i="8"/>
  <c r="I14" i="31"/>
  <c r="I13" i="31"/>
  <c r="I12" i="31"/>
  <c r="W11" i="8" s="1"/>
  <c r="I11" i="31"/>
  <c r="W10" i="8" s="1"/>
  <c r="I10" i="31"/>
  <c r="W9" i="8" s="1"/>
  <c r="I9" i="31"/>
  <c r="W8" i="8" s="1"/>
  <c r="I8" i="31"/>
  <c r="W7" i="8" s="1"/>
  <c r="I7" i="31"/>
  <c r="W6" i="8" s="1"/>
  <c r="I6" i="31"/>
  <c r="I5" i="31"/>
  <c r="W5" i="8" s="1"/>
  <c r="E3" i="30"/>
  <c r="E4" i="30"/>
  <c r="E5" i="30"/>
  <c r="E6" i="30"/>
  <c r="E7" i="30"/>
  <c r="E8" i="30"/>
  <c r="E9" i="30"/>
  <c r="E10" i="30"/>
  <c r="E11" i="30"/>
  <c r="E12" i="30"/>
  <c r="E2" i="30"/>
  <c r="D3" i="30"/>
  <c r="D4" i="30"/>
  <c r="D5" i="30"/>
  <c r="D6" i="30"/>
  <c r="D7" i="30"/>
  <c r="D8" i="30"/>
  <c r="D9" i="30"/>
  <c r="D10" i="30"/>
  <c r="D11" i="30"/>
  <c r="D12" i="30"/>
  <c r="D2" i="30"/>
  <c r="C3" i="30"/>
  <c r="C4" i="30"/>
  <c r="C5" i="30"/>
  <c r="C6" i="30"/>
  <c r="C7" i="30"/>
  <c r="C8" i="30"/>
  <c r="C9" i="30"/>
  <c r="C10" i="30"/>
  <c r="C11" i="30"/>
  <c r="C12" i="30"/>
  <c r="C2" i="30"/>
  <c r="E44" i="28"/>
  <c r="D44" i="28"/>
  <c r="C44" i="28"/>
  <c r="B44" i="28"/>
  <c r="E46" i="28"/>
  <c r="D46" i="28"/>
  <c r="C46" i="28"/>
  <c r="B46" i="28"/>
  <c r="E48" i="28"/>
  <c r="D48" i="28"/>
  <c r="C48" i="28"/>
  <c r="B48" i="28"/>
  <c r="E50" i="28"/>
  <c r="D50" i="28"/>
  <c r="C50" i="28"/>
  <c r="B50" i="28"/>
  <c r="E52" i="28"/>
  <c r="D52" i="28"/>
  <c r="C52" i="28"/>
  <c r="B52" i="28"/>
  <c r="E54" i="28"/>
  <c r="D54" i="28"/>
  <c r="C54" i="28"/>
  <c r="B54" i="28"/>
  <c r="E56" i="28"/>
  <c r="D56" i="28"/>
  <c r="C56" i="28"/>
  <c r="B56" i="28"/>
  <c r="E58" i="28"/>
  <c r="D58" i="28"/>
  <c r="C58" i="28"/>
  <c r="B58" i="28"/>
  <c r="E60" i="28"/>
  <c r="D60" i="28"/>
  <c r="C60" i="28"/>
  <c r="B60" i="28"/>
  <c r="E62" i="28"/>
  <c r="D62" i="28"/>
  <c r="C62" i="28"/>
  <c r="B62" i="28"/>
  <c r="E64" i="28"/>
  <c r="D64" i="28"/>
  <c r="C64" i="28"/>
  <c r="B64" i="28"/>
  <c r="E66" i="28"/>
  <c r="D66" i="28"/>
  <c r="C66" i="28"/>
  <c r="B66" i="28"/>
  <c r="E68" i="28"/>
  <c r="D68" i="28"/>
  <c r="C68" i="28"/>
  <c r="B68" i="28"/>
  <c r="E70" i="28"/>
  <c r="D70" i="28"/>
  <c r="C70" i="28"/>
  <c r="B70" i="28"/>
  <c r="E72" i="28"/>
  <c r="D72" i="28"/>
  <c r="C72" i="28"/>
  <c r="B72" i="28"/>
  <c r="E74" i="28"/>
  <c r="D74" i="28"/>
  <c r="C74" i="28"/>
  <c r="B74" i="28"/>
  <c r="E76" i="28"/>
  <c r="D76" i="28"/>
  <c r="C76" i="28"/>
  <c r="B76" i="28"/>
  <c r="E78" i="28"/>
  <c r="D78" i="28"/>
  <c r="C78" i="28"/>
  <c r="B78" i="28"/>
  <c r="E80" i="28"/>
  <c r="D80" i="28"/>
  <c r="C80" i="28"/>
  <c r="B80" i="28"/>
  <c r="E82" i="28"/>
  <c r="D82" i="28"/>
  <c r="C82" i="28"/>
  <c r="B82" i="28"/>
  <c r="E84" i="28"/>
  <c r="D84" i="28"/>
  <c r="C84" i="28"/>
  <c r="B84" i="28"/>
  <c r="E86" i="28"/>
  <c r="D86" i="28"/>
  <c r="C86" i="28"/>
  <c r="B86" i="28"/>
  <c r="E106" i="28"/>
  <c r="D106" i="28"/>
  <c r="B106" i="28"/>
  <c r="E108" i="28"/>
  <c r="D108" i="28"/>
  <c r="B108" i="28"/>
  <c r="F110" i="28"/>
  <c r="E110" i="28"/>
  <c r="D110" i="28"/>
  <c r="B110" i="28"/>
  <c r="F112" i="28"/>
  <c r="E112" i="28"/>
  <c r="D112" i="28"/>
  <c r="B112" i="28"/>
  <c r="F114" i="28"/>
  <c r="E114" i="28"/>
  <c r="D114" i="28"/>
  <c r="B114" i="28"/>
  <c r="F116" i="28"/>
  <c r="E116" i="28"/>
  <c r="D116" i="28"/>
  <c r="B116" i="28"/>
  <c r="F118" i="28"/>
  <c r="E118" i="28"/>
  <c r="D118" i="28"/>
  <c r="B118" i="28"/>
  <c r="F120" i="28"/>
  <c r="E120" i="28"/>
  <c r="D120" i="28"/>
  <c r="B120" i="28"/>
  <c r="F122" i="28"/>
  <c r="E122" i="28"/>
  <c r="D122" i="28"/>
  <c r="B122" i="28"/>
  <c r="F124" i="28"/>
  <c r="E124" i="28"/>
  <c r="D124" i="28"/>
  <c r="B124" i="28"/>
  <c r="F126" i="28"/>
  <c r="E126" i="28"/>
  <c r="D126" i="28"/>
  <c r="B126" i="28"/>
  <c r="F128" i="28"/>
  <c r="E128" i="28"/>
  <c r="D128" i="28"/>
  <c r="B128" i="28"/>
  <c r="F130" i="28"/>
  <c r="E130" i="28"/>
  <c r="D130" i="28"/>
  <c r="B130" i="28"/>
  <c r="F132" i="28"/>
  <c r="E132" i="28"/>
  <c r="D132" i="28"/>
  <c r="B132" i="28"/>
  <c r="F134" i="28"/>
  <c r="E134" i="28"/>
  <c r="D134" i="28"/>
  <c r="B134" i="28"/>
  <c r="F136" i="28"/>
  <c r="E136" i="28"/>
  <c r="D136" i="28"/>
  <c r="B136" i="28"/>
  <c r="F138" i="28"/>
  <c r="E138" i="28"/>
  <c r="D138" i="28"/>
  <c r="B138" i="28"/>
  <c r="F140" i="28"/>
  <c r="E140" i="28"/>
  <c r="D140" i="28"/>
  <c r="B140" i="28"/>
  <c r="F142" i="28"/>
  <c r="E142" i="28"/>
  <c r="D142" i="28"/>
  <c r="B142" i="28"/>
  <c r="F144" i="28"/>
  <c r="E144" i="28"/>
  <c r="D144" i="28"/>
  <c r="B144" i="28"/>
  <c r="F146" i="28"/>
  <c r="E146" i="28"/>
  <c r="D146" i="28"/>
  <c r="B146" i="28"/>
  <c r="F148" i="28"/>
  <c r="E148" i="28"/>
  <c r="D148" i="28"/>
  <c r="B148" i="28"/>
  <c r="E169" i="28"/>
  <c r="D169" i="28"/>
  <c r="B169" i="28"/>
  <c r="E171" i="28"/>
  <c r="D171" i="28"/>
  <c r="B171" i="28"/>
  <c r="F173" i="28"/>
  <c r="E173" i="28"/>
  <c r="D173" i="28"/>
  <c r="B173" i="28"/>
  <c r="F175" i="28"/>
  <c r="E175" i="28"/>
  <c r="D175" i="28"/>
  <c r="B175" i="28"/>
  <c r="F177" i="28"/>
  <c r="E177" i="28"/>
  <c r="D177" i="28"/>
  <c r="B177" i="28"/>
  <c r="F179" i="28"/>
  <c r="E179" i="28"/>
  <c r="D179" i="28"/>
  <c r="B179" i="28"/>
  <c r="F181" i="28"/>
  <c r="E181" i="28"/>
  <c r="D181" i="28"/>
  <c r="B181" i="28"/>
  <c r="F183" i="28"/>
  <c r="E183" i="28"/>
  <c r="D183" i="28"/>
  <c r="B183" i="28"/>
  <c r="F185" i="28"/>
  <c r="E185" i="28"/>
  <c r="D185" i="28"/>
  <c r="B185" i="28"/>
  <c r="F187" i="28"/>
  <c r="E187" i="28"/>
  <c r="D187" i="28"/>
  <c r="B187" i="28"/>
  <c r="F189" i="28"/>
  <c r="E189" i="28"/>
  <c r="D189" i="28"/>
  <c r="B189" i="28"/>
  <c r="F191" i="28"/>
  <c r="E191" i="28"/>
  <c r="D191" i="28"/>
  <c r="B191" i="28"/>
  <c r="F193" i="28"/>
  <c r="E193" i="28"/>
  <c r="D193" i="28"/>
  <c r="B193" i="28"/>
  <c r="F195" i="28"/>
  <c r="E195" i="28"/>
  <c r="D195" i="28"/>
  <c r="B195" i="28"/>
  <c r="F197" i="28"/>
  <c r="E197" i="28"/>
  <c r="D197" i="28"/>
  <c r="B197" i="28"/>
  <c r="F199" i="28"/>
  <c r="E199" i="28"/>
  <c r="D199" i="28"/>
  <c r="B199" i="28"/>
  <c r="F201" i="28"/>
  <c r="E201" i="28"/>
  <c r="D201" i="28"/>
  <c r="B201" i="28"/>
  <c r="F203" i="28"/>
  <c r="E203" i="28"/>
  <c r="D203" i="28"/>
  <c r="B203" i="28"/>
  <c r="F205" i="28"/>
  <c r="E205" i="28"/>
  <c r="D205" i="28"/>
  <c r="B205" i="28"/>
  <c r="F207" i="28"/>
  <c r="E207" i="28"/>
  <c r="D207" i="28"/>
  <c r="B207" i="28"/>
  <c r="F209" i="28"/>
  <c r="E209" i="28"/>
  <c r="D209" i="28"/>
  <c r="B209" i="28"/>
  <c r="F211" i="28"/>
  <c r="E211" i="28"/>
  <c r="D211" i="28"/>
  <c r="B211" i="28"/>
  <c r="P231" i="28"/>
  <c r="O231" i="28" s="1"/>
  <c r="H231" i="28"/>
  <c r="I231" i="28" s="1"/>
  <c r="F231" i="28"/>
  <c r="G231" i="28" s="1"/>
  <c r="E231" i="28"/>
  <c r="D231" i="28"/>
  <c r="B231" i="28"/>
  <c r="H233" i="28"/>
  <c r="I233" i="28" s="1"/>
  <c r="F233" i="28"/>
  <c r="G233" i="28" s="1"/>
  <c r="E233" i="28"/>
  <c r="D233" i="28"/>
  <c r="B233" i="28"/>
  <c r="S235" i="28"/>
  <c r="R235" i="28"/>
  <c r="Q235" i="28"/>
  <c r="P235" i="28"/>
  <c r="O235" i="28" s="1"/>
  <c r="M235" i="28"/>
  <c r="H235" i="28"/>
  <c r="I235" i="28" s="1"/>
  <c r="F235" i="28"/>
  <c r="G235" i="28" s="1"/>
  <c r="E235" i="28"/>
  <c r="D235" i="28"/>
  <c r="B235" i="28"/>
  <c r="S237" i="28"/>
  <c r="R237" i="28"/>
  <c r="Q237" i="28"/>
  <c r="P237" i="28"/>
  <c r="O237" i="28" s="1"/>
  <c r="M237" i="28"/>
  <c r="H237" i="28"/>
  <c r="I237" i="28" s="1"/>
  <c r="F237" i="28"/>
  <c r="G237" i="28" s="1"/>
  <c r="E237" i="28"/>
  <c r="D237" i="28"/>
  <c r="B237" i="28"/>
  <c r="S239" i="28"/>
  <c r="R239" i="28"/>
  <c r="Q239" i="28"/>
  <c r="P239" i="28"/>
  <c r="O239" i="28" s="1"/>
  <c r="M239" i="28"/>
  <c r="H239" i="28"/>
  <c r="I239" i="28" s="1"/>
  <c r="F239" i="28"/>
  <c r="G239" i="28" s="1"/>
  <c r="E239" i="28"/>
  <c r="D239" i="28"/>
  <c r="B239" i="28"/>
  <c r="S241" i="28"/>
  <c r="R241" i="28"/>
  <c r="Q241" i="28"/>
  <c r="P241" i="28"/>
  <c r="O241" i="28" s="1"/>
  <c r="M241" i="28"/>
  <c r="H241" i="28"/>
  <c r="I241" i="28" s="1"/>
  <c r="F241" i="28"/>
  <c r="G241" i="28" s="1"/>
  <c r="E241" i="28"/>
  <c r="D241" i="28"/>
  <c r="B241" i="28"/>
  <c r="S243" i="28"/>
  <c r="R243" i="28"/>
  <c r="Q243" i="28"/>
  <c r="P243" i="28"/>
  <c r="O243" i="28" s="1"/>
  <c r="M243" i="28"/>
  <c r="H243" i="28"/>
  <c r="I243" i="28" s="1"/>
  <c r="F243" i="28"/>
  <c r="G243" i="28" s="1"/>
  <c r="E243" i="28"/>
  <c r="D243" i="28"/>
  <c r="B243" i="28"/>
  <c r="S245" i="28"/>
  <c r="R245" i="28"/>
  <c r="Q245" i="28"/>
  <c r="P245" i="28"/>
  <c r="O245" i="28" s="1"/>
  <c r="M245" i="28"/>
  <c r="H245" i="28"/>
  <c r="I245" i="28" s="1"/>
  <c r="F245" i="28"/>
  <c r="G245" i="28" s="1"/>
  <c r="E245" i="28"/>
  <c r="D245" i="28"/>
  <c r="B245" i="28"/>
  <c r="S247" i="28"/>
  <c r="R247" i="28"/>
  <c r="Q247" i="28"/>
  <c r="P247" i="28"/>
  <c r="O247" i="28" s="1"/>
  <c r="M247" i="28"/>
  <c r="H247" i="28"/>
  <c r="I247" i="28" s="1"/>
  <c r="F247" i="28"/>
  <c r="G247" i="28" s="1"/>
  <c r="E247" i="28"/>
  <c r="D247" i="28"/>
  <c r="B247" i="28"/>
  <c r="S249" i="28"/>
  <c r="R249" i="28"/>
  <c r="Q249" i="28"/>
  <c r="P249" i="28"/>
  <c r="O249" i="28" s="1"/>
  <c r="M249" i="28"/>
  <c r="H249" i="28"/>
  <c r="I249" i="28" s="1"/>
  <c r="F249" i="28"/>
  <c r="G249" i="28" s="1"/>
  <c r="E249" i="28"/>
  <c r="D249" i="28"/>
  <c r="B249" i="28"/>
  <c r="S251" i="28"/>
  <c r="R251" i="28"/>
  <c r="Q251" i="28"/>
  <c r="P251" i="28"/>
  <c r="O251" i="28" s="1"/>
  <c r="M251" i="28"/>
  <c r="H251" i="28"/>
  <c r="I251" i="28" s="1"/>
  <c r="F251" i="28"/>
  <c r="G251" i="28" s="1"/>
  <c r="E251" i="28"/>
  <c r="D251" i="28"/>
  <c r="B251" i="28"/>
  <c r="S253" i="28"/>
  <c r="R253" i="28"/>
  <c r="Q253" i="28"/>
  <c r="P253" i="28"/>
  <c r="O253" i="28" s="1"/>
  <c r="M253" i="28"/>
  <c r="H253" i="28"/>
  <c r="I253" i="28" s="1"/>
  <c r="F253" i="28"/>
  <c r="G253" i="28" s="1"/>
  <c r="E253" i="28"/>
  <c r="D253" i="28"/>
  <c r="B253" i="28"/>
  <c r="S255" i="28"/>
  <c r="R255" i="28"/>
  <c r="Q255" i="28"/>
  <c r="P255" i="28"/>
  <c r="O255" i="28" s="1"/>
  <c r="M255" i="28"/>
  <c r="H255" i="28"/>
  <c r="I255" i="28" s="1"/>
  <c r="F255" i="28"/>
  <c r="G255" i="28" s="1"/>
  <c r="E255" i="28"/>
  <c r="D255" i="28"/>
  <c r="B255" i="28"/>
  <c r="S257" i="28"/>
  <c r="R257" i="28"/>
  <c r="Q257" i="28"/>
  <c r="P257" i="28"/>
  <c r="O257" i="28" s="1"/>
  <c r="M257" i="28"/>
  <c r="H257" i="28"/>
  <c r="I257" i="28" s="1"/>
  <c r="F257" i="28"/>
  <c r="G257" i="28" s="1"/>
  <c r="E257" i="28"/>
  <c r="D257" i="28"/>
  <c r="B257" i="28"/>
  <c r="S259" i="28"/>
  <c r="R259" i="28"/>
  <c r="Q259" i="28"/>
  <c r="P259" i="28"/>
  <c r="O259" i="28" s="1"/>
  <c r="M259" i="28"/>
  <c r="H259" i="28"/>
  <c r="I259" i="28" s="1"/>
  <c r="F259" i="28"/>
  <c r="G259" i="28" s="1"/>
  <c r="E259" i="28"/>
  <c r="D259" i="28"/>
  <c r="B259" i="28"/>
  <c r="S261" i="28"/>
  <c r="R261" i="28"/>
  <c r="Q261" i="28"/>
  <c r="P261" i="28"/>
  <c r="O261" i="28" s="1"/>
  <c r="M261" i="28"/>
  <c r="H261" i="28"/>
  <c r="I261" i="28" s="1"/>
  <c r="F261" i="28"/>
  <c r="G261" i="28" s="1"/>
  <c r="E261" i="28"/>
  <c r="D261" i="28"/>
  <c r="B261" i="28"/>
  <c r="S263" i="28"/>
  <c r="R263" i="28"/>
  <c r="Q263" i="28"/>
  <c r="P263" i="28"/>
  <c r="O263" i="28" s="1"/>
  <c r="M263" i="28"/>
  <c r="H263" i="28"/>
  <c r="I263" i="28" s="1"/>
  <c r="F263" i="28"/>
  <c r="G263" i="28" s="1"/>
  <c r="E263" i="28"/>
  <c r="D263" i="28"/>
  <c r="B263" i="28"/>
  <c r="S265" i="28"/>
  <c r="R265" i="28"/>
  <c r="Q265" i="28"/>
  <c r="P265" i="28"/>
  <c r="O265" i="28" s="1"/>
  <c r="M265" i="28"/>
  <c r="H265" i="28"/>
  <c r="I265" i="28" s="1"/>
  <c r="F265" i="28"/>
  <c r="G265" i="28" s="1"/>
  <c r="E265" i="28"/>
  <c r="D265" i="28"/>
  <c r="B265" i="28"/>
  <c r="S267" i="28"/>
  <c r="R267" i="28"/>
  <c r="Q267" i="28"/>
  <c r="P267" i="28"/>
  <c r="O267" i="28" s="1"/>
  <c r="M267" i="28"/>
  <c r="H267" i="28"/>
  <c r="I267" i="28" s="1"/>
  <c r="F267" i="28"/>
  <c r="G267" i="28" s="1"/>
  <c r="E267" i="28"/>
  <c r="D267" i="28"/>
  <c r="B267" i="28"/>
  <c r="S269" i="28"/>
  <c r="R269" i="28"/>
  <c r="Q269" i="28"/>
  <c r="P269" i="28"/>
  <c r="O269" i="28" s="1"/>
  <c r="M269" i="28"/>
  <c r="H269" i="28"/>
  <c r="I269" i="28" s="1"/>
  <c r="F269" i="28"/>
  <c r="G269" i="28" s="1"/>
  <c r="E269" i="28"/>
  <c r="D269" i="28"/>
  <c r="B269" i="28"/>
  <c r="S271" i="28"/>
  <c r="R271" i="28"/>
  <c r="Q271" i="28"/>
  <c r="P271" i="28"/>
  <c r="O271" i="28" s="1"/>
  <c r="M271" i="28"/>
  <c r="H271" i="28"/>
  <c r="I271" i="28" s="1"/>
  <c r="F271" i="28"/>
  <c r="G271" i="28" s="1"/>
  <c r="E271" i="28"/>
  <c r="D271" i="28"/>
  <c r="B271" i="28"/>
  <c r="S273" i="28"/>
  <c r="R273" i="28"/>
  <c r="Q273" i="28"/>
  <c r="P273" i="28"/>
  <c r="O273" i="28" s="1"/>
  <c r="M273" i="28"/>
  <c r="H273" i="28"/>
  <c r="I273" i="28" s="1"/>
  <c r="F273" i="28"/>
  <c r="G273" i="28" s="1"/>
  <c r="E273" i="28"/>
  <c r="D273" i="28"/>
  <c r="B273" i="28"/>
  <c r="E45" i="28"/>
  <c r="D45" i="28"/>
  <c r="I294" i="28" s="1"/>
  <c r="C45" i="28"/>
  <c r="H294" i="28" s="1"/>
  <c r="B45" i="28"/>
  <c r="E49" i="28"/>
  <c r="D49" i="28"/>
  <c r="I296" i="28" s="1"/>
  <c r="C49" i="28"/>
  <c r="H296" i="28" s="1"/>
  <c r="B49" i="28"/>
  <c r="E53" i="28"/>
  <c r="D53" i="28"/>
  <c r="C53" i="28"/>
  <c r="B53" i="28"/>
  <c r="E57" i="28"/>
  <c r="D57" i="28"/>
  <c r="C57" i="28"/>
  <c r="B57" i="28"/>
  <c r="E61" i="28"/>
  <c r="D61" i="28"/>
  <c r="C61" i="28"/>
  <c r="B61" i="28"/>
  <c r="E65" i="28"/>
  <c r="D65" i="28"/>
  <c r="C65" i="28"/>
  <c r="B65" i="28"/>
  <c r="E69" i="28"/>
  <c r="D69" i="28"/>
  <c r="C69" i="28"/>
  <c r="B69" i="28"/>
  <c r="E73" i="28"/>
  <c r="D73" i="28"/>
  <c r="C73" i="28"/>
  <c r="B73" i="28"/>
  <c r="E77" i="28"/>
  <c r="D77" i="28"/>
  <c r="C77" i="28"/>
  <c r="B77" i="28"/>
  <c r="E81" i="28"/>
  <c r="D81" i="28"/>
  <c r="C81" i="28"/>
  <c r="B81" i="28"/>
  <c r="E85" i="28"/>
  <c r="D85" i="28"/>
  <c r="C85" i="28"/>
  <c r="B85" i="28"/>
  <c r="E107" i="28"/>
  <c r="D107" i="28"/>
  <c r="B107" i="28"/>
  <c r="F111" i="28"/>
  <c r="E111" i="28"/>
  <c r="D111" i="28"/>
  <c r="B111" i="28"/>
  <c r="F115" i="28"/>
  <c r="E115" i="28"/>
  <c r="D115" i="28"/>
  <c r="B115" i="28"/>
  <c r="F119" i="28"/>
  <c r="E119" i="28"/>
  <c r="D119" i="28"/>
  <c r="B119" i="28"/>
  <c r="F123" i="28"/>
  <c r="E123" i="28"/>
  <c r="D123" i="28"/>
  <c r="B123" i="28"/>
  <c r="F127" i="28"/>
  <c r="E127" i="28"/>
  <c r="D127" i="28"/>
  <c r="B127" i="28"/>
  <c r="F131" i="28"/>
  <c r="E131" i="28"/>
  <c r="D131" i="28"/>
  <c r="B131" i="28"/>
  <c r="F135" i="28"/>
  <c r="E135" i="28"/>
  <c r="D135" i="28"/>
  <c r="B135" i="28"/>
  <c r="F139" i="28"/>
  <c r="E139" i="28"/>
  <c r="D139" i="28"/>
  <c r="B139" i="28"/>
  <c r="F143" i="28"/>
  <c r="E143" i="28"/>
  <c r="D143" i="28"/>
  <c r="B143" i="28"/>
  <c r="F147" i="28"/>
  <c r="E147" i="28"/>
  <c r="D147" i="28"/>
  <c r="B147" i="28"/>
  <c r="E170" i="28"/>
  <c r="D170" i="28"/>
  <c r="B170" i="28"/>
  <c r="F174" i="28"/>
  <c r="E174" i="28"/>
  <c r="D174" i="28"/>
  <c r="B174" i="28"/>
  <c r="F178" i="28"/>
  <c r="E178" i="28"/>
  <c r="D178" i="28"/>
  <c r="B178" i="28"/>
  <c r="F182" i="28"/>
  <c r="E182" i="28"/>
  <c r="D182" i="28"/>
  <c r="B182" i="28"/>
  <c r="F186" i="28"/>
  <c r="E186" i="28"/>
  <c r="D186" i="28"/>
  <c r="B186" i="28"/>
  <c r="F190" i="28"/>
  <c r="E190" i="28"/>
  <c r="D190" i="28"/>
  <c r="B190" i="28"/>
  <c r="F194" i="28"/>
  <c r="E194" i="28"/>
  <c r="D194" i="28"/>
  <c r="B194" i="28"/>
  <c r="F198" i="28"/>
  <c r="E198" i="28"/>
  <c r="D198" i="28"/>
  <c r="B198" i="28"/>
  <c r="F202" i="28"/>
  <c r="E202" i="28"/>
  <c r="D202" i="28"/>
  <c r="B202" i="28"/>
  <c r="F206" i="28"/>
  <c r="E206" i="28"/>
  <c r="D206" i="28"/>
  <c r="B206" i="28"/>
  <c r="F210" i="28"/>
  <c r="E210" i="28"/>
  <c r="D210" i="28"/>
  <c r="B210" i="28"/>
  <c r="P232" i="28"/>
  <c r="O232" i="28" s="1"/>
  <c r="M232" i="28"/>
  <c r="H232" i="28"/>
  <c r="I232" i="28" s="1"/>
  <c r="F232" i="28"/>
  <c r="G232" i="28" s="1"/>
  <c r="E232" i="28"/>
  <c r="J294" i="28" s="1"/>
  <c r="D232" i="28"/>
  <c r="K294" i="28" s="1"/>
  <c r="B232" i="28"/>
  <c r="B294" i="28" s="1"/>
  <c r="S236" i="28"/>
  <c r="E296" i="28" s="1"/>
  <c r="R236" i="28"/>
  <c r="D296" i="28" s="1"/>
  <c r="Q236" i="28"/>
  <c r="P236" i="28"/>
  <c r="O236" i="28" s="1"/>
  <c r="M236" i="28"/>
  <c r="H236" i="28"/>
  <c r="I236" i="28" s="1"/>
  <c r="F236" i="28"/>
  <c r="G236" i="28" s="1"/>
  <c r="E236" i="28"/>
  <c r="J296" i="28" s="1"/>
  <c r="D236" i="28"/>
  <c r="K296" i="28" s="1"/>
  <c r="B236" i="28"/>
  <c r="B296" i="28" s="1"/>
  <c r="S240" i="28"/>
  <c r="R240" i="28"/>
  <c r="Q240" i="28"/>
  <c r="P240" i="28"/>
  <c r="O240" i="28" s="1"/>
  <c r="M240" i="28"/>
  <c r="H240" i="28"/>
  <c r="I240" i="28" s="1"/>
  <c r="F240" i="28"/>
  <c r="G240" i="28" s="1"/>
  <c r="E240" i="28"/>
  <c r="D240" i="28"/>
  <c r="B240" i="28"/>
  <c r="S244" i="28"/>
  <c r="R244" i="28"/>
  <c r="Q244" i="28"/>
  <c r="P244" i="28"/>
  <c r="O244" i="28" s="1"/>
  <c r="M244" i="28"/>
  <c r="H244" i="28"/>
  <c r="I244" i="28" s="1"/>
  <c r="F244" i="28"/>
  <c r="G244" i="28" s="1"/>
  <c r="E244" i="28"/>
  <c r="D244" i="28"/>
  <c r="B244" i="28"/>
  <c r="S248" i="28"/>
  <c r="R248" i="28"/>
  <c r="Q248" i="28"/>
  <c r="P248" i="28"/>
  <c r="O248" i="28" s="1"/>
  <c r="M248" i="28"/>
  <c r="H248" i="28"/>
  <c r="I248" i="28" s="1"/>
  <c r="F248" i="28"/>
  <c r="G248" i="28" s="1"/>
  <c r="E248" i="28"/>
  <c r="D248" i="28"/>
  <c r="B248" i="28"/>
  <c r="S252" i="28"/>
  <c r="R252" i="28"/>
  <c r="Q252" i="28"/>
  <c r="P252" i="28"/>
  <c r="O252" i="28" s="1"/>
  <c r="M252" i="28"/>
  <c r="H252" i="28"/>
  <c r="I252" i="28" s="1"/>
  <c r="F252" i="28"/>
  <c r="G252" i="28" s="1"/>
  <c r="E252" i="28"/>
  <c r="D252" i="28"/>
  <c r="B252" i="28"/>
  <c r="S256" i="28"/>
  <c r="R256" i="28"/>
  <c r="Q256" i="28"/>
  <c r="P256" i="28"/>
  <c r="O256" i="28" s="1"/>
  <c r="M256" i="28"/>
  <c r="H256" i="28"/>
  <c r="I256" i="28" s="1"/>
  <c r="F256" i="28"/>
  <c r="G256" i="28" s="1"/>
  <c r="E256" i="28"/>
  <c r="D256" i="28"/>
  <c r="B256" i="28"/>
  <c r="S260" i="28"/>
  <c r="R260" i="28"/>
  <c r="Q260" i="28"/>
  <c r="P260" i="28"/>
  <c r="O260" i="28" s="1"/>
  <c r="M260" i="28"/>
  <c r="H260" i="28"/>
  <c r="I260" i="28" s="1"/>
  <c r="F260" i="28"/>
  <c r="G260" i="28" s="1"/>
  <c r="E260" i="28"/>
  <c r="D260" i="28"/>
  <c r="B260" i="28"/>
  <c r="S264" i="28"/>
  <c r="R264" i="28"/>
  <c r="Q264" i="28"/>
  <c r="P264" i="28"/>
  <c r="O264" i="28" s="1"/>
  <c r="M264" i="28"/>
  <c r="H264" i="28"/>
  <c r="I264" i="28" s="1"/>
  <c r="F264" i="28"/>
  <c r="G264" i="28" s="1"/>
  <c r="E264" i="28"/>
  <c r="D264" i="28"/>
  <c r="B264" i="28"/>
  <c r="S268" i="28"/>
  <c r="R268" i="28"/>
  <c r="Q268" i="28"/>
  <c r="P268" i="28"/>
  <c r="O268" i="28" s="1"/>
  <c r="M268" i="28"/>
  <c r="H268" i="28"/>
  <c r="I268" i="28" s="1"/>
  <c r="F268" i="28"/>
  <c r="G268" i="28" s="1"/>
  <c r="E268" i="28"/>
  <c r="D268" i="28"/>
  <c r="B268" i="28"/>
  <c r="S272" i="28"/>
  <c r="R272" i="28"/>
  <c r="Q272" i="28"/>
  <c r="P272" i="28"/>
  <c r="O272" i="28" s="1"/>
  <c r="M272" i="28"/>
  <c r="H272" i="28"/>
  <c r="I272" i="28" s="1"/>
  <c r="F272" i="28"/>
  <c r="G272" i="28" s="1"/>
  <c r="E272" i="28"/>
  <c r="D272" i="28"/>
  <c r="B272" i="28"/>
  <c r="E47" i="28"/>
  <c r="D47" i="28"/>
  <c r="I295" i="28" s="1"/>
  <c r="C47" i="28"/>
  <c r="H295" i="28" s="1"/>
  <c r="B47" i="28"/>
  <c r="E51" i="28"/>
  <c r="D51" i="28"/>
  <c r="C51" i="28"/>
  <c r="B51" i="28"/>
  <c r="E55" i="28"/>
  <c r="D55" i="28"/>
  <c r="C55" i="28"/>
  <c r="B55" i="28"/>
  <c r="E59" i="28"/>
  <c r="D59" i="28"/>
  <c r="C59" i="28"/>
  <c r="B59" i="28"/>
  <c r="E63" i="28"/>
  <c r="D63" i="28"/>
  <c r="C63" i="28"/>
  <c r="B63" i="28"/>
  <c r="E67" i="28"/>
  <c r="D67" i="28"/>
  <c r="C67" i="28"/>
  <c r="B67" i="28"/>
  <c r="E71" i="28"/>
  <c r="D71" i="28"/>
  <c r="C71" i="28"/>
  <c r="B71" i="28"/>
  <c r="E75" i="28"/>
  <c r="D75" i="28"/>
  <c r="C75" i="28"/>
  <c r="B75" i="28"/>
  <c r="E79" i="28"/>
  <c r="D79" i="28"/>
  <c r="C79" i="28"/>
  <c r="B79" i="28"/>
  <c r="E83" i="28"/>
  <c r="D83" i="28"/>
  <c r="C83" i="28"/>
  <c r="B83" i="28"/>
  <c r="F109" i="28"/>
  <c r="E109" i="28"/>
  <c r="D109" i="28"/>
  <c r="B109" i="28"/>
  <c r="F113" i="28"/>
  <c r="E113" i="28"/>
  <c r="D113" i="28"/>
  <c r="B113" i="28"/>
  <c r="F117" i="28"/>
  <c r="E117" i="28"/>
  <c r="D117" i="28"/>
  <c r="B117" i="28"/>
  <c r="F121" i="28"/>
  <c r="E121" i="28"/>
  <c r="D121" i="28"/>
  <c r="B121" i="28"/>
  <c r="F125" i="28"/>
  <c r="E125" i="28"/>
  <c r="D125" i="28"/>
  <c r="B125" i="28"/>
  <c r="F129" i="28"/>
  <c r="E129" i="28"/>
  <c r="D129" i="28"/>
  <c r="B129" i="28"/>
  <c r="F133" i="28"/>
  <c r="E133" i="28"/>
  <c r="D133" i="28"/>
  <c r="B133" i="28"/>
  <c r="F137" i="28"/>
  <c r="E137" i="28"/>
  <c r="D137" i="28"/>
  <c r="B137" i="28"/>
  <c r="F141" i="28"/>
  <c r="E141" i="28"/>
  <c r="D141" i="28"/>
  <c r="B141" i="28"/>
  <c r="F145" i="28"/>
  <c r="E145" i="28"/>
  <c r="D145" i="28"/>
  <c r="B145" i="28"/>
  <c r="F172" i="28"/>
  <c r="E172" i="28"/>
  <c r="D172" i="28"/>
  <c r="B172" i="28"/>
  <c r="F176" i="28"/>
  <c r="E176" i="28"/>
  <c r="D176" i="28"/>
  <c r="B176" i="28"/>
  <c r="F180" i="28"/>
  <c r="E180" i="28"/>
  <c r="D180" i="28"/>
  <c r="B180" i="28"/>
  <c r="F184" i="28"/>
  <c r="E184" i="28"/>
  <c r="D184" i="28"/>
  <c r="B184" i="28"/>
  <c r="F188" i="28"/>
  <c r="E188" i="28"/>
  <c r="D188" i="28"/>
  <c r="B188" i="28"/>
  <c r="F192" i="28"/>
  <c r="E192" i="28"/>
  <c r="D192" i="28"/>
  <c r="B192" i="28"/>
  <c r="F196" i="28"/>
  <c r="E196" i="28"/>
  <c r="D196" i="28"/>
  <c r="B196" i="28"/>
  <c r="F200" i="28"/>
  <c r="E200" i="28"/>
  <c r="D200" i="28"/>
  <c r="B200" i="28"/>
  <c r="F204" i="28"/>
  <c r="E204" i="28"/>
  <c r="D204" i="28"/>
  <c r="B204" i="28"/>
  <c r="F208" i="28"/>
  <c r="E208" i="28"/>
  <c r="D208" i="28"/>
  <c r="B208" i="28"/>
  <c r="S234" i="28"/>
  <c r="E295" i="28" s="1"/>
  <c r="R234" i="28"/>
  <c r="D295" i="28" s="1"/>
  <c r="Q234" i="28"/>
  <c r="P234" i="28"/>
  <c r="O234" i="28" s="1"/>
  <c r="M234" i="28"/>
  <c r="H234" i="28"/>
  <c r="I234" i="28" s="1"/>
  <c r="F234" i="28"/>
  <c r="G234" i="28" s="1"/>
  <c r="E234" i="28"/>
  <c r="J295" i="28" s="1"/>
  <c r="D234" i="28"/>
  <c r="K295" i="28" s="1"/>
  <c r="B234" i="28"/>
  <c r="B295" i="28" s="1"/>
  <c r="S238" i="28"/>
  <c r="R238" i="28"/>
  <c r="Q238" i="28"/>
  <c r="P238" i="28"/>
  <c r="O238" i="28" s="1"/>
  <c r="M238" i="28"/>
  <c r="H238" i="28"/>
  <c r="I238" i="28" s="1"/>
  <c r="F238" i="28"/>
  <c r="G238" i="28" s="1"/>
  <c r="E238" i="28"/>
  <c r="D238" i="28"/>
  <c r="B238" i="28"/>
  <c r="S242" i="28"/>
  <c r="R242" i="28"/>
  <c r="Q242" i="28"/>
  <c r="P242" i="28"/>
  <c r="O242" i="28" s="1"/>
  <c r="M242" i="28"/>
  <c r="H242" i="28"/>
  <c r="I242" i="28" s="1"/>
  <c r="F242" i="28"/>
  <c r="G242" i="28" s="1"/>
  <c r="E242" i="28"/>
  <c r="D242" i="28"/>
  <c r="B242" i="28"/>
  <c r="S246" i="28"/>
  <c r="R246" i="28"/>
  <c r="Q246" i="28"/>
  <c r="P246" i="28"/>
  <c r="O246" i="28" s="1"/>
  <c r="M246" i="28"/>
  <c r="H246" i="28"/>
  <c r="I246" i="28" s="1"/>
  <c r="F246" i="28"/>
  <c r="G246" i="28" s="1"/>
  <c r="E246" i="28"/>
  <c r="D246" i="28"/>
  <c r="B246" i="28"/>
  <c r="S250" i="28"/>
  <c r="R250" i="28"/>
  <c r="Q250" i="28"/>
  <c r="P250" i="28"/>
  <c r="O250" i="28" s="1"/>
  <c r="M250" i="28"/>
  <c r="H250" i="28"/>
  <c r="I250" i="28" s="1"/>
  <c r="F250" i="28"/>
  <c r="G250" i="28" s="1"/>
  <c r="E250" i="28"/>
  <c r="D250" i="28"/>
  <c r="B250" i="28"/>
  <c r="S254" i="28"/>
  <c r="R254" i="28"/>
  <c r="Q254" i="28"/>
  <c r="P254" i="28"/>
  <c r="O254" i="28" s="1"/>
  <c r="M254" i="28"/>
  <c r="H254" i="28"/>
  <c r="I254" i="28" s="1"/>
  <c r="F254" i="28"/>
  <c r="G254" i="28" s="1"/>
  <c r="E254" i="28"/>
  <c r="D254" i="28"/>
  <c r="B254" i="28"/>
  <c r="S258" i="28"/>
  <c r="R258" i="28"/>
  <c r="Q258" i="28"/>
  <c r="P258" i="28"/>
  <c r="O258" i="28" s="1"/>
  <c r="M258" i="28"/>
  <c r="H258" i="28"/>
  <c r="I258" i="28" s="1"/>
  <c r="F258" i="28"/>
  <c r="G258" i="28" s="1"/>
  <c r="E258" i="28"/>
  <c r="D258" i="28"/>
  <c r="B258" i="28"/>
  <c r="S262" i="28"/>
  <c r="R262" i="28"/>
  <c r="Q262" i="28"/>
  <c r="P262" i="28"/>
  <c r="O262" i="28" s="1"/>
  <c r="M262" i="28"/>
  <c r="H262" i="28"/>
  <c r="I262" i="28" s="1"/>
  <c r="F262" i="28"/>
  <c r="G262" i="28" s="1"/>
  <c r="E262" i="28"/>
  <c r="D262" i="28"/>
  <c r="B262" i="28"/>
  <c r="S266" i="28"/>
  <c r="R266" i="28"/>
  <c r="Q266" i="28"/>
  <c r="P266" i="28"/>
  <c r="O266" i="28" s="1"/>
  <c r="M266" i="28"/>
  <c r="H266" i="28"/>
  <c r="I266" i="28" s="1"/>
  <c r="F266" i="28"/>
  <c r="G266" i="28" s="1"/>
  <c r="E266" i="28"/>
  <c r="D266" i="28"/>
  <c r="B266" i="28"/>
  <c r="S270" i="28"/>
  <c r="R270" i="28"/>
  <c r="Q270" i="28"/>
  <c r="P270" i="28"/>
  <c r="O270" i="28" s="1"/>
  <c r="M270" i="28"/>
  <c r="H270" i="28"/>
  <c r="I270" i="28" s="1"/>
  <c r="F270" i="28"/>
  <c r="G270" i="28" s="1"/>
  <c r="E270" i="28"/>
  <c r="D270" i="28"/>
  <c r="B270" i="28"/>
  <c r="J24" i="16"/>
  <c r="H1" i="8"/>
  <c r="I1" i="8" s="1"/>
  <c r="J1" i="8" s="1"/>
  <c r="K1" i="8" s="1"/>
  <c r="L1" i="8" s="1"/>
  <c r="M1" i="8" s="1"/>
  <c r="X11" i="8" l="1"/>
  <c r="M9" i="24" s="1"/>
  <c r="AO11" i="8"/>
  <c r="AP11" i="8"/>
  <c r="BC11" i="8"/>
  <c r="AM9" i="24" s="1"/>
  <c r="AC11" i="8"/>
  <c r="BB11" i="8"/>
  <c r="AL9" i="24" s="1"/>
  <c r="BB10" i="8"/>
  <c r="AL8" i="24" s="1"/>
  <c r="BC10" i="8"/>
  <c r="AM8" i="24" s="1"/>
  <c r="AO9" i="8"/>
  <c r="BC9" i="8"/>
  <c r="AM7" i="24" s="1"/>
  <c r="AC9" i="8"/>
  <c r="BB9" i="8"/>
  <c r="AL7" i="24" s="1"/>
  <c r="L7" i="24"/>
  <c r="X9" i="8"/>
  <c r="M7" i="24" s="1"/>
  <c r="M233" i="28"/>
  <c r="L4" i="24"/>
  <c r="L6" i="24"/>
  <c r="AO8" i="8"/>
  <c r="Z6" i="24" s="1"/>
  <c r="AP8" i="8"/>
  <c r="AA6" i="24" s="1"/>
  <c r="BC7" i="8"/>
  <c r="AM5" i="24" s="1"/>
  <c r="L5" i="24"/>
  <c r="AO7" i="8"/>
  <c r="Z5" i="24" s="1"/>
  <c r="AP7" i="8"/>
  <c r="AA5" i="24" s="1"/>
  <c r="P233" i="28"/>
  <c r="O233" i="28" s="1"/>
  <c r="H4" i="24"/>
  <c r="AP10" i="8"/>
  <c r="AA8" i="24" s="1"/>
  <c r="AO10" i="8"/>
  <c r="Z8" i="24" s="1"/>
  <c r="X10" i="8"/>
  <c r="M8" i="24" s="1"/>
  <c r="AC10" i="8"/>
  <c r="BB8" i="8"/>
  <c r="AL6" i="24" s="1"/>
  <c r="BC8" i="8"/>
  <c r="AM6" i="24" s="1"/>
  <c r="AC7" i="8"/>
  <c r="AM7" i="8"/>
  <c r="AH7" i="8"/>
  <c r="BB7" i="8"/>
  <c r="AL5" i="24" s="1"/>
  <c r="X7" i="8"/>
  <c r="M5" i="24" s="1"/>
  <c r="X8" i="8"/>
  <c r="M6" i="24" s="1"/>
  <c r="AC8" i="8"/>
  <c r="I15" i="31"/>
  <c r="N1" i="8"/>
  <c r="O1" i="8" s="1"/>
  <c r="P1" i="8" s="1"/>
  <c r="Q1" i="8" s="1"/>
  <c r="R1" i="8" s="1"/>
  <c r="S1" i="8" s="1"/>
  <c r="T1" i="8" s="1"/>
  <c r="U1" i="8" s="1"/>
  <c r="V1" i="8" s="1"/>
  <c r="W1" i="8" s="1"/>
  <c r="X1" i="8" s="1"/>
  <c r="Y1" i="8" s="1"/>
  <c r="Z1" i="8" s="1"/>
  <c r="AA1" i="8" s="1"/>
  <c r="AB1" i="8" s="1"/>
  <c r="AC1" i="8" s="1"/>
  <c r="AD1" i="8" s="1"/>
  <c r="AE1" i="8" s="1"/>
  <c r="AF1" i="8" s="1"/>
  <c r="AG1" i="8" s="1"/>
  <c r="AH1" i="8" s="1"/>
  <c r="AI1" i="8" s="1"/>
  <c r="AJ1" i="8" s="1"/>
  <c r="AK1" i="8" s="1"/>
  <c r="AL1" i="8" s="1"/>
  <c r="AM1" i="8" s="1"/>
  <c r="AN1" i="8" s="1"/>
  <c r="AO1" i="8" s="1"/>
  <c r="AP1" i="8" s="1"/>
  <c r="AQ1" i="8" s="1"/>
  <c r="AR1" i="8" s="1"/>
  <c r="AS1" i="8" s="1"/>
  <c r="C169" i="28"/>
  <c r="C171" i="28"/>
  <c r="T241" i="28"/>
  <c r="N237" i="28"/>
  <c r="J231" i="28"/>
  <c r="K231" i="28" s="1"/>
  <c r="C231" i="28"/>
  <c r="J235" i="28"/>
  <c r="K235" i="28" s="1"/>
  <c r="J233" i="28"/>
  <c r="K233" i="28" s="1"/>
  <c r="J237" i="28"/>
  <c r="K237" i="28" s="1"/>
  <c r="T235" i="28"/>
  <c r="N235" i="28"/>
  <c r="C233" i="28"/>
  <c r="T237" i="28"/>
  <c r="T239" i="28"/>
  <c r="J243" i="28"/>
  <c r="K243" i="28" s="1"/>
  <c r="J239" i="28"/>
  <c r="K239" i="28" s="1"/>
  <c r="N239" i="28"/>
  <c r="J241" i="28"/>
  <c r="K241" i="28" s="1"/>
  <c r="T243" i="28"/>
  <c r="N241" i="28"/>
  <c r="T245" i="28"/>
  <c r="N243" i="28"/>
  <c r="J245" i="28"/>
  <c r="K245" i="28" s="1"/>
  <c r="T247" i="28"/>
  <c r="N245" i="28"/>
  <c r="J247" i="28"/>
  <c r="K247" i="28" s="1"/>
  <c r="T249" i="28"/>
  <c r="N247" i="28"/>
  <c r="T251" i="28"/>
  <c r="J249" i="28"/>
  <c r="K249" i="28" s="1"/>
  <c r="T253" i="28"/>
  <c r="N251" i="28"/>
  <c r="J253" i="28"/>
  <c r="K253" i="28" s="1"/>
  <c r="N249" i="28"/>
  <c r="J251" i="28"/>
  <c r="K251" i="28" s="1"/>
  <c r="T255" i="28"/>
  <c r="N253" i="28"/>
  <c r="T261" i="28"/>
  <c r="N255" i="28"/>
  <c r="J255" i="28"/>
  <c r="K255" i="28" s="1"/>
  <c r="T257" i="28"/>
  <c r="T259" i="28"/>
  <c r="J257" i="28"/>
  <c r="K257" i="28" s="1"/>
  <c r="J261" i="28"/>
  <c r="K261" i="28" s="1"/>
  <c r="N257" i="28"/>
  <c r="J259" i="28"/>
  <c r="K259" i="28" s="1"/>
  <c r="T271" i="28"/>
  <c r="N259" i="28"/>
  <c r="J265" i="28"/>
  <c r="K265" i="28" s="1"/>
  <c r="T263" i="28"/>
  <c r="N261" i="28"/>
  <c r="J263" i="28"/>
  <c r="K263" i="28" s="1"/>
  <c r="N273" i="28"/>
  <c r="T265" i="28"/>
  <c r="N263" i="28"/>
  <c r="T269" i="28"/>
  <c r="J267" i="28"/>
  <c r="K267" i="28" s="1"/>
  <c r="N267" i="28"/>
  <c r="N265" i="28"/>
  <c r="T267" i="28"/>
  <c r="J269" i="28"/>
  <c r="K269" i="28" s="1"/>
  <c r="J271" i="28"/>
  <c r="K271" i="28" s="1"/>
  <c r="N271" i="28"/>
  <c r="N269" i="28"/>
  <c r="T273" i="28"/>
  <c r="J273" i="28"/>
  <c r="K273" i="28" s="1"/>
  <c r="C170" i="28"/>
  <c r="N240" i="28"/>
  <c r="N244" i="28"/>
  <c r="J232" i="28"/>
  <c r="K232" i="28" s="1"/>
  <c r="N236" i="28"/>
  <c r="C232" i="28"/>
  <c r="C294" i="28" s="1"/>
  <c r="J236" i="28"/>
  <c r="K236" i="28" s="1"/>
  <c r="T236" i="28"/>
  <c r="F296" i="28" s="1"/>
  <c r="T244" i="28"/>
  <c r="T240" i="28"/>
  <c r="N256" i="28"/>
  <c r="J240" i="28"/>
  <c r="K240" i="28" s="1"/>
  <c r="J244" i="28"/>
  <c r="K244" i="28" s="1"/>
  <c r="T248" i="28"/>
  <c r="J248" i="28"/>
  <c r="K248" i="28" s="1"/>
  <c r="N252" i="28"/>
  <c r="T252" i="28"/>
  <c r="N248" i="28"/>
  <c r="J252" i="28"/>
  <c r="K252" i="28" s="1"/>
  <c r="N264" i="28"/>
  <c r="T256" i="28"/>
  <c r="J256" i="28"/>
  <c r="K256" i="28" s="1"/>
  <c r="N268" i="28"/>
  <c r="T260" i="28"/>
  <c r="J260" i="28"/>
  <c r="K260" i="28" s="1"/>
  <c r="N272" i="28"/>
  <c r="T264" i="28"/>
  <c r="N260" i="28"/>
  <c r="T268" i="28"/>
  <c r="J264" i="28"/>
  <c r="K264" i="28" s="1"/>
  <c r="J268" i="28"/>
  <c r="K268" i="28" s="1"/>
  <c r="T272" i="28"/>
  <c r="J272" i="28"/>
  <c r="K272" i="28" s="1"/>
  <c r="J234" i="28"/>
  <c r="K234" i="28" s="1"/>
  <c r="T242" i="28"/>
  <c r="N234" i="28"/>
  <c r="T234" i="28"/>
  <c r="F295" i="28" s="1"/>
  <c r="T238" i="28"/>
  <c r="N238" i="28"/>
  <c r="T246" i="28"/>
  <c r="J238" i="28"/>
  <c r="K238" i="28" s="1"/>
  <c r="T250" i="28"/>
  <c r="N242" i="28"/>
  <c r="J242" i="28"/>
  <c r="K242" i="28" s="1"/>
  <c r="N246" i="28"/>
  <c r="T254" i="28"/>
  <c r="T258" i="28"/>
  <c r="J246" i="28"/>
  <c r="K246" i="28" s="1"/>
  <c r="N250" i="28"/>
  <c r="N254" i="28"/>
  <c r="J250" i="28"/>
  <c r="K250" i="28" s="1"/>
  <c r="T262" i="28"/>
  <c r="J254" i="28"/>
  <c r="K254" i="28" s="1"/>
  <c r="N258" i="28"/>
  <c r="T266" i="28"/>
  <c r="J258" i="28"/>
  <c r="K258" i="28" s="1"/>
  <c r="N262" i="28"/>
  <c r="J262" i="28"/>
  <c r="K262" i="28" s="1"/>
  <c r="N266" i="28"/>
  <c r="J266" i="28"/>
  <c r="K266" i="28" s="1"/>
  <c r="J270" i="28"/>
  <c r="K270" i="28" s="1"/>
  <c r="N270" i="28"/>
  <c r="T270" i="28"/>
  <c r="I24" i="16"/>
  <c r="L24" i="16"/>
  <c r="F25" i="16"/>
  <c r="E25" i="16"/>
  <c r="D25" i="16"/>
  <c r="D24" i="16"/>
  <c r="O18" i="16" s="1"/>
  <c r="V6" i="8"/>
  <c r="U6" i="8"/>
  <c r="T6" i="8"/>
  <c r="Q231" i="28"/>
  <c r="AA9" i="24" l="1"/>
  <c r="AR11" i="8"/>
  <c r="Z9" i="24"/>
  <c r="AR9" i="8"/>
  <c r="Z7" i="24"/>
  <c r="AO6" i="8"/>
  <c r="Z4" i="24" s="1"/>
  <c r="AP6" i="8"/>
  <c r="AA4" i="24" s="1"/>
  <c r="K4" i="24"/>
  <c r="AR10" i="8"/>
  <c r="AB8" i="24" s="1"/>
  <c r="AR7" i="8"/>
  <c r="AR8" i="8"/>
  <c r="AT1" i="8"/>
  <c r="AU1" i="8" s="1"/>
  <c r="AV1" i="8" s="1"/>
  <c r="AW1" i="8" s="1"/>
  <c r="AX1" i="8" s="1"/>
  <c r="AY1" i="8" s="1"/>
  <c r="AZ1" i="8" s="1"/>
  <c r="Q233" i="28"/>
  <c r="Q232" i="28"/>
  <c r="E24" i="16"/>
  <c r="F24" i="16"/>
  <c r="R231" i="28"/>
  <c r="K24" i="16"/>
  <c r="X6" i="8"/>
  <c r="R6" i="1"/>
  <c r="R7" i="1"/>
  <c r="I2" i="30"/>
  <c r="J2" i="30"/>
  <c r="K2" i="30"/>
  <c r="L2" i="30"/>
  <c r="N2" i="30"/>
  <c r="I3" i="30"/>
  <c r="J3" i="30"/>
  <c r="K3" i="30"/>
  <c r="L3" i="30"/>
  <c r="N3" i="30"/>
  <c r="O3" i="30"/>
  <c r="P3" i="30"/>
  <c r="I4" i="30"/>
  <c r="J4" i="30"/>
  <c r="K4" i="30"/>
  <c r="L4" i="30"/>
  <c r="N4" i="30"/>
  <c r="O4" i="30"/>
  <c r="P4" i="30"/>
  <c r="I5" i="30"/>
  <c r="J5" i="30"/>
  <c r="K5" i="30"/>
  <c r="L5" i="30"/>
  <c r="N5" i="30"/>
  <c r="O5" i="30"/>
  <c r="P5" i="30"/>
  <c r="I6" i="30"/>
  <c r="J6" i="30"/>
  <c r="K6" i="30"/>
  <c r="L6" i="30"/>
  <c r="N6" i="30"/>
  <c r="O6" i="30"/>
  <c r="P6" i="30"/>
  <c r="I7" i="30"/>
  <c r="J7" i="30"/>
  <c r="K7" i="30"/>
  <c r="L7" i="30"/>
  <c r="N7" i="30"/>
  <c r="O7" i="30"/>
  <c r="P7" i="30"/>
  <c r="I8" i="30"/>
  <c r="J8" i="30"/>
  <c r="K8" i="30"/>
  <c r="L8" i="30"/>
  <c r="N8" i="30"/>
  <c r="O8" i="30"/>
  <c r="P8" i="30"/>
  <c r="I9" i="30"/>
  <c r="J9" i="30"/>
  <c r="K9" i="30"/>
  <c r="L9" i="30"/>
  <c r="N9" i="30"/>
  <c r="O9" i="30"/>
  <c r="P9" i="30"/>
  <c r="I10" i="30"/>
  <c r="J10" i="30"/>
  <c r="K10" i="30"/>
  <c r="L10" i="30"/>
  <c r="N10" i="30"/>
  <c r="O10" i="30"/>
  <c r="P10" i="30"/>
  <c r="I11" i="30"/>
  <c r="J11" i="30"/>
  <c r="K11" i="30"/>
  <c r="L11" i="30"/>
  <c r="N11" i="30"/>
  <c r="O11" i="30"/>
  <c r="P11" i="30"/>
  <c r="I12" i="30"/>
  <c r="J12" i="30"/>
  <c r="K12" i="30"/>
  <c r="L12" i="30"/>
  <c r="N12" i="30"/>
  <c r="O12" i="30"/>
  <c r="P12" i="30"/>
  <c r="H3" i="30"/>
  <c r="H4" i="30"/>
  <c r="H5" i="30"/>
  <c r="H6" i="30"/>
  <c r="H7" i="30"/>
  <c r="H8" i="30"/>
  <c r="H9" i="30"/>
  <c r="H10" i="30"/>
  <c r="H11" i="30"/>
  <c r="H12" i="30"/>
  <c r="H2" i="30"/>
  <c r="B3" i="30"/>
  <c r="B4" i="30"/>
  <c r="B5" i="30"/>
  <c r="B6" i="30"/>
  <c r="B7" i="30"/>
  <c r="B8" i="30"/>
  <c r="B9" i="30"/>
  <c r="B10" i="30"/>
  <c r="B11" i="30"/>
  <c r="B12" i="30"/>
  <c r="B2" i="30"/>
  <c r="I31" i="22"/>
  <c r="C32" i="1"/>
  <c r="J2" i="1"/>
  <c r="G2" i="1"/>
  <c r="G27" i="1" s="1" a="1"/>
  <c r="G27" i="1" s="1"/>
  <c r="E28" i="21" s="1"/>
  <c r="D2" i="1"/>
  <c r="D27" i="1" s="1" a="1"/>
  <c r="D27" i="1" s="1"/>
  <c r="C2" i="1"/>
  <c r="C27" i="1" s="1" a="1"/>
  <c r="C27" i="1" s="1"/>
  <c r="D5" i="11"/>
  <c r="C5" i="11"/>
  <c r="K19" i="1"/>
  <c r="K25" i="1" s="1"/>
  <c r="K28" i="1" s="1"/>
  <c r="L19" i="1"/>
  <c r="L25" i="1" s="1"/>
  <c r="L28" i="1" s="1"/>
  <c r="J19" i="1"/>
  <c r="J25" i="1" s="1"/>
  <c r="J28" i="1" s="1"/>
  <c r="J12" i="16" l="1"/>
  <c r="L12" i="16" s="1"/>
  <c r="I12" i="16"/>
  <c r="K12" i="16" s="1"/>
  <c r="AB9" i="24"/>
  <c r="J10" i="16"/>
  <c r="L10" i="16" s="1"/>
  <c r="AB7" i="24"/>
  <c r="I10" i="16"/>
  <c r="K10" i="16" s="1"/>
  <c r="I11" i="16"/>
  <c r="K11" i="16" s="1"/>
  <c r="J11" i="16"/>
  <c r="L11" i="16" s="1"/>
  <c r="I8" i="16"/>
  <c r="K8" i="16" s="1"/>
  <c r="J8" i="16"/>
  <c r="L8" i="16" s="1"/>
  <c r="I9" i="16"/>
  <c r="K9" i="16" s="1"/>
  <c r="J9" i="16"/>
  <c r="L9" i="16" s="1"/>
  <c r="J30" i="1"/>
  <c r="D28" i="21"/>
  <c r="J46" i="4"/>
  <c r="K46" i="4"/>
  <c r="I46" i="4"/>
  <c r="C28" i="21"/>
  <c r="C27" i="4"/>
  <c r="B27" i="4"/>
  <c r="E27" i="4"/>
  <c r="D27" i="4"/>
  <c r="AB6" i="24"/>
  <c r="AB5" i="24"/>
  <c r="R233" i="28"/>
  <c r="M4" i="24"/>
  <c r="F169" i="28"/>
  <c r="F106" i="28"/>
  <c r="F108" i="28"/>
  <c r="F171" i="28"/>
  <c r="R232" i="28"/>
  <c r="D294" i="28" s="1"/>
  <c r="F170" i="28"/>
  <c r="F107" i="28"/>
  <c r="E13" i="30"/>
  <c r="D8" i="29"/>
  <c r="C27" i="29" a="1"/>
  <c r="C27" i="29" s="1"/>
  <c r="J27" i="29" a="1"/>
  <c r="J27" i="29" s="1"/>
  <c r="I27" i="29" a="1"/>
  <c r="I27" i="29" s="1"/>
  <c r="I30" i="29" l="1"/>
  <c r="I3" i="24"/>
  <c r="G3" i="24"/>
  <c r="E3" i="24"/>
  <c r="C3" i="24"/>
  <c r="B3" i="24"/>
  <c r="E6" i="23"/>
  <c r="D4" i="23"/>
  <c r="C4" i="23"/>
  <c r="E105" i="28" l="1"/>
  <c r="D105" i="28"/>
  <c r="B105" i="28"/>
  <c r="O40" i="22"/>
  <c r="O41" i="22"/>
  <c r="O42" i="22"/>
  <c r="N41" i="22"/>
  <c r="N42" i="22"/>
  <c r="N43" i="22"/>
  <c r="N40" i="22"/>
  <c r="O32" i="22"/>
  <c r="O33" i="22"/>
  <c r="O34" i="22"/>
  <c r="O37" i="22"/>
  <c r="N34" i="22"/>
  <c r="N35" i="22"/>
  <c r="N36" i="22"/>
  <c r="J39" i="22"/>
  <c r="J40" i="22"/>
  <c r="J41" i="22"/>
  <c r="I40" i="22"/>
  <c r="I41" i="22"/>
  <c r="I42" i="22"/>
  <c r="I39" i="22"/>
  <c r="J32" i="22"/>
  <c r="J33" i="22"/>
  <c r="J36" i="22"/>
  <c r="I34" i="22"/>
  <c r="I35" i="22"/>
  <c r="B43" i="28"/>
  <c r="C87" i="28"/>
  <c r="H370" i="28"/>
  <c r="H371" i="28"/>
  <c r="H372" i="28"/>
  <c r="H373" i="28"/>
  <c r="H374" i="28"/>
  <c r="H375" i="28"/>
  <c r="H376" i="28"/>
  <c r="H377" i="28"/>
  <c r="H369" i="28"/>
  <c r="O385" i="28"/>
  <c r="N385" i="28"/>
  <c r="M385" i="28"/>
  <c r="L385" i="28"/>
  <c r="F369" i="28"/>
  <c r="H301" i="28" l="1"/>
  <c r="H297" i="28"/>
  <c r="H309" i="28"/>
  <c r="H305" i="28"/>
  <c r="H317" i="28"/>
  <c r="H313" i="28"/>
  <c r="H325" i="28"/>
  <c r="H321" i="28"/>
  <c r="H333" i="28"/>
  <c r="H329" i="28"/>
  <c r="H385" i="28"/>
  <c r="E370" i="28" l="1" a="1"/>
  <c r="E370" i="28" s="1"/>
  <c r="E371" i="28" a="1"/>
  <c r="E371" i="28" s="1"/>
  <c r="E372" i="28" a="1"/>
  <c r="E372" i="28" s="1"/>
  <c r="E373" i="28" a="1"/>
  <c r="E373" i="28" s="1"/>
  <c r="E374" i="28" a="1"/>
  <c r="E374" i="28" s="1"/>
  <c r="E375" i="28" a="1"/>
  <c r="E375" i="28" s="1"/>
  <c r="E376" i="28" a="1"/>
  <c r="E376" i="28" s="1"/>
  <c r="E377" i="28" a="1"/>
  <c r="E377" i="28" s="1"/>
  <c r="E369" i="28" a="1"/>
  <c r="E369" i="28" s="1"/>
  <c r="E396" i="28" l="1"/>
  <c r="C396" i="28"/>
  <c r="C394" i="28"/>
  <c r="D396" i="28"/>
  <c r="F394" i="28"/>
  <c r="E394" i="28"/>
  <c r="D394" i="28"/>
  <c r="D392" i="28"/>
  <c r="F392" i="28"/>
  <c r="E392" i="28"/>
  <c r="F396" i="28"/>
  <c r="C392" i="28"/>
  <c r="B17" i="3"/>
  <c r="Q370" i="28"/>
  <c r="Q371" i="28"/>
  <c r="Q372" i="28"/>
  <c r="T372" i="28" s="1"/>
  <c r="Q373" i="28"/>
  <c r="T373" i="28" s="1"/>
  <c r="Q374" i="28"/>
  <c r="D388" i="28" s="1"/>
  <c r="Q375" i="28"/>
  <c r="Q376" i="28"/>
  <c r="Q377" i="28"/>
  <c r="E391" i="28"/>
  <c r="Q369" i="28"/>
  <c r="J370" i="28"/>
  <c r="J371" i="28"/>
  <c r="J372" i="28"/>
  <c r="J373" i="28"/>
  <c r="C388" i="28"/>
  <c r="J374" i="28"/>
  <c r="C397" i="28"/>
  <c r="J375" i="28"/>
  <c r="J376" i="28"/>
  <c r="J377" i="28"/>
  <c r="J369" i="28"/>
  <c r="C370" i="28"/>
  <c r="D370" i="28"/>
  <c r="F370" i="28"/>
  <c r="G370" i="28" s="1"/>
  <c r="C371" i="28"/>
  <c r="D371" i="28"/>
  <c r="F371" i="28"/>
  <c r="G371" i="28" s="1"/>
  <c r="C372" i="28"/>
  <c r="D372" i="28"/>
  <c r="F372" i="28"/>
  <c r="G372" i="28" s="1"/>
  <c r="C373" i="28"/>
  <c r="D373" i="28"/>
  <c r="F373" i="28"/>
  <c r="G373" i="28" s="1"/>
  <c r="C374" i="28"/>
  <c r="D374" i="28"/>
  <c r="F374" i="28"/>
  <c r="G374" i="28" s="1"/>
  <c r="C375" i="28"/>
  <c r="D375" i="28"/>
  <c r="F375" i="28"/>
  <c r="G375" i="28" s="1"/>
  <c r="C376" i="28"/>
  <c r="D376" i="28"/>
  <c r="F376" i="28"/>
  <c r="G376" i="28" s="1"/>
  <c r="C377" i="28"/>
  <c r="D377" i="28"/>
  <c r="F377" i="28"/>
  <c r="G377" i="28" s="1"/>
  <c r="G369" i="28"/>
  <c r="D369" i="28"/>
  <c r="C369" i="28"/>
  <c r="P274" i="28"/>
  <c r="O274" i="28" s="1"/>
  <c r="P275" i="28"/>
  <c r="O275" i="28" s="1"/>
  <c r="P276" i="28"/>
  <c r="O276" i="28" s="1"/>
  <c r="P277" i="28"/>
  <c r="O277" i="28" s="1"/>
  <c r="P278" i="28"/>
  <c r="O278" i="28" s="1"/>
  <c r="P279" i="28"/>
  <c r="O279" i="28" s="1"/>
  <c r="P280" i="28"/>
  <c r="O280" i="28" s="1"/>
  <c r="P281" i="28"/>
  <c r="O281" i="28" s="1"/>
  <c r="P230" i="28"/>
  <c r="O230" i="28" s="1"/>
  <c r="M274" i="28"/>
  <c r="M275" i="28"/>
  <c r="M276" i="28"/>
  <c r="M277" i="28"/>
  <c r="M278" i="28"/>
  <c r="M279" i="28"/>
  <c r="M280" i="28"/>
  <c r="M281" i="28"/>
  <c r="M230" i="28"/>
  <c r="H274" i="28"/>
  <c r="I274" i="28" s="1"/>
  <c r="H275" i="28"/>
  <c r="I275" i="28" s="1"/>
  <c r="H276" i="28"/>
  <c r="I276" i="28" s="1"/>
  <c r="H277" i="28"/>
  <c r="I277" i="28" s="1"/>
  <c r="H278" i="28"/>
  <c r="I278" i="28" s="1"/>
  <c r="H279" i="28"/>
  <c r="I279" i="28" s="1"/>
  <c r="H280" i="28"/>
  <c r="I280" i="28" s="1"/>
  <c r="H281" i="28"/>
  <c r="I281" i="28" s="1"/>
  <c r="F274" i="28"/>
  <c r="G274" i="28" s="1"/>
  <c r="F275" i="28"/>
  <c r="G275" i="28" s="1"/>
  <c r="F276" i="28"/>
  <c r="G276" i="28" s="1"/>
  <c r="F277" i="28"/>
  <c r="G277" i="28" s="1"/>
  <c r="F278" i="28"/>
  <c r="G278" i="28" s="1"/>
  <c r="F279" i="28"/>
  <c r="G279" i="28" s="1"/>
  <c r="F280" i="28"/>
  <c r="G280" i="28" s="1"/>
  <c r="F281" i="28"/>
  <c r="G281" i="28" s="1"/>
  <c r="H230" i="28"/>
  <c r="I230" i="28" s="1"/>
  <c r="F230" i="28"/>
  <c r="G230" i="28" s="1"/>
  <c r="D274" i="28"/>
  <c r="E274" i="28"/>
  <c r="D275" i="28"/>
  <c r="K298" i="28" s="1"/>
  <c r="E275" i="28"/>
  <c r="J298" i="28" s="1"/>
  <c r="D276" i="28"/>
  <c r="K300" i="28" s="1"/>
  <c r="E276" i="28"/>
  <c r="J300" i="28" s="1"/>
  <c r="D277" i="28"/>
  <c r="K340" i="28" s="1"/>
  <c r="E277" i="28"/>
  <c r="J340" i="28" s="1"/>
  <c r="D278" i="28"/>
  <c r="K341" i="28" s="1"/>
  <c r="E278" i="28"/>
  <c r="J341" i="28" s="1"/>
  <c r="D279" i="28"/>
  <c r="K342" i="28" s="1"/>
  <c r="E279" i="28"/>
  <c r="J342" i="28" s="1"/>
  <c r="D280" i="28"/>
  <c r="K343" i="28" s="1"/>
  <c r="E280" i="28"/>
  <c r="J343" i="28" s="1"/>
  <c r="D281" i="28"/>
  <c r="K344" i="28" s="1"/>
  <c r="E281" i="28"/>
  <c r="J344" i="28" s="1"/>
  <c r="E230" i="28"/>
  <c r="J293" i="28" s="1"/>
  <c r="D230" i="28"/>
  <c r="K293" i="28" s="1"/>
  <c r="B274" i="28"/>
  <c r="B275" i="28"/>
  <c r="B298" i="28" s="1"/>
  <c r="B276" i="28"/>
  <c r="B300" i="28" s="1"/>
  <c r="B277" i="28"/>
  <c r="B340" i="28" s="1"/>
  <c r="B278" i="28"/>
  <c r="B341" i="28" s="1"/>
  <c r="B279" i="28"/>
  <c r="B342" i="28" s="1"/>
  <c r="B280" i="28"/>
  <c r="B343" i="28" s="1"/>
  <c r="B281" i="28"/>
  <c r="B344" i="28" s="1"/>
  <c r="B230" i="28"/>
  <c r="B293" i="28" s="1"/>
  <c r="B306" i="28" l="1"/>
  <c r="B302" i="28"/>
  <c r="K306" i="28"/>
  <c r="K302" i="28"/>
  <c r="J306" i="28"/>
  <c r="J302" i="28"/>
  <c r="J308" i="28"/>
  <c r="J304" i="28"/>
  <c r="K308" i="28"/>
  <c r="K304" i="28"/>
  <c r="B308" i="28"/>
  <c r="B304" i="28"/>
  <c r="B314" i="28"/>
  <c r="B310" i="28"/>
  <c r="K314" i="28"/>
  <c r="K310" i="28"/>
  <c r="J314" i="28"/>
  <c r="J310" i="28"/>
  <c r="B316" i="28"/>
  <c r="B312" i="28"/>
  <c r="J316" i="28"/>
  <c r="J312" i="28"/>
  <c r="K316" i="28"/>
  <c r="K312" i="28"/>
  <c r="B322" i="28"/>
  <c r="B318" i="28"/>
  <c r="J322" i="28"/>
  <c r="J318" i="28"/>
  <c r="K322" i="28"/>
  <c r="K318" i="28"/>
  <c r="J324" i="28"/>
  <c r="J320" i="28"/>
  <c r="B324" i="28"/>
  <c r="B320" i="28"/>
  <c r="K324" i="28"/>
  <c r="K320" i="28"/>
  <c r="B330" i="28"/>
  <c r="B326" i="28"/>
  <c r="J330" i="28"/>
  <c r="J326" i="28"/>
  <c r="K330" i="28"/>
  <c r="K326" i="28"/>
  <c r="B332" i="28"/>
  <c r="B328" i="28"/>
  <c r="J332" i="28"/>
  <c r="J328" i="28"/>
  <c r="K332" i="28"/>
  <c r="K328" i="28"/>
  <c r="B299" i="28"/>
  <c r="B334" i="28"/>
  <c r="J299" i="28"/>
  <c r="J334" i="28"/>
  <c r="K299" i="28"/>
  <c r="K334" i="28"/>
  <c r="J339" i="28"/>
  <c r="J336" i="28"/>
  <c r="K339" i="28"/>
  <c r="K336" i="28"/>
  <c r="B339" i="28"/>
  <c r="B336" i="28"/>
  <c r="B307" i="28"/>
  <c r="B303" i="28"/>
  <c r="J307" i="28"/>
  <c r="J303" i="28"/>
  <c r="K307" i="28"/>
  <c r="K303" i="28"/>
  <c r="B315" i="28"/>
  <c r="B311" i="28"/>
  <c r="J315" i="28"/>
  <c r="J311" i="28"/>
  <c r="K315" i="28"/>
  <c r="K311" i="28"/>
  <c r="B323" i="28"/>
  <c r="B319" i="28"/>
  <c r="J323" i="28"/>
  <c r="J319" i="28"/>
  <c r="K323" i="28"/>
  <c r="K319" i="28"/>
  <c r="K331" i="28"/>
  <c r="K327" i="28"/>
  <c r="J331" i="28"/>
  <c r="J327" i="28"/>
  <c r="B331" i="28"/>
  <c r="B327" i="28"/>
  <c r="B338" i="28"/>
  <c r="B335" i="28"/>
  <c r="J338" i="28"/>
  <c r="J335" i="28"/>
  <c r="K338" i="28"/>
  <c r="K335" i="28"/>
  <c r="J301" i="28"/>
  <c r="J297" i="28"/>
  <c r="B301" i="28"/>
  <c r="B297" i="28"/>
  <c r="K301" i="28"/>
  <c r="K297" i="28"/>
  <c r="B309" i="28"/>
  <c r="B305" i="28"/>
  <c r="K309" i="28"/>
  <c r="K305" i="28"/>
  <c r="J309" i="28"/>
  <c r="J305" i="28"/>
  <c r="J317" i="28"/>
  <c r="J313" i="28"/>
  <c r="B317" i="28"/>
  <c r="B313" i="28"/>
  <c r="K317" i="28"/>
  <c r="K313" i="28"/>
  <c r="J325" i="28"/>
  <c r="J321" i="28"/>
  <c r="B325" i="28"/>
  <c r="B321" i="28"/>
  <c r="K325" i="28"/>
  <c r="K321" i="28"/>
  <c r="B333" i="28"/>
  <c r="B329" i="28"/>
  <c r="J333" i="28"/>
  <c r="J329" i="28"/>
  <c r="K333" i="28"/>
  <c r="K329" i="28"/>
  <c r="B337" i="28"/>
  <c r="K337" i="28"/>
  <c r="J337" i="28"/>
  <c r="Q385" i="28"/>
  <c r="C391" i="28"/>
  <c r="D391" i="28"/>
  <c r="T371" i="28"/>
  <c r="D395" i="28"/>
  <c r="T370" i="28"/>
  <c r="D393" i="28"/>
  <c r="T375" i="28"/>
  <c r="D397" i="28"/>
  <c r="C393" i="28"/>
  <c r="U372" i="28"/>
  <c r="U371" i="28"/>
  <c r="C395" i="28"/>
  <c r="U375" i="28"/>
  <c r="U369" i="28"/>
  <c r="U377" i="28"/>
  <c r="U373" i="28"/>
  <c r="T377" i="28"/>
  <c r="U376" i="28"/>
  <c r="T376" i="28"/>
  <c r="U374" i="28"/>
  <c r="U370" i="28"/>
  <c r="T374" i="28"/>
  <c r="T369" i="28"/>
  <c r="O289" i="28"/>
  <c r="J279" i="28"/>
  <c r="K279" i="28" s="1"/>
  <c r="J230" i="28"/>
  <c r="K230" i="28" s="1"/>
  <c r="J277" i="28"/>
  <c r="K277" i="28" s="1"/>
  <c r="J274" i="28"/>
  <c r="K274" i="28" s="1"/>
  <c r="J281" i="28"/>
  <c r="K281" i="28" s="1"/>
  <c r="J278" i="28"/>
  <c r="K278" i="28" s="1"/>
  <c r="J280" i="28"/>
  <c r="K280" i="28" s="1"/>
  <c r="J275" i="28"/>
  <c r="K275" i="28" s="1"/>
  <c r="J276" i="28"/>
  <c r="K276" i="28" s="1"/>
  <c r="T385" i="28" l="1"/>
  <c r="U385" i="28"/>
  <c r="D389" i="28"/>
  <c r="C389" i="28"/>
  <c r="D390" i="28"/>
  <c r="C390" i="28"/>
  <c r="K289" i="28"/>
  <c r="P289" i="28" l="1"/>
  <c r="M289" i="28"/>
  <c r="E352" i="28" l="1"/>
  <c r="E353" i="28"/>
  <c r="E354" i="28"/>
  <c r="E355" i="28"/>
  <c r="E356" i="28"/>
  <c r="E357" i="28"/>
  <c r="E358" i="28"/>
  <c r="E359" i="28"/>
  <c r="E360" i="28"/>
  <c r="E361" i="28"/>
  <c r="E362" i="28"/>
  <c r="E363" i="28"/>
  <c r="E364" i="28"/>
  <c r="E365" i="28"/>
  <c r="E351" i="28"/>
  <c r="D352" i="28"/>
  <c r="D353" i="28"/>
  <c r="D354" i="28"/>
  <c r="D355" i="28"/>
  <c r="D356" i="28"/>
  <c r="D357" i="28"/>
  <c r="D358" i="28"/>
  <c r="D359" i="28"/>
  <c r="D360" i="28"/>
  <c r="D361" i="28"/>
  <c r="D362" i="28"/>
  <c r="D363" i="28"/>
  <c r="D364" i="28"/>
  <c r="D365" i="28"/>
  <c r="D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51" i="28"/>
  <c r="E212" i="28"/>
  <c r="E213" i="28"/>
  <c r="E214" i="28"/>
  <c r="E215" i="28"/>
  <c r="E216" i="28"/>
  <c r="E217" i="28"/>
  <c r="E218" i="28"/>
  <c r="E219" i="28"/>
  <c r="E220" i="28"/>
  <c r="E221" i="28"/>
  <c r="E222" i="28"/>
  <c r="E223" i="28"/>
  <c r="E224" i="28"/>
  <c r="E225" i="28"/>
  <c r="E168" i="28"/>
  <c r="D212" i="28"/>
  <c r="D213" i="28"/>
  <c r="D214" i="28"/>
  <c r="D215" i="28"/>
  <c r="D216" i="28"/>
  <c r="D217" i="28"/>
  <c r="D218" i="28"/>
  <c r="D219" i="28"/>
  <c r="D220" i="28"/>
  <c r="D221" i="28"/>
  <c r="D222" i="28"/>
  <c r="D223" i="28"/>
  <c r="D224" i="28"/>
  <c r="D225" i="28"/>
  <c r="D16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D149" i="28"/>
  <c r="D150" i="28"/>
  <c r="D151" i="28"/>
  <c r="D152" i="28"/>
  <c r="D153" i="28"/>
  <c r="D154" i="28"/>
  <c r="D155" i="28"/>
  <c r="D156" i="28"/>
  <c r="D157" i="28"/>
  <c r="D158" i="28"/>
  <c r="D159" i="28"/>
  <c r="D160" i="28"/>
  <c r="D161" i="28"/>
  <c r="D162" i="28"/>
  <c r="B224" i="28"/>
  <c r="B225" i="28"/>
  <c r="B222" i="28"/>
  <c r="B223" i="28"/>
  <c r="B212" i="28"/>
  <c r="B213" i="28"/>
  <c r="B214" i="28"/>
  <c r="B215" i="28"/>
  <c r="B216" i="28"/>
  <c r="B217" i="28"/>
  <c r="B218" i="28"/>
  <c r="B219" i="28"/>
  <c r="B220" i="28"/>
  <c r="B221" i="28"/>
  <c r="B16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C103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43" i="28"/>
  <c r="D87" i="28"/>
  <c r="D88" i="28"/>
  <c r="I298" i="28" s="1"/>
  <c r="D89" i="28"/>
  <c r="I300" i="28" s="1"/>
  <c r="D90" i="28"/>
  <c r="I340" i="28" s="1"/>
  <c r="D91" i="28"/>
  <c r="I341" i="28" s="1"/>
  <c r="D92" i="28"/>
  <c r="I342" i="28" s="1"/>
  <c r="D93" i="28"/>
  <c r="I343" i="28" s="1"/>
  <c r="D94" i="28"/>
  <c r="I344" i="28" s="1"/>
  <c r="D95" i="28"/>
  <c r="D96" i="28"/>
  <c r="D97" i="28"/>
  <c r="D98" i="28"/>
  <c r="D99" i="28"/>
  <c r="D100" i="28"/>
  <c r="D43" i="28"/>
  <c r="I293" i="28" s="1"/>
  <c r="H337" i="28"/>
  <c r="C88" i="28"/>
  <c r="C89" i="28"/>
  <c r="C90" i="28"/>
  <c r="C91" i="28"/>
  <c r="H341" i="28" s="1"/>
  <c r="C92" i="28"/>
  <c r="H342" i="28" s="1"/>
  <c r="C93" i="28"/>
  <c r="C94" i="28"/>
  <c r="C95" i="28"/>
  <c r="C96" i="28"/>
  <c r="C97" i="28"/>
  <c r="C98" i="28"/>
  <c r="C99" i="28"/>
  <c r="C100" i="28"/>
  <c r="C43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F17" i="28"/>
  <c r="G17" i="28" s="1"/>
  <c r="F26" i="28"/>
  <c r="F30" i="28"/>
  <c r="F33" i="28"/>
  <c r="F14" i="28"/>
  <c r="F10" i="28" s="1"/>
  <c r="C106" i="28" l="1"/>
  <c r="C112" i="28"/>
  <c r="C110" i="28"/>
  <c r="C108" i="28"/>
  <c r="C116" i="28"/>
  <c r="C114" i="28"/>
  <c r="C118" i="28"/>
  <c r="C120" i="28"/>
  <c r="C124" i="28"/>
  <c r="C126" i="28"/>
  <c r="C122" i="28"/>
  <c r="C128" i="28"/>
  <c r="C130" i="28"/>
  <c r="C136" i="28"/>
  <c r="C132" i="28"/>
  <c r="C138" i="28"/>
  <c r="C134" i="28"/>
  <c r="C140" i="28"/>
  <c r="C142" i="28"/>
  <c r="C144" i="28"/>
  <c r="C146" i="28"/>
  <c r="H340" i="28"/>
  <c r="C148" i="28"/>
  <c r="C177" i="28"/>
  <c r="C173" i="28"/>
  <c r="C175" i="28"/>
  <c r="C179" i="28"/>
  <c r="C185" i="28"/>
  <c r="C181" i="28"/>
  <c r="C183" i="28"/>
  <c r="C187" i="28"/>
  <c r="C193" i="28"/>
  <c r="C189" i="28"/>
  <c r="C195" i="28"/>
  <c r="C191" i="28"/>
  <c r="C201" i="28"/>
  <c r="C197" i="28"/>
  <c r="C203" i="28"/>
  <c r="C199" i="28"/>
  <c r="C209" i="28"/>
  <c r="C205" i="28"/>
  <c r="C207" i="28"/>
  <c r="C211" i="28"/>
  <c r="C239" i="28"/>
  <c r="C235" i="28"/>
  <c r="C241" i="28"/>
  <c r="C237" i="28"/>
  <c r="C247" i="28"/>
  <c r="C243" i="28"/>
  <c r="C245" i="28"/>
  <c r="C249" i="28"/>
  <c r="C255" i="28"/>
  <c r="C251" i="28"/>
  <c r="C253" i="28"/>
  <c r="C257" i="28"/>
  <c r="C263" i="28"/>
  <c r="C259" i="28"/>
  <c r="C261" i="28"/>
  <c r="C265" i="28"/>
  <c r="C271" i="28"/>
  <c r="C267" i="28"/>
  <c r="C269" i="28"/>
  <c r="C273" i="28"/>
  <c r="H302" i="28"/>
  <c r="H298" i="28"/>
  <c r="H304" i="28"/>
  <c r="H300" i="28"/>
  <c r="I306" i="28"/>
  <c r="I302" i="28"/>
  <c r="I308" i="28"/>
  <c r="I304" i="28"/>
  <c r="H310" i="28"/>
  <c r="H306" i="28"/>
  <c r="H312" i="28"/>
  <c r="H308" i="28"/>
  <c r="I314" i="28"/>
  <c r="I310" i="28"/>
  <c r="I316" i="28"/>
  <c r="I312" i="28"/>
  <c r="H318" i="28"/>
  <c r="H314" i="28"/>
  <c r="H320" i="28"/>
  <c r="H316" i="28"/>
  <c r="I322" i="28"/>
  <c r="I318" i="28"/>
  <c r="I324" i="28"/>
  <c r="I320" i="28"/>
  <c r="H326" i="28"/>
  <c r="H322" i="28"/>
  <c r="H328" i="28"/>
  <c r="H324" i="28"/>
  <c r="I330" i="28"/>
  <c r="I326" i="28"/>
  <c r="I332" i="28"/>
  <c r="I328" i="28"/>
  <c r="H334" i="28"/>
  <c r="H330" i="28"/>
  <c r="H336" i="28"/>
  <c r="H332" i="28"/>
  <c r="I299" i="28"/>
  <c r="I334" i="28"/>
  <c r="I339" i="28"/>
  <c r="I336" i="28"/>
  <c r="C107" i="28"/>
  <c r="C115" i="28"/>
  <c r="C111" i="28"/>
  <c r="C119" i="28"/>
  <c r="C123" i="28"/>
  <c r="C127" i="28"/>
  <c r="C131" i="28"/>
  <c r="C135" i="28"/>
  <c r="C139" i="28"/>
  <c r="C143" i="28"/>
  <c r="C147" i="28"/>
  <c r="C178" i="28"/>
  <c r="C174" i="28"/>
  <c r="C186" i="28"/>
  <c r="C182" i="28"/>
  <c r="C194" i="28"/>
  <c r="C190" i="28"/>
  <c r="C202" i="28"/>
  <c r="C198" i="28"/>
  <c r="C210" i="28"/>
  <c r="C206" i="28"/>
  <c r="C240" i="28"/>
  <c r="C236" i="28"/>
  <c r="C296" i="28" s="1"/>
  <c r="C248" i="28"/>
  <c r="C244" i="28"/>
  <c r="C256" i="28"/>
  <c r="C252" i="28"/>
  <c r="C264" i="28"/>
  <c r="C260" i="28"/>
  <c r="C272" i="28"/>
  <c r="C268" i="28"/>
  <c r="H303" i="28"/>
  <c r="H299" i="28"/>
  <c r="I307" i="28"/>
  <c r="I303" i="28"/>
  <c r="H311" i="28"/>
  <c r="H307" i="28"/>
  <c r="I315" i="28"/>
  <c r="I311" i="28"/>
  <c r="H319" i="28"/>
  <c r="H315" i="28"/>
  <c r="I323" i="28"/>
  <c r="I319" i="28"/>
  <c r="H327" i="28"/>
  <c r="H323" i="28"/>
  <c r="I331" i="28"/>
  <c r="I327" i="28"/>
  <c r="H335" i="28"/>
  <c r="H331" i="28"/>
  <c r="I338" i="28"/>
  <c r="I335" i="28"/>
  <c r="C113" i="28"/>
  <c r="C109" i="28"/>
  <c r="C121" i="28"/>
  <c r="C117" i="28"/>
  <c r="C129" i="28"/>
  <c r="C125" i="28"/>
  <c r="C137" i="28"/>
  <c r="C133" i="28"/>
  <c r="C145" i="28"/>
  <c r="C141" i="28"/>
  <c r="C176" i="28"/>
  <c r="C172" i="28"/>
  <c r="C184" i="28"/>
  <c r="C180" i="28"/>
  <c r="C192" i="28"/>
  <c r="C188" i="28"/>
  <c r="C200" i="28"/>
  <c r="C196" i="28"/>
  <c r="C208" i="28"/>
  <c r="C204" i="28"/>
  <c r="C238" i="28"/>
  <c r="C234" i="28"/>
  <c r="C295" i="28" s="1"/>
  <c r="C246" i="28"/>
  <c r="C242" i="28"/>
  <c r="C254" i="28"/>
  <c r="C250" i="28"/>
  <c r="C262" i="28"/>
  <c r="C258" i="28"/>
  <c r="C270" i="28"/>
  <c r="C266" i="28"/>
  <c r="I301" i="28"/>
  <c r="I297" i="28"/>
  <c r="I309" i="28"/>
  <c r="I305" i="28"/>
  <c r="I317" i="28"/>
  <c r="I313" i="28"/>
  <c r="I325" i="28"/>
  <c r="I321" i="28"/>
  <c r="I333" i="28"/>
  <c r="I329" i="28"/>
  <c r="C105" i="28"/>
  <c r="H338" i="28"/>
  <c r="I337" i="28"/>
  <c r="C222" i="28"/>
  <c r="H339" i="28"/>
  <c r="C151" i="28"/>
  <c r="H293" i="28"/>
  <c r="C168" i="28"/>
  <c r="C281" i="28"/>
  <c r="C344" i="28" s="1"/>
  <c r="H344" i="28"/>
  <c r="C280" i="28"/>
  <c r="C343" i="28" s="1"/>
  <c r="H343" i="28"/>
  <c r="C278" i="28"/>
  <c r="C341" i="28" s="1"/>
  <c r="C277" i="28"/>
  <c r="C340" i="28" s="1"/>
  <c r="C217" i="28"/>
  <c r="C279" i="28"/>
  <c r="C342" i="28" s="1"/>
  <c r="C230" i="28"/>
  <c r="C293" i="28" s="1"/>
  <c r="C276" i="28"/>
  <c r="C300" i="28" s="1"/>
  <c r="C275" i="28"/>
  <c r="C298" i="28" s="1"/>
  <c r="C274" i="28"/>
  <c r="C216" i="28"/>
  <c r="C215" i="28"/>
  <c r="C214" i="28"/>
  <c r="C162" i="28"/>
  <c r="C225" i="28"/>
  <c r="C221" i="28"/>
  <c r="C161" i="28"/>
  <c r="C224" i="28"/>
  <c r="C160" i="28"/>
  <c r="C223" i="28"/>
  <c r="C220" i="28"/>
  <c r="C150" i="28"/>
  <c r="C213" i="28"/>
  <c r="C149" i="28"/>
  <c r="C212" i="28"/>
  <c r="C156" i="28"/>
  <c r="C219" i="28"/>
  <c r="C218" i="28"/>
  <c r="C154" i="28"/>
  <c r="C159" i="28"/>
  <c r="C158" i="28"/>
  <c r="C157" i="28"/>
  <c r="C155" i="28"/>
  <c r="C153" i="28"/>
  <c r="C152" i="28"/>
  <c r="E226" i="28"/>
  <c r="E163" i="28"/>
  <c r="F24" i="28"/>
  <c r="G24" i="28" s="1"/>
  <c r="F12" i="28"/>
  <c r="G10" i="28" s="1"/>
  <c r="C306" i="28" l="1"/>
  <c r="C302" i="28"/>
  <c r="C308" i="28"/>
  <c r="C304" i="28"/>
  <c r="C314" i="28"/>
  <c r="C310" i="28"/>
  <c r="C316" i="28"/>
  <c r="C312" i="28"/>
  <c r="C322" i="28"/>
  <c r="C318" i="28"/>
  <c r="C324" i="28"/>
  <c r="C320" i="28"/>
  <c r="C330" i="28"/>
  <c r="C326" i="28"/>
  <c r="C332" i="28"/>
  <c r="C328" i="28"/>
  <c r="C299" i="28"/>
  <c r="C334" i="28"/>
  <c r="C339" i="28"/>
  <c r="C336" i="28"/>
  <c r="C307" i="28"/>
  <c r="C303" i="28"/>
  <c r="C315" i="28"/>
  <c r="C311" i="28"/>
  <c r="C323" i="28"/>
  <c r="C319" i="28"/>
  <c r="C331" i="28"/>
  <c r="C327" i="28"/>
  <c r="C338" i="28"/>
  <c r="C335" i="28"/>
  <c r="C301" i="28"/>
  <c r="C297" i="28"/>
  <c r="C309" i="28"/>
  <c r="C305" i="28"/>
  <c r="C317" i="28"/>
  <c r="C313" i="28"/>
  <c r="C325" i="28"/>
  <c r="C321" i="28"/>
  <c r="C333" i="28"/>
  <c r="C329" i="28"/>
  <c r="C337" i="28"/>
  <c r="K2" i="19"/>
  <c r="AF36" i="20" l="1"/>
  <c r="AE36" i="20"/>
  <c r="T36" i="20"/>
  <c r="S36" i="20"/>
  <c r="Q279" i="28" l="1"/>
  <c r="Q280" i="28"/>
  <c r="F218" i="28"/>
  <c r="F155" i="28"/>
  <c r="R280" i="28"/>
  <c r="D343" i="28" s="1"/>
  <c r="R279" i="28"/>
  <c r="D342" i="28" s="1"/>
  <c r="S280" i="28"/>
  <c r="S279" i="28"/>
  <c r="AE38" i="20"/>
  <c r="AE37" i="20"/>
  <c r="AE35" i="20"/>
  <c r="AE34" i="20"/>
  <c r="AE33" i="20"/>
  <c r="AE32" i="20"/>
  <c r="AE31" i="20"/>
  <c r="AE30" i="20"/>
  <c r="S38" i="20"/>
  <c r="S37" i="20"/>
  <c r="S35" i="20"/>
  <c r="S34" i="20"/>
  <c r="S33" i="20"/>
  <c r="S32" i="20"/>
  <c r="S31" i="20"/>
  <c r="S30" i="20"/>
  <c r="X22" i="20"/>
  <c r="X23" i="20"/>
  <c r="X24" i="20"/>
  <c r="C5" i="26"/>
  <c r="I5" i="26"/>
  <c r="H5" i="26"/>
  <c r="G5" i="26"/>
  <c r="F5" i="26"/>
  <c r="E5" i="26"/>
  <c r="D5" i="26"/>
  <c r="B5" i="26"/>
  <c r="M3" i="25"/>
  <c r="M4" i="25"/>
  <c r="M5" i="25"/>
  <c r="M6" i="25"/>
  <c r="M7" i="25"/>
  <c r="M8" i="25"/>
  <c r="M9" i="25"/>
  <c r="M10" i="25"/>
  <c r="M11" i="25"/>
  <c r="M12" i="25"/>
  <c r="M13" i="25"/>
  <c r="M14" i="25"/>
  <c r="M15" i="25"/>
  <c r="M16" i="25"/>
  <c r="M17" i="25"/>
  <c r="M18" i="25"/>
  <c r="M19" i="25"/>
  <c r="M20" i="25"/>
  <c r="M21" i="25"/>
  <c r="M22" i="25"/>
  <c r="K3" i="25"/>
  <c r="K4" i="25"/>
  <c r="K5" i="25"/>
  <c r="K6" i="25"/>
  <c r="K7" i="25"/>
  <c r="K8" i="25"/>
  <c r="K9" i="25"/>
  <c r="K10" i="25"/>
  <c r="K11" i="25"/>
  <c r="K12" i="25"/>
  <c r="K13" i="25"/>
  <c r="K14" i="25"/>
  <c r="K15" i="25"/>
  <c r="K16" i="25"/>
  <c r="K17" i="25"/>
  <c r="K18" i="25"/>
  <c r="K19" i="25"/>
  <c r="K20" i="25"/>
  <c r="K21" i="25"/>
  <c r="K22" i="25"/>
  <c r="I3" i="25"/>
  <c r="I4" i="25"/>
  <c r="I5" i="25"/>
  <c r="I6" i="25"/>
  <c r="I7" i="25"/>
  <c r="I8" i="25"/>
  <c r="I9" i="25"/>
  <c r="I10" i="25"/>
  <c r="I11" i="25"/>
  <c r="I12" i="25"/>
  <c r="I13" i="25"/>
  <c r="I14" i="25"/>
  <c r="I15" i="25"/>
  <c r="I16" i="25"/>
  <c r="I17" i="25"/>
  <c r="I18" i="25"/>
  <c r="I19" i="25"/>
  <c r="I20" i="25"/>
  <c r="I21" i="25"/>
  <c r="I22" i="25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G3" i="25"/>
  <c r="G4" i="25"/>
  <c r="G5" i="25"/>
  <c r="G6" i="25"/>
  <c r="G7" i="25"/>
  <c r="G8" i="25"/>
  <c r="G9" i="25"/>
  <c r="G10" i="25"/>
  <c r="G11" i="25"/>
  <c r="G12" i="25"/>
  <c r="G13" i="25"/>
  <c r="G14" i="25"/>
  <c r="G15" i="25"/>
  <c r="G16" i="25"/>
  <c r="G17" i="25"/>
  <c r="G18" i="25"/>
  <c r="G19" i="25"/>
  <c r="G20" i="25"/>
  <c r="G21" i="25"/>
  <c r="G22" i="25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M2" i="25"/>
  <c r="K2" i="25"/>
  <c r="I2" i="25"/>
  <c r="H2" i="25"/>
  <c r="G2" i="25"/>
  <c r="F2" i="25"/>
  <c r="E3" i="25"/>
  <c r="E4" i="25"/>
  <c r="E5" i="25"/>
  <c r="E6" i="25"/>
  <c r="E7" i="25"/>
  <c r="E8" i="25"/>
  <c r="E9" i="25"/>
  <c r="E10" i="25"/>
  <c r="E11" i="25"/>
  <c r="E12" i="25"/>
  <c r="E13" i="25"/>
  <c r="E14" i="25"/>
  <c r="E15" i="25"/>
  <c r="E16" i="25"/>
  <c r="E17" i="25"/>
  <c r="E18" i="25"/>
  <c r="E19" i="25"/>
  <c r="E20" i="25"/>
  <c r="E21" i="25"/>
  <c r="E22" i="25"/>
  <c r="E2" i="25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" i="25"/>
  <c r="C3" i="25"/>
  <c r="C4" i="25"/>
  <c r="C5" i="25"/>
  <c r="C6" i="25"/>
  <c r="C7" i="25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" i="25"/>
  <c r="B3" i="25"/>
  <c r="B4" i="25"/>
  <c r="B5" i="25"/>
  <c r="B6" i="25"/>
  <c r="B7" i="25"/>
  <c r="B8" i="25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" i="25"/>
  <c r="V3" i="24"/>
  <c r="R3" i="24"/>
  <c r="L3" i="24"/>
  <c r="J3" i="24"/>
  <c r="H3" i="24"/>
  <c r="F3" i="24"/>
  <c r="D3" i="24"/>
  <c r="M26" i="25" l="1"/>
  <c r="I25" i="25"/>
  <c r="M25" i="25"/>
  <c r="J26" i="16"/>
  <c r="L26" i="16" s="1"/>
  <c r="I26" i="16"/>
  <c r="K26" i="16" s="1"/>
  <c r="I23" i="25"/>
  <c r="H23" i="25"/>
  <c r="K25" i="25"/>
  <c r="K23" i="25"/>
  <c r="E343" i="28"/>
  <c r="N280" i="28"/>
  <c r="T280" i="28"/>
  <c r="F343" i="28" s="1"/>
  <c r="E342" i="28"/>
  <c r="N279" i="28"/>
  <c r="T279" i="28"/>
  <c r="F342" i="28" s="1"/>
  <c r="F217" i="28"/>
  <c r="F154" i="28"/>
  <c r="S39" i="20"/>
  <c r="U36" i="20" s="1"/>
  <c r="AE39" i="20"/>
  <c r="M23" i="25"/>
  <c r="K26" i="25"/>
  <c r="I27" i="25"/>
  <c r="I26" i="25"/>
  <c r="R10" i="24"/>
  <c r="AI10" i="24"/>
  <c r="AE10" i="24"/>
  <c r="W10" i="24"/>
  <c r="V10" i="24"/>
  <c r="S10" i="24"/>
  <c r="Z2" i="24"/>
  <c r="V2" i="24"/>
  <c r="AH2" i="24" s="1"/>
  <c r="R2" i="24"/>
  <c r="AD2" i="24" s="1"/>
  <c r="N2" i="24"/>
  <c r="O24" i="6"/>
  <c r="G5" i="23"/>
  <c r="G6" i="23"/>
  <c r="G7" i="23"/>
  <c r="G8" i="23"/>
  <c r="G9" i="23"/>
  <c r="G10" i="23"/>
  <c r="G11" i="23"/>
  <c r="G12" i="23"/>
  <c r="G13" i="23"/>
  <c r="G14" i="23"/>
  <c r="G15" i="23"/>
  <c r="G16" i="23"/>
  <c r="G17" i="23"/>
  <c r="G18" i="23"/>
  <c r="G19" i="23"/>
  <c r="G20" i="23"/>
  <c r="G21" i="23"/>
  <c r="G4" i="23"/>
  <c r="F5" i="23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4" i="23"/>
  <c r="E5" i="23"/>
  <c r="E7" i="23"/>
  <c r="E8" i="23"/>
  <c r="E9" i="23"/>
  <c r="E10" i="23"/>
  <c r="E11" i="23"/>
  <c r="E12" i="23"/>
  <c r="E13" i="23"/>
  <c r="E14" i="23"/>
  <c r="E15" i="23"/>
  <c r="E16" i="23"/>
  <c r="E17" i="23"/>
  <c r="E18" i="23"/>
  <c r="E19" i="23"/>
  <c r="E20" i="23"/>
  <c r="E21" i="23"/>
  <c r="E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R3" i="23"/>
  <c r="N3" i="23"/>
  <c r="I3" i="23"/>
  <c r="AG36" i="20" l="1"/>
  <c r="AH36" i="20"/>
  <c r="U38" i="20"/>
  <c r="U35" i="20"/>
  <c r="U32" i="20"/>
  <c r="U31" i="20"/>
  <c r="AG33" i="20"/>
  <c r="AG31" i="20"/>
  <c r="U34" i="20"/>
  <c r="U33" i="20"/>
  <c r="U37" i="20"/>
  <c r="AG35" i="20"/>
  <c r="AG38" i="20"/>
  <c r="U30" i="20"/>
  <c r="AG37" i="20"/>
  <c r="AG32" i="20"/>
  <c r="AG34" i="20"/>
  <c r="AG30" i="20"/>
  <c r="I24" i="23"/>
  <c r="C4" i="22"/>
  <c r="AG6" i="20"/>
  <c r="V6" i="20"/>
  <c r="AO4" i="8"/>
  <c r="AG22" i="20"/>
  <c r="AG24" i="20"/>
  <c r="E11" i="22" l="1"/>
  <c r="E16" i="22"/>
  <c r="E17" i="22"/>
  <c r="E18" i="22"/>
  <c r="C9" i="22"/>
  <c r="C10" i="22"/>
  <c r="C12" i="22"/>
  <c r="C13" i="22"/>
  <c r="C14" i="22"/>
  <c r="E5" i="22"/>
  <c r="F23" i="22"/>
  <c r="F22" i="22"/>
  <c r="E23" i="21"/>
  <c r="E24" i="21"/>
  <c r="E22" i="21"/>
  <c r="E8" i="21"/>
  <c r="E12" i="21"/>
  <c r="E13" i="21"/>
  <c r="E14" i="21"/>
  <c r="E15" i="21"/>
  <c r="E17" i="21"/>
  <c r="E18" i="21"/>
  <c r="E19" i="21"/>
  <c r="D23" i="21"/>
  <c r="D24" i="21"/>
  <c r="D22" i="21"/>
  <c r="D8" i="21"/>
  <c r="D9" i="21"/>
  <c r="D12" i="21"/>
  <c r="D13" i="21"/>
  <c r="D14" i="21"/>
  <c r="D15" i="21"/>
  <c r="D17" i="21"/>
  <c r="D18" i="21"/>
  <c r="D19" i="21"/>
  <c r="C23" i="21"/>
  <c r="C24" i="21"/>
  <c r="AK22" i="20" l="1"/>
  <c r="AK23" i="20"/>
  <c r="AK24" i="20"/>
  <c r="AJ22" i="20"/>
  <c r="AJ23" i="20"/>
  <c r="AJ24" i="20"/>
  <c r="AK6" i="20"/>
  <c r="AI22" i="20"/>
  <c r="AI24" i="20"/>
  <c r="AI6" i="20"/>
  <c r="AD8" i="20"/>
  <c r="AE8" i="20"/>
  <c r="AF8" i="20"/>
  <c r="AD9" i="20"/>
  <c r="AE9" i="20"/>
  <c r="AF9" i="20"/>
  <c r="AD10" i="20"/>
  <c r="AE10" i="20"/>
  <c r="AF10" i="20"/>
  <c r="AD11" i="20"/>
  <c r="AE11" i="20"/>
  <c r="AF11" i="20"/>
  <c r="AD12" i="20"/>
  <c r="AE12" i="20"/>
  <c r="AF12" i="20"/>
  <c r="AD13" i="20"/>
  <c r="AE13" i="20"/>
  <c r="AF13" i="20"/>
  <c r="AD14" i="20"/>
  <c r="AE14" i="20"/>
  <c r="AF14" i="20"/>
  <c r="AD15" i="20"/>
  <c r="AE15" i="20"/>
  <c r="AF15" i="20"/>
  <c r="AD16" i="20"/>
  <c r="AE16" i="20"/>
  <c r="AF16" i="20"/>
  <c r="AD17" i="20"/>
  <c r="AE17" i="20"/>
  <c r="AF17" i="20"/>
  <c r="AD18" i="20"/>
  <c r="AE18" i="20"/>
  <c r="AF18" i="20"/>
  <c r="AD19" i="20"/>
  <c r="AE19" i="20"/>
  <c r="AF19" i="20"/>
  <c r="AD20" i="20"/>
  <c r="AE20" i="20"/>
  <c r="AF20" i="20"/>
  <c r="AD21" i="20"/>
  <c r="AE21" i="20"/>
  <c r="AF21" i="20"/>
  <c r="AD22" i="20"/>
  <c r="AE22" i="20"/>
  <c r="AF22" i="20"/>
  <c r="AD23" i="20"/>
  <c r="AE23" i="20"/>
  <c r="AF23" i="20"/>
  <c r="AD24" i="20"/>
  <c r="AE24" i="20"/>
  <c r="AF24" i="20"/>
  <c r="AE7" i="20"/>
  <c r="AF7" i="20"/>
  <c r="AD7" i="20"/>
  <c r="Z22" i="20"/>
  <c r="Z23" i="20"/>
  <c r="Z24" i="20"/>
  <c r="Y8" i="20"/>
  <c r="Y9" i="20"/>
  <c r="Y10" i="20"/>
  <c r="Y11" i="20"/>
  <c r="Y12" i="20"/>
  <c r="Y13" i="20"/>
  <c r="Y14" i="20"/>
  <c r="Y15" i="20"/>
  <c r="Y16" i="20"/>
  <c r="Y17" i="20"/>
  <c r="Y18" i="20"/>
  <c r="Y19" i="20"/>
  <c r="Y20" i="20"/>
  <c r="Y22" i="20"/>
  <c r="Y23" i="20"/>
  <c r="Y24" i="20"/>
  <c r="Y7" i="20"/>
  <c r="Z6" i="20"/>
  <c r="V8" i="20"/>
  <c r="V9" i="20"/>
  <c r="V10" i="20"/>
  <c r="V11" i="20"/>
  <c r="V12" i="20"/>
  <c r="V13" i="20"/>
  <c r="V14" i="20"/>
  <c r="V15" i="20"/>
  <c r="V16" i="20"/>
  <c r="V17" i="20"/>
  <c r="V18" i="20"/>
  <c r="V19" i="20"/>
  <c r="V20" i="20"/>
  <c r="V22" i="20"/>
  <c r="V23" i="20"/>
  <c r="V24" i="20"/>
  <c r="V7" i="20"/>
  <c r="X6" i="20"/>
  <c r="U8" i="20"/>
  <c r="U9" i="20"/>
  <c r="U10" i="20"/>
  <c r="U11" i="20"/>
  <c r="U12" i="20"/>
  <c r="U13" i="20"/>
  <c r="U14" i="20"/>
  <c r="U15" i="20"/>
  <c r="U16" i="20"/>
  <c r="U17" i="20"/>
  <c r="U18" i="20"/>
  <c r="U19" i="20"/>
  <c r="U20" i="20"/>
  <c r="U21" i="20"/>
  <c r="U22" i="20"/>
  <c r="U23" i="20"/>
  <c r="U24" i="20"/>
  <c r="U7" i="20"/>
  <c r="R8" i="20"/>
  <c r="S8" i="20"/>
  <c r="T8" i="20"/>
  <c r="R9" i="20"/>
  <c r="S9" i="20"/>
  <c r="T9" i="20"/>
  <c r="R10" i="20"/>
  <c r="S10" i="20"/>
  <c r="T10" i="20"/>
  <c r="R11" i="20"/>
  <c r="S11" i="20"/>
  <c r="T11" i="20"/>
  <c r="R12" i="20"/>
  <c r="S12" i="20"/>
  <c r="T12" i="20"/>
  <c r="R13" i="20"/>
  <c r="S13" i="20"/>
  <c r="T13" i="20"/>
  <c r="R14" i="20"/>
  <c r="S14" i="20"/>
  <c r="T14" i="20"/>
  <c r="R15" i="20"/>
  <c r="S15" i="20"/>
  <c r="T15" i="20"/>
  <c r="R16" i="20"/>
  <c r="S16" i="20"/>
  <c r="T16" i="20"/>
  <c r="R17" i="20"/>
  <c r="S17" i="20"/>
  <c r="T17" i="20"/>
  <c r="R18" i="20"/>
  <c r="S18" i="20"/>
  <c r="T18" i="20"/>
  <c r="R19" i="20"/>
  <c r="S19" i="20"/>
  <c r="T19" i="20"/>
  <c r="R20" i="20"/>
  <c r="S20" i="20"/>
  <c r="T20" i="20"/>
  <c r="R21" i="20"/>
  <c r="S21" i="20"/>
  <c r="T21" i="20"/>
  <c r="R22" i="20"/>
  <c r="S22" i="20"/>
  <c r="T22" i="20"/>
  <c r="R23" i="20"/>
  <c r="S23" i="20"/>
  <c r="T23" i="20"/>
  <c r="R24" i="20"/>
  <c r="S24" i="20"/>
  <c r="T24" i="20"/>
  <c r="S7" i="20"/>
  <c r="T7" i="20"/>
  <c r="R7" i="20"/>
  <c r="AL22" i="20" l="1"/>
  <c r="AL24" i="20"/>
  <c r="AA22" i="20"/>
  <c r="AA24" i="20"/>
  <c r="AA23" i="20"/>
  <c r="AB5" i="10"/>
  <c r="P5" i="26" s="1"/>
  <c r="Z5" i="10"/>
  <c r="N5" i="26" s="1"/>
  <c r="X5" i="10"/>
  <c r="L5" i="26" s="1"/>
  <c r="H13" i="2"/>
  <c r="I13" i="2"/>
  <c r="D24" i="29" s="1"/>
  <c r="J13" i="2"/>
  <c r="C44" i="1"/>
  <c r="M13" i="2" l="1"/>
  <c r="C24" i="29"/>
  <c r="L6" i="26"/>
  <c r="P6" i="26"/>
  <c r="P13" i="26" s="1"/>
  <c r="J5" i="26"/>
  <c r="J6" i="26" s="1"/>
  <c r="N6" i="26"/>
  <c r="X17" i="20"/>
  <c r="X18" i="20"/>
  <c r="Z17" i="20"/>
  <c r="Z18" i="20"/>
  <c r="H14" i="2"/>
  <c r="B5" i="10"/>
  <c r="G2" i="2"/>
  <c r="J14" i="2"/>
  <c r="G24" i="1" s="1"/>
  <c r="D68" i="11" s="1"/>
  <c r="I14" i="2"/>
  <c r="D24" i="1" s="1"/>
  <c r="C10" i="2"/>
  <c r="C9" i="2"/>
  <c r="E15" i="15"/>
  <c r="E14" i="15"/>
  <c r="E8" i="15"/>
  <c r="E7" i="15"/>
  <c r="E6" i="15"/>
  <c r="E5" i="15"/>
  <c r="E4" i="15"/>
  <c r="E3" i="15"/>
  <c r="P44" i="4" l="1"/>
  <c r="O43" i="22" s="1"/>
  <c r="E25" i="21"/>
  <c r="F223" i="28"/>
  <c r="F160" i="28"/>
  <c r="F161" i="28"/>
  <c r="F224" i="28"/>
  <c r="J43" i="4"/>
  <c r="J42" i="22" s="1"/>
  <c r="D25" i="21"/>
  <c r="AG17" i="20"/>
  <c r="AG18" i="20"/>
  <c r="AJ18" i="20"/>
  <c r="AA18" i="20"/>
  <c r="AJ17" i="20"/>
  <c r="AA17" i="20"/>
  <c r="C24" i="1"/>
  <c r="D24" i="4" l="1"/>
  <c r="E24" i="22" s="1"/>
  <c r="F24" i="22" s="1"/>
  <c r="C25" i="21"/>
  <c r="AK17" i="20"/>
  <c r="AK18" i="20"/>
  <c r="H5" i="14"/>
  <c r="T5" i="14"/>
  <c r="Q5" i="14"/>
  <c r="N5" i="14"/>
  <c r="K5" i="14"/>
  <c r="AI17" i="20" l="1"/>
  <c r="AL17" i="20" s="1"/>
  <c r="AI18" i="20"/>
  <c r="AL18" i="20" s="1"/>
  <c r="O38" i="4"/>
  <c r="N37" i="22" s="1"/>
  <c r="Q44" i="4"/>
  <c r="P43" i="22" s="1"/>
  <c r="Q43" i="4"/>
  <c r="P42" i="22" s="1"/>
  <c r="Q42" i="4"/>
  <c r="P41" i="22" s="1"/>
  <c r="Q41" i="4"/>
  <c r="P40" i="22" s="1"/>
  <c r="K43" i="4"/>
  <c r="K42" i="22" s="1"/>
  <c r="K42" i="4"/>
  <c r="K41" i="22" s="1"/>
  <c r="K41" i="4"/>
  <c r="K40" i="22" s="1"/>
  <c r="K40" i="4"/>
  <c r="K39" i="22" s="1"/>
  <c r="AE5" i="10"/>
  <c r="C7" i="13"/>
  <c r="C6" i="13"/>
  <c r="C5" i="13"/>
  <c r="C4" i="13"/>
  <c r="C3" i="13"/>
  <c r="D161" i="11"/>
  <c r="D160" i="11"/>
  <c r="D141" i="11"/>
  <c r="D140" i="11"/>
  <c r="D139" i="11"/>
  <c r="D138" i="11"/>
  <c r="D67" i="11"/>
  <c r="D58" i="11"/>
  <c r="D57" i="11"/>
  <c r="D94" i="11"/>
  <c r="D69" i="11"/>
  <c r="D59" i="11"/>
  <c r="A6" i="12"/>
  <c r="A7" i="12"/>
  <c r="A8" i="12"/>
  <c r="A9" i="12"/>
  <c r="A10" i="12"/>
  <c r="A11" i="12"/>
  <c r="A12" i="12"/>
  <c r="A13" i="12"/>
  <c r="A14" i="12"/>
  <c r="A15" i="12"/>
  <c r="A5" i="12"/>
  <c r="J39" i="12"/>
  <c r="J38" i="12"/>
  <c r="I25" i="12"/>
  <c r="G26" i="12"/>
  <c r="M3" i="30" s="1"/>
  <c r="G27" i="12"/>
  <c r="M4" i="30" s="1"/>
  <c r="G28" i="12"/>
  <c r="M5" i="30" s="1"/>
  <c r="G29" i="12"/>
  <c r="M6" i="30" s="1"/>
  <c r="G30" i="12"/>
  <c r="M7" i="30" s="1"/>
  <c r="G31" i="12"/>
  <c r="M8" i="30" s="1"/>
  <c r="G32" i="12"/>
  <c r="M9" i="30" s="1"/>
  <c r="G33" i="12"/>
  <c r="M10" i="30" s="1"/>
  <c r="G34" i="12"/>
  <c r="M11" i="30" s="1"/>
  <c r="G35" i="12"/>
  <c r="M12" i="30" s="1"/>
  <c r="G25" i="12"/>
  <c r="M2" i="30" s="1"/>
  <c r="L16" i="12"/>
  <c r="K16" i="12"/>
  <c r="AD5" i="10"/>
  <c r="D2" i="13"/>
  <c r="C2" i="13"/>
  <c r="C17" i="4" l="1"/>
  <c r="D17" i="22" s="1"/>
  <c r="C18" i="4"/>
  <c r="D18" i="22" s="1"/>
  <c r="C16" i="4"/>
  <c r="D16" i="22" s="1"/>
  <c r="C15" i="4"/>
  <c r="D15" i="22" s="1"/>
  <c r="B15" i="4"/>
  <c r="C12" i="29"/>
  <c r="F15" i="30"/>
  <c r="J25" i="12"/>
  <c r="O2" i="30"/>
  <c r="F16" i="30"/>
  <c r="C12" i="1"/>
  <c r="C13" i="21" s="1"/>
  <c r="I37" i="4"/>
  <c r="I36" i="22" s="1"/>
  <c r="D12" i="4"/>
  <c r="E12" i="22" s="1"/>
  <c r="J40" i="12"/>
  <c r="J41" i="12" l="1"/>
  <c r="C14" i="1" s="1"/>
  <c r="C15" i="21" s="1"/>
  <c r="F17" i="30"/>
  <c r="J36" i="12"/>
  <c r="P2" i="30"/>
  <c r="D38" i="11"/>
  <c r="F12" i="22"/>
  <c r="U5" i="8"/>
  <c r="T5" i="8"/>
  <c r="AB6" i="10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Z6" i="10"/>
  <c r="G15" i="1" s="1"/>
  <c r="E16" i="21" s="1"/>
  <c r="X6" i="10"/>
  <c r="D15" i="29" s="1"/>
  <c r="V6" i="10"/>
  <c r="D15" i="4" s="1"/>
  <c r="E15" i="22" s="1"/>
  <c r="T6" i="10"/>
  <c r="D14" i="4" l="1"/>
  <c r="E14" i="22" s="1"/>
  <c r="F14" i="22" s="1"/>
  <c r="C14" i="29"/>
  <c r="F18" i="30"/>
  <c r="D40" i="11"/>
  <c r="D15" i="1"/>
  <c r="D16" i="21" s="1"/>
  <c r="X20" i="20"/>
  <c r="X19" i="20"/>
  <c r="Z20" i="20"/>
  <c r="Z19" i="20"/>
  <c r="B16" i="4"/>
  <c r="B17" i="4"/>
  <c r="B18" i="4"/>
  <c r="V11" i="10"/>
  <c r="C29" i="2"/>
  <c r="AB8" i="10"/>
  <c r="AB10" i="10"/>
  <c r="C36" i="1" s="1"/>
  <c r="D158" i="11" s="1"/>
  <c r="V10" i="10"/>
  <c r="V8" i="10"/>
  <c r="V9" i="10"/>
  <c r="C18" i="29" l="1"/>
  <c r="J11" i="26"/>
  <c r="C16" i="29"/>
  <c r="J10" i="26"/>
  <c r="C15" i="29"/>
  <c r="J8" i="26"/>
  <c r="C17" i="29"/>
  <c r="J9" i="26"/>
  <c r="F225" i="28"/>
  <c r="F162" i="28"/>
  <c r="C17" i="1"/>
  <c r="C18" i="21" s="1"/>
  <c r="C15" i="1"/>
  <c r="C16" i="21" s="1"/>
  <c r="C16" i="1"/>
  <c r="C17" i="21" s="1"/>
  <c r="C18" i="1"/>
  <c r="C19" i="21" s="1"/>
  <c r="D135" i="11"/>
  <c r="C17" i="22"/>
  <c r="C16" i="22"/>
  <c r="C15" i="22"/>
  <c r="C18" i="22"/>
  <c r="AG19" i="20"/>
  <c r="AG20" i="20"/>
  <c r="AJ19" i="20"/>
  <c r="AJ20" i="20"/>
  <c r="AA20" i="20"/>
  <c r="AA19" i="20"/>
  <c r="AB13" i="10"/>
  <c r="C35" i="1"/>
  <c r="V13" i="10"/>
  <c r="N16" i="29" l="1"/>
  <c r="O16" i="29" s="1"/>
  <c r="N17" i="29"/>
  <c r="O17" i="29" s="1"/>
  <c r="J13" i="26"/>
  <c r="Q17" i="1"/>
  <c r="R17" i="1" s="1"/>
  <c r="D45" i="11"/>
  <c r="Q16" i="1"/>
  <c r="R16" i="1" s="1"/>
  <c r="D46" i="11"/>
  <c r="D47" i="11"/>
  <c r="D44" i="11"/>
  <c r="F16" i="22"/>
  <c r="F18" i="22"/>
  <c r="F15" i="22"/>
  <c r="F17" i="22"/>
  <c r="AK20" i="20"/>
  <c r="AK19" i="20"/>
  <c r="C37" i="1"/>
  <c r="D156" i="11"/>
  <c r="D157" i="11"/>
  <c r="D50" i="11" l="1"/>
  <c r="D51" i="11" s="1"/>
  <c r="D48" i="11"/>
  <c r="AI19" i="20"/>
  <c r="AL19" i="20" s="1"/>
  <c r="AI20" i="20"/>
  <c r="AL20" i="20" s="1"/>
  <c r="C42" i="1"/>
  <c r="C45" i="1" s="1"/>
  <c r="D159" i="11"/>
  <c r="D162" i="11" s="1"/>
  <c r="D163" i="11" s="1"/>
  <c r="D164" i="11" s="1"/>
  <c r="D166" i="11" l="1"/>
  <c r="E164" i="11"/>
  <c r="O26" i="9" l="1"/>
  <c r="T29" i="9"/>
  <c r="P37" i="4" s="1"/>
  <c r="O36" i="22" s="1"/>
  <c r="T28" i="9"/>
  <c r="G9" i="1" s="1"/>
  <c r="E10" i="21" s="1"/>
  <c r="R29" i="9"/>
  <c r="D10" i="29" s="1"/>
  <c r="D19" i="29" s="1"/>
  <c r="D25" i="29" s="1"/>
  <c r="D28" i="29" s="1"/>
  <c r="R28" i="9"/>
  <c r="P30" i="9"/>
  <c r="C13" i="29" s="1"/>
  <c r="P29" i="9"/>
  <c r="C10" i="29" s="1"/>
  <c r="P28" i="9"/>
  <c r="T26" i="9"/>
  <c r="R26" i="9"/>
  <c r="P26" i="9"/>
  <c r="B5" i="9"/>
  <c r="C28" i="2" s="1"/>
  <c r="C9" i="1" l="1"/>
  <c r="C10" i="21" s="1"/>
  <c r="D9" i="4"/>
  <c r="E9" i="22" s="1"/>
  <c r="D10" i="4"/>
  <c r="E10" i="22" s="1"/>
  <c r="F10" i="22" s="1"/>
  <c r="C10" i="1"/>
  <c r="C11" i="21" s="1"/>
  <c r="C13" i="1"/>
  <c r="C14" i="21" s="1"/>
  <c r="J35" i="4"/>
  <c r="D9" i="1"/>
  <c r="D10" i="21" s="1"/>
  <c r="D10" i="1"/>
  <c r="D11" i="21" s="1"/>
  <c r="P33" i="9"/>
  <c r="T33" i="9"/>
  <c r="P36" i="4"/>
  <c r="O35" i="22" s="1"/>
  <c r="G10" i="1"/>
  <c r="R33" i="9"/>
  <c r="J36" i="4"/>
  <c r="D35" i="11"/>
  <c r="D13" i="4"/>
  <c r="E13" i="22" s="1"/>
  <c r="F13" i="22" s="1"/>
  <c r="N7" i="6"/>
  <c r="R372" i="28" s="1"/>
  <c r="O7" i="6"/>
  <c r="T7" i="6"/>
  <c r="M7" i="23" s="1"/>
  <c r="U7" i="6"/>
  <c r="Y7" i="6"/>
  <c r="Q7" i="23" s="1"/>
  <c r="Z7" i="6"/>
  <c r="N8" i="6"/>
  <c r="R373" i="28" s="1"/>
  <c r="O8" i="6"/>
  <c r="T8" i="6"/>
  <c r="M8" i="23" s="1"/>
  <c r="U8" i="6"/>
  <c r="Y8" i="6"/>
  <c r="Q8" i="23" s="1"/>
  <c r="Z8" i="6"/>
  <c r="N9" i="6"/>
  <c r="R374" i="28" s="1"/>
  <c r="O9" i="6"/>
  <c r="T9" i="6"/>
  <c r="M9" i="23" s="1"/>
  <c r="U9" i="6"/>
  <c r="Y9" i="6"/>
  <c r="Q9" i="23" s="1"/>
  <c r="Z9" i="6"/>
  <c r="N10" i="6"/>
  <c r="R375" i="28" s="1"/>
  <c r="O10" i="6"/>
  <c r="T10" i="6"/>
  <c r="M10" i="23" s="1"/>
  <c r="U10" i="6"/>
  <c r="Y10" i="6"/>
  <c r="Q10" i="23" s="1"/>
  <c r="Z10" i="6"/>
  <c r="N11" i="6"/>
  <c r="R376" i="28" s="1"/>
  <c r="O11" i="6"/>
  <c r="T11" i="6"/>
  <c r="M11" i="23" s="1"/>
  <c r="U11" i="6"/>
  <c r="Y11" i="6"/>
  <c r="Q11" i="23" s="1"/>
  <c r="Z11" i="6"/>
  <c r="N12" i="6"/>
  <c r="R377" i="28" s="1"/>
  <c r="O12" i="6"/>
  <c r="T12" i="6"/>
  <c r="M12" i="23" s="1"/>
  <c r="U12" i="6"/>
  <c r="Y12" i="6"/>
  <c r="Q12" i="23" s="1"/>
  <c r="Z12" i="6"/>
  <c r="N13" i="6"/>
  <c r="O13" i="6"/>
  <c r="T13" i="6"/>
  <c r="M13" i="23" s="1"/>
  <c r="U13" i="6"/>
  <c r="Y13" i="6"/>
  <c r="Q13" i="23" s="1"/>
  <c r="Z13" i="6"/>
  <c r="N14" i="6"/>
  <c r="O14" i="6"/>
  <c r="T14" i="6"/>
  <c r="M14" i="23" s="1"/>
  <c r="U14" i="6"/>
  <c r="Y14" i="6"/>
  <c r="Q14" i="23" s="1"/>
  <c r="Z14" i="6"/>
  <c r="N15" i="6"/>
  <c r="O15" i="6"/>
  <c r="T15" i="6"/>
  <c r="M15" i="23" s="1"/>
  <c r="U15" i="6"/>
  <c r="Y15" i="6"/>
  <c r="Q15" i="23" s="1"/>
  <c r="Z15" i="6"/>
  <c r="N16" i="6"/>
  <c r="O16" i="6"/>
  <c r="T16" i="6"/>
  <c r="M16" i="23" s="1"/>
  <c r="U16" i="6"/>
  <c r="Y16" i="6"/>
  <c r="Q16" i="23" s="1"/>
  <c r="Z16" i="6"/>
  <c r="N17" i="6"/>
  <c r="O17" i="6"/>
  <c r="T17" i="6"/>
  <c r="M17" i="23" s="1"/>
  <c r="U17" i="6"/>
  <c r="Y17" i="6"/>
  <c r="Q17" i="23" s="1"/>
  <c r="Z17" i="6"/>
  <c r="N18" i="6"/>
  <c r="O18" i="6"/>
  <c r="T18" i="6"/>
  <c r="M18" i="23" s="1"/>
  <c r="U18" i="6"/>
  <c r="Y18" i="6"/>
  <c r="Q18" i="23" s="1"/>
  <c r="Z18" i="6"/>
  <c r="N19" i="6"/>
  <c r="H19" i="23" s="1"/>
  <c r="O19" i="6"/>
  <c r="T19" i="6"/>
  <c r="M19" i="23" s="1"/>
  <c r="U19" i="6"/>
  <c r="Y19" i="6"/>
  <c r="Q19" i="23" s="1"/>
  <c r="Z19" i="6"/>
  <c r="N20" i="6"/>
  <c r="H20" i="23" s="1"/>
  <c r="O20" i="6"/>
  <c r="T20" i="6"/>
  <c r="M20" i="23" s="1"/>
  <c r="U20" i="6"/>
  <c r="Y20" i="6"/>
  <c r="Q20" i="23" s="1"/>
  <c r="Z20" i="6"/>
  <c r="N21" i="6"/>
  <c r="H21" i="23" s="1"/>
  <c r="O21" i="6"/>
  <c r="T21" i="6"/>
  <c r="M21" i="23" s="1"/>
  <c r="U21" i="6"/>
  <c r="Y21" i="6"/>
  <c r="Q21" i="23" s="1"/>
  <c r="Z21" i="6"/>
  <c r="AJ4" i="8"/>
  <c r="AX4" i="8" s="1"/>
  <c r="AE4" i="8"/>
  <c r="Z3" i="6"/>
  <c r="Y4" i="8"/>
  <c r="U3" i="6"/>
  <c r="O3" i="6"/>
  <c r="Q38" i="4"/>
  <c r="Q37" i="4"/>
  <c r="P36" i="22" s="1"/>
  <c r="Q35" i="4"/>
  <c r="P34" i="22" s="1"/>
  <c r="K37" i="4"/>
  <c r="Q22" i="6"/>
  <c r="AL6" i="8"/>
  <c r="X4" i="24" s="1"/>
  <c r="AG6" i="8"/>
  <c r="T4" i="24" s="1"/>
  <c r="AB6" i="8"/>
  <c r="P4" i="24" s="1"/>
  <c r="O6" i="8"/>
  <c r="V5" i="8"/>
  <c r="AP5" i="8" s="1"/>
  <c r="AP12" i="8" l="1"/>
  <c r="AP16" i="8" s="1"/>
  <c r="F29" i="2"/>
  <c r="P37" i="22"/>
  <c r="K35" i="4"/>
  <c r="K34" i="22" s="1"/>
  <c r="J34" i="22"/>
  <c r="K36" i="4"/>
  <c r="K35" i="22" s="1"/>
  <c r="J35" i="22"/>
  <c r="K3" i="24"/>
  <c r="AO5" i="8"/>
  <c r="E29" i="2"/>
  <c r="K36" i="22"/>
  <c r="Q230" i="28"/>
  <c r="Q275" i="28"/>
  <c r="Q281" i="28"/>
  <c r="Q274" i="28"/>
  <c r="Q277" i="28"/>
  <c r="Q278" i="28"/>
  <c r="Q276" i="28"/>
  <c r="D36" i="11"/>
  <c r="H17" i="23"/>
  <c r="F364" i="28"/>
  <c r="H15" i="23"/>
  <c r="F362" i="28"/>
  <c r="H13" i="23"/>
  <c r="F360" i="28"/>
  <c r="H11" i="23"/>
  <c r="F358" i="28"/>
  <c r="H9" i="23"/>
  <c r="E388" i="28"/>
  <c r="F356" i="28"/>
  <c r="H7" i="23"/>
  <c r="F354" i="28"/>
  <c r="E393" i="28"/>
  <c r="D134" i="11"/>
  <c r="H18" i="23"/>
  <c r="F365" i="28"/>
  <c r="H16" i="23"/>
  <c r="F363" i="28"/>
  <c r="H14" i="23"/>
  <c r="F361" i="28"/>
  <c r="H12" i="23"/>
  <c r="F359" i="28"/>
  <c r="H10" i="23"/>
  <c r="E397" i="28"/>
  <c r="F357" i="28"/>
  <c r="H8" i="23"/>
  <c r="F355" i="28"/>
  <c r="E395" i="28"/>
  <c r="D133" i="11"/>
  <c r="D39" i="11"/>
  <c r="X15" i="20"/>
  <c r="X14" i="20"/>
  <c r="X11" i="20"/>
  <c r="X13" i="20"/>
  <c r="X12" i="20"/>
  <c r="X10" i="20"/>
  <c r="X9" i="20"/>
  <c r="X8" i="20"/>
  <c r="X16" i="20"/>
  <c r="BE6" i="8"/>
  <c r="AO4" i="24" s="1"/>
  <c r="R20" i="6"/>
  <c r="K20" i="23" s="1"/>
  <c r="I20" i="23"/>
  <c r="W17" i="6"/>
  <c r="O17" i="23" s="1"/>
  <c r="N17" i="23"/>
  <c r="W13" i="6"/>
  <c r="O13" i="23" s="1"/>
  <c r="N13" i="23"/>
  <c r="AB10" i="6"/>
  <c r="S10" i="23" s="1"/>
  <c r="R10" i="23"/>
  <c r="AB19" i="6"/>
  <c r="S19" i="23" s="1"/>
  <c r="R19" i="23"/>
  <c r="AB15" i="6"/>
  <c r="S15" i="23" s="1"/>
  <c r="R15" i="23"/>
  <c r="R13" i="6"/>
  <c r="I13" i="23"/>
  <c r="R9" i="6"/>
  <c r="S374" i="28" s="1"/>
  <c r="I9" i="23"/>
  <c r="AB20" i="6"/>
  <c r="S20" i="23" s="1"/>
  <c r="R20" i="23"/>
  <c r="W19" i="6"/>
  <c r="O19" i="23" s="1"/>
  <c r="N19" i="23"/>
  <c r="R18" i="6"/>
  <c r="I18" i="23"/>
  <c r="AB16" i="6"/>
  <c r="S16" i="23" s="1"/>
  <c r="R16" i="23"/>
  <c r="W15" i="6"/>
  <c r="O15" i="23" s="1"/>
  <c r="N15" i="23"/>
  <c r="R14" i="6"/>
  <c r="I14" i="23"/>
  <c r="AB12" i="6"/>
  <c r="S12" i="23" s="1"/>
  <c r="R12" i="23"/>
  <c r="W11" i="6"/>
  <c r="O11" i="23" s="1"/>
  <c r="N11" i="23"/>
  <c r="R10" i="6"/>
  <c r="S375" i="28" s="1"/>
  <c r="I10" i="23"/>
  <c r="AB8" i="6"/>
  <c r="S8" i="23" s="1"/>
  <c r="R8" i="23"/>
  <c r="W7" i="6"/>
  <c r="O7" i="23" s="1"/>
  <c r="N7" i="23"/>
  <c r="AB18" i="6"/>
  <c r="S18" i="23" s="1"/>
  <c r="R18" i="23"/>
  <c r="AB14" i="6"/>
  <c r="S14" i="23" s="1"/>
  <c r="R14" i="23"/>
  <c r="R12" i="6"/>
  <c r="S377" i="28" s="1"/>
  <c r="I12" i="23"/>
  <c r="R8" i="6"/>
  <c r="S373" i="28" s="1"/>
  <c r="I8" i="23"/>
  <c r="W18" i="6"/>
  <c r="O18" i="23" s="1"/>
  <c r="N18" i="23"/>
  <c r="W14" i="6"/>
  <c r="O14" i="23" s="1"/>
  <c r="N14" i="23"/>
  <c r="AB11" i="6"/>
  <c r="S11" i="23" s="1"/>
  <c r="R11" i="23"/>
  <c r="AB7" i="6"/>
  <c r="S7" i="23" s="1"/>
  <c r="R7" i="23"/>
  <c r="W21" i="6"/>
  <c r="O21" i="23" s="1"/>
  <c r="N21" i="23"/>
  <c r="R16" i="6"/>
  <c r="I16" i="23"/>
  <c r="W9" i="6"/>
  <c r="O9" i="23" s="1"/>
  <c r="N9" i="23"/>
  <c r="R21" i="6"/>
  <c r="K21" i="23" s="1"/>
  <c r="I21" i="23"/>
  <c r="R17" i="6"/>
  <c r="I17" i="23"/>
  <c r="W10" i="6"/>
  <c r="O10" i="23" s="1"/>
  <c r="N10" i="23"/>
  <c r="AB21" i="6"/>
  <c r="S21" i="23" s="1"/>
  <c r="R21" i="23"/>
  <c r="W20" i="6"/>
  <c r="O20" i="23" s="1"/>
  <c r="N20" i="23"/>
  <c r="R19" i="6"/>
  <c r="K19" i="23" s="1"/>
  <c r="I19" i="23"/>
  <c r="AB17" i="6"/>
  <c r="S17" i="23" s="1"/>
  <c r="R17" i="23"/>
  <c r="W16" i="6"/>
  <c r="O16" i="23" s="1"/>
  <c r="N16" i="23"/>
  <c r="R15" i="6"/>
  <c r="I15" i="23"/>
  <c r="AB13" i="6"/>
  <c r="S13" i="23" s="1"/>
  <c r="R13" i="23"/>
  <c r="W12" i="6"/>
  <c r="O12" i="23" s="1"/>
  <c r="N12" i="23"/>
  <c r="R11" i="6"/>
  <c r="S376" i="28" s="1"/>
  <c r="I11" i="23"/>
  <c r="AB9" i="6"/>
  <c r="S9" i="23" s="1"/>
  <c r="R9" i="23"/>
  <c r="W8" i="6"/>
  <c r="O8" i="23" s="1"/>
  <c r="N8" i="23"/>
  <c r="R7" i="6"/>
  <c r="S372" i="28" s="1"/>
  <c r="I7" i="23"/>
  <c r="D65" i="11"/>
  <c r="E11" i="21"/>
  <c r="Z8" i="20"/>
  <c r="Z15" i="20"/>
  <c r="Z12" i="20"/>
  <c r="Z13" i="20"/>
  <c r="Z16" i="20"/>
  <c r="Z14" i="20"/>
  <c r="Z11" i="20"/>
  <c r="BC6" i="8"/>
  <c r="AM4" i="24" s="1"/>
  <c r="Z10" i="20"/>
  <c r="AH6" i="8"/>
  <c r="Z9" i="20"/>
  <c r="AT4" i="8"/>
  <c r="AJ6" i="20" s="1"/>
  <c r="Y6" i="20"/>
  <c r="F9" i="22"/>
  <c r="E19" i="22"/>
  <c r="E25" i="22" s="1"/>
  <c r="AX6" i="8"/>
  <c r="AH4" i="24" s="1"/>
  <c r="AT6" i="8"/>
  <c r="AF37" i="20"/>
  <c r="AH37" i="20" s="1"/>
  <c r="AT5" i="8"/>
  <c r="AX5" i="8"/>
  <c r="AH3" i="24" s="1"/>
  <c r="D19" i="4"/>
  <c r="D25" i="4" s="1"/>
  <c r="D28" i="4" s="1"/>
  <c r="E27" i="22" s="1"/>
  <c r="Q36" i="4"/>
  <c r="P39" i="4"/>
  <c r="J38" i="4"/>
  <c r="J44" i="4" s="1"/>
  <c r="B17" i="6"/>
  <c r="B20" i="6"/>
  <c r="B14" i="6"/>
  <c r="B12" i="6"/>
  <c r="B10" i="6"/>
  <c r="B8" i="6"/>
  <c r="B21" i="6"/>
  <c r="B19" i="6"/>
  <c r="B15" i="6"/>
  <c r="B13" i="6"/>
  <c r="B11" i="6"/>
  <c r="B9" i="6"/>
  <c r="B16" i="6"/>
  <c r="B18" i="6"/>
  <c r="B7" i="6"/>
  <c r="BD6" i="8"/>
  <c r="AN4" i="24" s="1"/>
  <c r="AM6" i="8"/>
  <c r="BB6" i="8"/>
  <c r="AC6" i="8"/>
  <c r="S231" i="28"/>
  <c r="AY12" i="8"/>
  <c r="AU12" i="8"/>
  <c r="AH21" i="20"/>
  <c r="V21" i="20"/>
  <c r="W21" i="20"/>
  <c r="AE12" i="8"/>
  <c r="Y21" i="20" s="1"/>
  <c r="AF12" i="8"/>
  <c r="AJ12" i="8"/>
  <c r="AK12" i="8"/>
  <c r="AL5" i="8"/>
  <c r="X3" i="24" s="1"/>
  <c r="AB5" i="8"/>
  <c r="AB12" i="8" s="1"/>
  <c r="AG5" i="8"/>
  <c r="X5" i="8"/>
  <c r="M3" i="24" s="1"/>
  <c r="O5" i="8"/>
  <c r="E7" i="28" s="1"/>
  <c r="F5" i="28" s="1"/>
  <c r="G5" i="28" s="1"/>
  <c r="AA22" i="6"/>
  <c r="V22" i="6"/>
  <c r="AJ14" i="6"/>
  <c r="AO12" i="8" l="1"/>
  <c r="AO16" i="8" s="1"/>
  <c r="AF31" i="20"/>
  <c r="AH31" i="20" s="1"/>
  <c r="S233" i="28"/>
  <c r="N233" i="28" s="1"/>
  <c r="AL4" i="24"/>
  <c r="AF32" i="20"/>
  <c r="AH32" i="20" s="1"/>
  <c r="AD4" i="24"/>
  <c r="P3" i="24"/>
  <c r="P10" i="24" s="1"/>
  <c r="X21" i="20"/>
  <c r="Z3" i="24"/>
  <c r="Z10" i="24" s="1"/>
  <c r="AA3" i="24"/>
  <c r="AA10" i="24" s="1"/>
  <c r="F105" i="28"/>
  <c r="E28" i="2"/>
  <c r="T231" i="28"/>
  <c r="N231" i="28"/>
  <c r="AF30" i="20"/>
  <c r="AH30" i="20" s="1"/>
  <c r="S232" i="28"/>
  <c r="E294" i="28" s="1"/>
  <c r="P45" i="4"/>
  <c r="O44" i="22" s="1"/>
  <c r="O38" i="22"/>
  <c r="J37" i="22"/>
  <c r="F28" i="2"/>
  <c r="P35" i="22"/>
  <c r="F168" i="28"/>
  <c r="J47" i="4"/>
  <c r="J43" i="22"/>
  <c r="J46" i="22" s="1"/>
  <c r="S277" i="28"/>
  <c r="S278" i="28"/>
  <c r="S274" i="28"/>
  <c r="R274" i="28"/>
  <c r="R281" i="28"/>
  <c r="D344" i="28" s="1"/>
  <c r="R276" i="28"/>
  <c r="D300" i="28" s="1"/>
  <c r="S276" i="28"/>
  <c r="R278" i="28"/>
  <c r="D341" i="28" s="1"/>
  <c r="R275" i="28"/>
  <c r="D298" i="28" s="1"/>
  <c r="R230" i="28"/>
  <c r="S275" i="28"/>
  <c r="S281" i="28"/>
  <c r="Q289" i="28"/>
  <c r="R277" i="28"/>
  <c r="D340" i="28" s="1"/>
  <c r="E390" i="28"/>
  <c r="E389" i="28" s="1"/>
  <c r="T34" i="20"/>
  <c r="F153" i="28"/>
  <c r="F216" i="28"/>
  <c r="K16" i="23"/>
  <c r="G363" i="28"/>
  <c r="T35" i="20"/>
  <c r="F156" i="28"/>
  <c r="F219" i="28"/>
  <c r="K7" i="23"/>
  <c r="G354" i="28"/>
  <c r="K15" i="23"/>
  <c r="G362" i="28"/>
  <c r="T37" i="20"/>
  <c r="F220" i="28"/>
  <c r="F157" i="28"/>
  <c r="F393" i="28"/>
  <c r="T38" i="20"/>
  <c r="F221" i="28"/>
  <c r="F158" i="28"/>
  <c r="T30" i="20"/>
  <c r="F212" i="28"/>
  <c r="F149" i="28"/>
  <c r="F159" i="28"/>
  <c r="F222" i="28"/>
  <c r="T31" i="20"/>
  <c r="F214" i="28"/>
  <c r="F151" i="28"/>
  <c r="K14" i="23"/>
  <c r="G361" i="28"/>
  <c r="F213" i="28"/>
  <c r="F150" i="28"/>
  <c r="K17" i="23"/>
  <c r="G364" i="28"/>
  <c r="K11" i="23"/>
  <c r="G358" i="28"/>
  <c r="K8" i="23"/>
  <c r="G355" i="28"/>
  <c r="K9" i="23"/>
  <c r="F388" i="28"/>
  <c r="G356" i="28"/>
  <c r="T33" i="20"/>
  <c r="F215" i="28"/>
  <c r="F152" i="28"/>
  <c r="K12" i="23"/>
  <c r="G359" i="28"/>
  <c r="K10" i="23"/>
  <c r="F397" i="28"/>
  <c r="G357" i="28"/>
  <c r="K18" i="23"/>
  <c r="G365" i="28"/>
  <c r="K13" i="23"/>
  <c r="G360" i="28"/>
  <c r="T32" i="20"/>
  <c r="AF38" i="20"/>
  <c r="AH38" i="20" s="1"/>
  <c r="AF35" i="20"/>
  <c r="AH35" i="20" s="1"/>
  <c r="AF34" i="20"/>
  <c r="AH34" i="20" s="1"/>
  <c r="AF33" i="20"/>
  <c r="AH33" i="20" s="1"/>
  <c r="AD3" i="24"/>
  <c r="X7" i="20"/>
  <c r="AG13" i="20"/>
  <c r="AG14" i="20"/>
  <c r="AG10" i="20"/>
  <c r="AG8" i="20"/>
  <c r="AJ10" i="20"/>
  <c r="AG16" i="20"/>
  <c r="Z7" i="20"/>
  <c r="T3" i="24"/>
  <c r="T10" i="24" s="1"/>
  <c r="AG9" i="20"/>
  <c r="AJ8" i="20"/>
  <c r="AG15" i="20"/>
  <c r="AZ6" i="8"/>
  <c r="AJ4" i="24" s="1"/>
  <c r="AG11" i="20"/>
  <c r="X10" i="24"/>
  <c r="AG12" i="20"/>
  <c r="AJ14" i="20"/>
  <c r="AJ9" i="20"/>
  <c r="C16" i="6"/>
  <c r="C21" i="6"/>
  <c r="C9" i="6"/>
  <c r="C13" i="6"/>
  <c r="C17" i="6"/>
  <c r="C12" i="6"/>
  <c r="C14" i="6"/>
  <c r="C18" i="6"/>
  <c r="C20" i="6"/>
  <c r="C10" i="6"/>
  <c r="C15" i="6"/>
  <c r="C7" i="6"/>
  <c r="C11" i="6"/>
  <c r="C8" i="6"/>
  <c r="C19" i="6"/>
  <c r="AG7" i="20"/>
  <c r="AA13" i="20"/>
  <c r="AA16" i="20"/>
  <c r="AV6" i="8"/>
  <c r="AF4" i="24" s="1"/>
  <c r="AA10" i="20"/>
  <c r="AA9" i="20"/>
  <c r="AA11" i="20"/>
  <c r="AA8" i="20"/>
  <c r="AA12" i="20"/>
  <c r="AJ13" i="20"/>
  <c r="AJ11" i="20"/>
  <c r="AA15" i="20"/>
  <c r="AJ16" i="20"/>
  <c r="AV5" i="8"/>
  <c r="AJ7" i="20"/>
  <c r="AJ15" i="20"/>
  <c r="AJ12" i="20"/>
  <c r="AA14" i="20"/>
  <c r="AL12" i="8"/>
  <c r="BE5" i="8"/>
  <c r="BE12" i="8" s="1"/>
  <c r="AM5" i="8"/>
  <c r="AX12" i="8"/>
  <c r="O34" i="4" s="1"/>
  <c r="N33" i="22" s="1"/>
  <c r="AG12" i="8"/>
  <c r="Z21" i="20" s="1"/>
  <c r="AH5" i="8"/>
  <c r="BD5" i="8"/>
  <c r="BD12" i="8" s="1"/>
  <c r="AZ5" i="8"/>
  <c r="BB5" i="8"/>
  <c r="BB12" i="8" s="1"/>
  <c r="BC5" i="8"/>
  <c r="BC12" i="8" s="1"/>
  <c r="AC5" i="8"/>
  <c r="AT12" i="8"/>
  <c r="B6" i="4" l="1"/>
  <c r="AR16" i="8"/>
  <c r="T233" i="28"/>
  <c r="S230" i="28"/>
  <c r="E293" i="28" s="1"/>
  <c r="P48" i="4"/>
  <c r="O47" i="22" s="1"/>
  <c r="E302" i="28"/>
  <c r="E298" i="28"/>
  <c r="E304" i="28"/>
  <c r="E300" i="28"/>
  <c r="D306" i="28"/>
  <c r="D302" i="28"/>
  <c r="D308" i="28"/>
  <c r="D304" i="28"/>
  <c r="E310" i="28"/>
  <c r="E306" i="28"/>
  <c r="E312" i="28"/>
  <c r="E308" i="28"/>
  <c r="D314" i="28"/>
  <c r="D310" i="28"/>
  <c r="D316" i="28"/>
  <c r="D312" i="28"/>
  <c r="E318" i="28"/>
  <c r="E314" i="28"/>
  <c r="E320" i="28"/>
  <c r="E316" i="28"/>
  <c r="D322" i="28"/>
  <c r="D318" i="28"/>
  <c r="D324" i="28"/>
  <c r="D320" i="28"/>
  <c r="E326" i="28"/>
  <c r="E322" i="28"/>
  <c r="E328" i="28"/>
  <c r="E324" i="28"/>
  <c r="D330" i="28"/>
  <c r="D326" i="28"/>
  <c r="D332" i="28"/>
  <c r="D328" i="28"/>
  <c r="E334" i="28"/>
  <c r="E330" i="28"/>
  <c r="E336" i="28"/>
  <c r="E332" i="28"/>
  <c r="D299" i="28"/>
  <c r="D334" i="28"/>
  <c r="D339" i="28"/>
  <c r="D336" i="28"/>
  <c r="T232" i="28"/>
  <c r="F294" i="28" s="1"/>
  <c r="N232" i="28"/>
  <c r="E303" i="28"/>
  <c r="E299" i="28"/>
  <c r="D307" i="28"/>
  <c r="D303" i="28"/>
  <c r="E311" i="28"/>
  <c r="E307" i="28"/>
  <c r="D315" i="28"/>
  <c r="D311" i="28"/>
  <c r="E319" i="28"/>
  <c r="E315" i="28"/>
  <c r="D323" i="28"/>
  <c r="D319" i="28"/>
  <c r="E327" i="28"/>
  <c r="E323" i="28"/>
  <c r="D331" i="28"/>
  <c r="D327" i="28"/>
  <c r="E335" i="28"/>
  <c r="E331" i="28"/>
  <c r="D338" i="28"/>
  <c r="D335" i="28"/>
  <c r="E301" i="28"/>
  <c r="E297" i="28"/>
  <c r="D301" i="28"/>
  <c r="D297" i="28"/>
  <c r="E309" i="28"/>
  <c r="E305" i="28"/>
  <c r="D309" i="28"/>
  <c r="D305" i="28"/>
  <c r="E317" i="28"/>
  <c r="E313" i="28"/>
  <c r="D317" i="28"/>
  <c r="D313" i="28"/>
  <c r="E325" i="28"/>
  <c r="E321" i="28"/>
  <c r="D325" i="28"/>
  <c r="D321" i="28"/>
  <c r="E333" i="28"/>
  <c r="E329" i="28"/>
  <c r="D333" i="28"/>
  <c r="D329" i="28"/>
  <c r="D337" i="28"/>
  <c r="E344" i="28"/>
  <c r="N281" i="28"/>
  <c r="T281" i="28"/>
  <c r="F344" i="28" s="1"/>
  <c r="E339" i="28"/>
  <c r="N276" i="28"/>
  <c r="T276" i="28"/>
  <c r="F300" i="28" s="1"/>
  <c r="E338" i="28"/>
  <c r="N275" i="28"/>
  <c r="T275" i="28"/>
  <c r="F298" i="28" s="1"/>
  <c r="E337" i="28"/>
  <c r="N274" i="28"/>
  <c r="T274" i="28"/>
  <c r="D293" i="28"/>
  <c r="R289" i="28"/>
  <c r="E341" i="28"/>
  <c r="N278" i="28"/>
  <c r="T278" i="28"/>
  <c r="F341" i="28" s="1"/>
  <c r="E340" i="28"/>
  <c r="T277" i="28"/>
  <c r="F340" i="28" s="1"/>
  <c r="N277" i="28"/>
  <c r="F395" i="28"/>
  <c r="F226" i="28"/>
  <c r="F163" i="28"/>
  <c r="T39" i="20"/>
  <c r="AF39" i="20"/>
  <c r="AR6" i="8"/>
  <c r="AI13" i="20"/>
  <c r="X25" i="20"/>
  <c r="AG21" i="20"/>
  <c r="AD10" i="24"/>
  <c r="AA7" i="20"/>
  <c r="AH10" i="24"/>
  <c r="AI5" i="6"/>
  <c r="AM3" i="24"/>
  <c r="AM10" i="24" s="1"/>
  <c r="AK7" i="20"/>
  <c r="AF3" i="24"/>
  <c r="AK14" i="20"/>
  <c r="AK10" i="20"/>
  <c r="AZ12" i="8"/>
  <c r="G6" i="1" s="1"/>
  <c r="E7" i="21" s="1"/>
  <c r="AJ3" i="24"/>
  <c r="AK12" i="20"/>
  <c r="AI11" i="6"/>
  <c r="AO3" i="24"/>
  <c r="AO10" i="24" s="1"/>
  <c r="AK15" i="20"/>
  <c r="AK11" i="20"/>
  <c r="AK8" i="20"/>
  <c r="AL3" i="24"/>
  <c r="AL10" i="24" s="1"/>
  <c r="AK16" i="20"/>
  <c r="AK9" i="20"/>
  <c r="AI8" i="6"/>
  <c r="AN3" i="24"/>
  <c r="AN10" i="24" s="1"/>
  <c r="AK13" i="20"/>
  <c r="AG23" i="20"/>
  <c r="Z12" i="24"/>
  <c r="AO4" i="6"/>
  <c r="AP4" i="6" s="1"/>
  <c r="I34" i="4"/>
  <c r="AJ21" i="20"/>
  <c r="AJ25" i="20" s="1"/>
  <c r="AV12" i="8"/>
  <c r="D6" i="1" s="1"/>
  <c r="D7" i="21" s="1"/>
  <c r="Q34" i="4"/>
  <c r="P33" i="22" s="1"/>
  <c r="AI7" i="6"/>
  <c r="AO7" i="6"/>
  <c r="AP7" i="6" s="1"/>
  <c r="AI10" i="6"/>
  <c r="AO10" i="6"/>
  <c r="AP10" i="6" s="1"/>
  <c r="B7" i="4"/>
  <c r="C7" i="22" s="1"/>
  <c r="AI4" i="6"/>
  <c r="I7" i="16" l="1"/>
  <c r="K7" i="16" s="1"/>
  <c r="J7" i="16"/>
  <c r="L7" i="16" s="1"/>
  <c r="T230" i="28"/>
  <c r="S289" i="28"/>
  <c r="N230" i="28"/>
  <c r="AB4" i="24"/>
  <c r="J25" i="16"/>
  <c r="L25" i="16" s="1"/>
  <c r="I25" i="16"/>
  <c r="K25" i="16" s="1"/>
  <c r="AJ10" i="24"/>
  <c r="F306" i="28"/>
  <c r="F302" i="28"/>
  <c r="F308" i="28"/>
  <c r="F304" i="28"/>
  <c r="F314" i="28"/>
  <c r="F310" i="28"/>
  <c r="F316" i="28"/>
  <c r="F312" i="28"/>
  <c r="F322" i="28"/>
  <c r="F318" i="28"/>
  <c r="F324" i="28"/>
  <c r="F320" i="28"/>
  <c r="F330" i="28"/>
  <c r="F326" i="28"/>
  <c r="F332" i="28"/>
  <c r="F328" i="28"/>
  <c r="F299" i="28"/>
  <c r="F334" i="28"/>
  <c r="F339" i="28"/>
  <c r="F336" i="28"/>
  <c r="F307" i="28"/>
  <c r="F303" i="28"/>
  <c r="F315" i="28"/>
  <c r="F311" i="28"/>
  <c r="F323" i="28"/>
  <c r="F319" i="28"/>
  <c r="F331" i="28"/>
  <c r="F327" i="28"/>
  <c r="F338" i="28"/>
  <c r="F335" i="28"/>
  <c r="F301" i="28"/>
  <c r="F297" i="28"/>
  <c r="F309" i="28"/>
  <c r="F305" i="28"/>
  <c r="F317" i="28"/>
  <c r="F313" i="28"/>
  <c r="F325" i="28"/>
  <c r="F321" i="28"/>
  <c r="F333" i="28"/>
  <c r="F329" i="28"/>
  <c r="F337" i="28"/>
  <c r="K34" i="4"/>
  <c r="K33" i="22" s="1"/>
  <c r="I33" i="22"/>
  <c r="AB7" i="20"/>
  <c r="E345" i="28"/>
  <c r="AI16" i="20"/>
  <c r="AL16" i="20" s="1"/>
  <c r="AI9" i="20"/>
  <c r="AL9" i="20" s="1"/>
  <c r="AI10" i="20"/>
  <c r="AL10" i="20" s="1"/>
  <c r="AI8" i="20"/>
  <c r="AL8" i="20" s="1"/>
  <c r="AI14" i="20"/>
  <c r="AL14" i="20" s="1"/>
  <c r="AR5" i="8"/>
  <c r="AR12" i="8" s="1"/>
  <c r="AI11" i="20"/>
  <c r="AL11" i="20" s="1"/>
  <c r="AI15" i="20"/>
  <c r="AL15" i="20" s="1"/>
  <c r="AI12" i="20"/>
  <c r="AL12" i="20" s="1"/>
  <c r="AJ7" i="6"/>
  <c r="AL13" i="20"/>
  <c r="AJ10" i="6"/>
  <c r="AF10" i="24"/>
  <c r="AJ4" i="6"/>
  <c r="G8" i="1"/>
  <c r="F27" i="2" s="1"/>
  <c r="C6" i="22"/>
  <c r="Z14" i="24"/>
  <c r="AA21" i="20"/>
  <c r="D132" i="11"/>
  <c r="AK21" i="20"/>
  <c r="AK25" i="20" s="1"/>
  <c r="F26" i="2"/>
  <c r="F293" i="28" l="1"/>
  <c r="F345" i="28" s="1"/>
  <c r="T289" i="28"/>
  <c r="T4" i="6"/>
  <c r="T5" i="6"/>
  <c r="T6" i="6"/>
  <c r="Y4" i="6"/>
  <c r="Q4" i="23" s="1"/>
  <c r="Y5" i="6"/>
  <c r="Y6" i="6"/>
  <c r="I6" i="16"/>
  <c r="I13" i="16" s="1"/>
  <c r="J6" i="16"/>
  <c r="J13" i="16" s="1"/>
  <c r="AB3" i="24"/>
  <c r="AB10" i="24" s="1"/>
  <c r="C7" i="1"/>
  <c r="C8" i="21" s="1"/>
  <c r="L27" i="16"/>
  <c r="J27" i="16"/>
  <c r="K27" i="16"/>
  <c r="I27" i="16"/>
  <c r="C26" i="2"/>
  <c r="E26" i="2"/>
  <c r="AI7" i="20"/>
  <c r="AL7" i="20" s="1"/>
  <c r="AB23" i="20"/>
  <c r="AB14" i="20"/>
  <c r="AB22" i="20"/>
  <c r="AB15" i="20"/>
  <c r="AB24" i="20"/>
  <c r="AB8" i="20"/>
  <c r="AB16" i="20"/>
  <c r="AB18" i="20"/>
  <c r="AB19" i="20"/>
  <c r="AB21" i="20"/>
  <c r="AB9" i="20"/>
  <c r="AB17" i="20"/>
  <c r="AB10" i="20"/>
  <c r="AB11" i="20"/>
  <c r="AB13" i="20"/>
  <c r="AB12" i="20"/>
  <c r="AB20" i="20"/>
  <c r="C11" i="22"/>
  <c r="E9" i="21"/>
  <c r="O19" i="16" l="1"/>
  <c r="Z4" i="6"/>
  <c r="B4" i="6"/>
  <c r="P5" i="6"/>
  <c r="J5" i="23" s="1"/>
  <c r="O5" i="6"/>
  <c r="F352" i="28"/>
  <c r="H5" i="23"/>
  <c r="R370" i="28"/>
  <c r="R371" i="28"/>
  <c r="O6" i="6"/>
  <c r="P6" i="6"/>
  <c r="J6" i="23" s="1"/>
  <c r="F353" i="28"/>
  <c r="H6" i="23"/>
  <c r="O4" i="6"/>
  <c r="R369" i="28"/>
  <c r="H4" i="23"/>
  <c r="F351" i="28"/>
  <c r="P24" i="6"/>
  <c r="J24" i="23" s="1"/>
  <c r="U5" i="6"/>
  <c r="M5" i="23"/>
  <c r="B5" i="6"/>
  <c r="B6" i="6"/>
  <c r="U6" i="6"/>
  <c r="M6" i="23"/>
  <c r="Z5" i="6"/>
  <c r="Q5" i="23"/>
  <c r="Z6" i="6"/>
  <c r="Q6" i="23"/>
  <c r="M4" i="23"/>
  <c r="U4" i="6"/>
  <c r="K6" i="16"/>
  <c r="K13" i="16" s="1"/>
  <c r="L6" i="16"/>
  <c r="L13" i="16" s="1"/>
  <c r="C6" i="1"/>
  <c r="D32" i="11"/>
  <c r="AI21" i="20"/>
  <c r="AL21" i="20" s="1"/>
  <c r="AL25" i="20"/>
  <c r="AI25" i="20"/>
  <c r="AB25" i="20"/>
  <c r="R4" i="23" l="1"/>
  <c r="AB4" i="6"/>
  <c r="R385" i="28"/>
  <c r="R6" i="6"/>
  <c r="I6" i="23"/>
  <c r="R5" i="6"/>
  <c r="I5" i="23"/>
  <c r="I4" i="23"/>
  <c r="R4" i="6"/>
  <c r="O22" i="6"/>
  <c r="O26" i="6" s="1"/>
  <c r="B5" i="4" s="1"/>
  <c r="E5" i="4" s="1"/>
  <c r="Z22" i="6"/>
  <c r="J4" i="23"/>
  <c r="J22" i="23" s="1"/>
  <c r="P22" i="6"/>
  <c r="P26" i="6" s="1"/>
  <c r="J26" i="23" s="1"/>
  <c r="N5" i="23"/>
  <c r="W5" i="6"/>
  <c r="N6" i="23"/>
  <c r="W6" i="6"/>
  <c r="R5" i="23"/>
  <c r="AB5" i="6"/>
  <c r="R6" i="23"/>
  <c r="AB6" i="6"/>
  <c r="S6" i="23" s="1"/>
  <c r="N4" i="23"/>
  <c r="W4" i="6"/>
  <c r="U22" i="6"/>
  <c r="P18" i="16"/>
  <c r="D29" i="11"/>
  <c r="F391" i="28"/>
  <c r="F390" i="28" s="1"/>
  <c r="F389" i="28" s="1"/>
  <c r="S4" i="23" l="1"/>
  <c r="G5" i="1"/>
  <c r="E6" i="21" s="1"/>
  <c r="E20" i="21" s="1"/>
  <c r="E26" i="21" s="1"/>
  <c r="E29" i="21" s="1"/>
  <c r="S370" i="28"/>
  <c r="G352" i="28"/>
  <c r="K5" i="23"/>
  <c r="S369" i="28"/>
  <c r="K4" i="23"/>
  <c r="G351" i="28"/>
  <c r="R22" i="6"/>
  <c r="I26" i="23"/>
  <c r="I22" i="23"/>
  <c r="S371" i="28"/>
  <c r="K6" i="23"/>
  <c r="G353" i="28"/>
  <c r="C5" i="6"/>
  <c r="O5" i="23"/>
  <c r="C6" i="6"/>
  <c r="O6" i="23"/>
  <c r="N22" i="23"/>
  <c r="R22" i="23"/>
  <c r="S5" i="23"/>
  <c r="S22" i="23" s="1"/>
  <c r="AB22" i="6"/>
  <c r="O33" i="4" s="1"/>
  <c r="Q33" i="4" s="1"/>
  <c r="W22" i="6"/>
  <c r="O4" i="23"/>
  <c r="C4" i="6"/>
  <c r="G19" i="1"/>
  <c r="D64" i="11" s="1"/>
  <c r="D66" i="11" s="1"/>
  <c r="E66" i="11" s="1"/>
  <c r="C7" i="21"/>
  <c r="C5" i="22"/>
  <c r="E24" i="4"/>
  <c r="E23" i="4"/>
  <c r="E22" i="4"/>
  <c r="E18" i="4"/>
  <c r="E17" i="4"/>
  <c r="E16" i="4"/>
  <c r="E15" i="4"/>
  <c r="E14" i="4"/>
  <c r="E13" i="4"/>
  <c r="E12" i="4"/>
  <c r="E10" i="4"/>
  <c r="E9" i="4"/>
  <c r="E7" i="4"/>
  <c r="F7" i="22" s="1"/>
  <c r="C6" i="4" l="1"/>
  <c r="AA14" i="24"/>
  <c r="AB14" i="24" s="1"/>
  <c r="C6" i="29"/>
  <c r="AI23" i="20"/>
  <c r="AL23" i="20" s="1"/>
  <c r="AB12" i="24"/>
  <c r="C7" i="29"/>
  <c r="O22" i="23"/>
  <c r="S385" i="28"/>
  <c r="K22" i="23"/>
  <c r="N32" i="22"/>
  <c r="O39" i="4"/>
  <c r="I33" i="4"/>
  <c r="D5" i="1"/>
  <c r="C25" i="2"/>
  <c r="G25" i="1"/>
  <c r="G28" i="1" s="1"/>
  <c r="D70" i="11"/>
  <c r="D87" i="11" s="1"/>
  <c r="D89" i="11" s="1"/>
  <c r="D91" i="11" s="1"/>
  <c r="Q39" i="4"/>
  <c r="P32" i="22"/>
  <c r="F25" i="2"/>
  <c r="D29" i="2"/>
  <c r="D28" i="2"/>
  <c r="C1" i="2"/>
  <c r="D1" i="2"/>
  <c r="E6" i="4" l="1"/>
  <c r="D6" i="22"/>
  <c r="O45" i="4"/>
  <c r="N38" i="22"/>
  <c r="D6" i="21"/>
  <c r="D20" i="21" s="1"/>
  <c r="D26" i="21" s="1"/>
  <c r="D29" i="21" s="1"/>
  <c r="D131" i="11"/>
  <c r="D136" i="11" s="1"/>
  <c r="D19" i="1"/>
  <c r="D25" i="1" s="1"/>
  <c r="D28" i="1" s="1"/>
  <c r="I38" i="4"/>
  <c r="I44" i="4" s="1"/>
  <c r="I32" i="22"/>
  <c r="I37" i="22" s="1"/>
  <c r="K33" i="4"/>
  <c r="E70" i="11"/>
  <c r="Q45" i="4"/>
  <c r="P38" i="22"/>
  <c r="R26" i="6"/>
  <c r="C5" i="1" s="1"/>
  <c r="C8" i="1" s="1"/>
  <c r="E8" i="4" s="1"/>
  <c r="R24" i="6"/>
  <c r="F11" i="22"/>
  <c r="N44" i="22" l="1"/>
  <c r="O48" i="4"/>
  <c r="N47" i="22" s="1"/>
  <c r="D26" i="2"/>
  <c r="F6" i="22"/>
  <c r="D137" i="11"/>
  <c r="D142" i="11" s="1"/>
  <c r="E136" i="11"/>
  <c r="K32" i="22"/>
  <c r="K37" i="22" s="1"/>
  <c r="K38" i="4"/>
  <c r="K44" i="4" s="1"/>
  <c r="E25" i="2"/>
  <c r="I43" i="22"/>
  <c r="I46" i="22" s="1"/>
  <c r="I47" i="4"/>
  <c r="F8" i="22"/>
  <c r="C8" i="4"/>
  <c r="C19" i="4" s="1"/>
  <c r="C25" i="4" s="1"/>
  <c r="C11" i="1"/>
  <c r="D37" i="11" s="1"/>
  <c r="C11" i="29"/>
  <c r="C5" i="29"/>
  <c r="Q48" i="4"/>
  <c r="P47" i="22" s="1"/>
  <c r="P44" i="22"/>
  <c r="K24" i="23"/>
  <c r="E11" i="4"/>
  <c r="K26" i="23"/>
  <c r="F5" i="22"/>
  <c r="D146" i="11" l="1"/>
  <c r="E142" i="11"/>
  <c r="K43" i="22"/>
  <c r="K46" i="22" s="1"/>
  <c r="K47" i="4"/>
  <c r="D8" i="22"/>
  <c r="D19" i="22" s="1"/>
  <c r="D25" i="22" s="1"/>
  <c r="C28" i="4"/>
  <c r="D27" i="22" s="1"/>
  <c r="C12" i="21"/>
  <c r="D27" i="11"/>
  <c r="C8" i="29"/>
  <c r="N18" i="29" s="1"/>
  <c r="C6" i="21"/>
  <c r="Q18" i="1"/>
  <c r="C19" i="1" s="1"/>
  <c r="J6" i="28" s="1"/>
  <c r="K6" i="28" s="1"/>
  <c r="F15" i="28" s="1"/>
  <c r="G15" i="28" s="1"/>
  <c r="D34" i="11"/>
  <c r="D41" i="11"/>
  <c r="C9" i="21"/>
  <c r="D33" i="11"/>
  <c r="D25" i="2"/>
  <c r="D148" i="11" l="1"/>
  <c r="E146" i="11"/>
  <c r="C19" i="29"/>
  <c r="C25" i="29" s="1"/>
  <c r="C28" i="29" s="1"/>
  <c r="C30" i="29" s="1"/>
  <c r="O18" i="29"/>
  <c r="R18" i="1"/>
  <c r="C20" i="21"/>
  <c r="D49" i="11"/>
  <c r="D52" i="11" s="1"/>
  <c r="E52" i="11" s="1"/>
  <c r="L6" i="28"/>
  <c r="L2" i="19"/>
  <c r="M2" i="19" s="1"/>
  <c r="E41" i="11"/>
  <c r="D55" i="11" l="1"/>
  <c r="U25" i="20"/>
  <c r="Y25" i="20"/>
  <c r="Z25" i="20"/>
  <c r="E55" i="11" l="1"/>
  <c r="AA25" i="20"/>
  <c r="AG25" i="20" l="1"/>
  <c r="B8" i="4" l="1"/>
  <c r="C8" i="22" s="1"/>
  <c r="D27" i="2"/>
  <c r="E33" i="11"/>
  <c r="E19" i="4"/>
  <c r="E34" i="11"/>
  <c r="B19" i="4" l="1"/>
  <c r="F19" i="22"/>
  <c r="C19" i="22"/>
  <c r="V25" i="1" l="1"/>
  <c r="R25" i="1" s="1"/>
  <c r="R26" i="1" s="1"/>
  <c r="B21" i="4"/>
  <c r="C21" i="1" s="1"/>
  <c r="C21" i="22" l="1"/>
  <c r="B25" i="4"/>
  <c r="B28" i="4" s="1"/>
  <c r="C27" i="22" s="1"/>
  <c r="E21" i="4"/>
  <c r="E25" i="4" s="1"/>
  <c r="E28" i="4" s="1"/>
  <c r="F27" i="22" s="1"/>
  <c r="F21" i="22" l="1"/>
  <c r="F25" i="22" s="1"/>
  <c r="C25" i="22"/>
  <c r="C22" i="21"/>
  <c r="C26" i="21" s="1"/>
  <c r="C29" i="21" s="1"/>
  <c r="D56" i="11"/>
  <c r="D60" i="11" s="1"/>
  <c r="C25" i="1"/>
  <c r="C28" i="1" s="1"/>
  <c r="C30" i="1" l="1"/>
  <c r="C13" i="2" s="1"/>
  <c r="D79" i="11"/>
  <c r="D81" i="11" s="1"/>
  <c r="D83" i="11" s="1"/>
  <c r="D98" i="11" s="1"/>
  <c r="D151" i="11" s="1"/>
  <c r="D73" i="11"/>
  <c r="E60" i="11"/>
  <c r="F13" i="2" l="1"/>
  <c r="E13" i="2"/>
  <c r="D13" i="2"/>
  <c r="L13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Anne-Sophie</author>
  </authors>
  <commentList>
    <comment ref="B9" authorId="0" shapeId="0" xr:uid="{A0DFD093-2386-40F5-A3E3-A0A2C729003A}">
      <text>
        <r>
          <rPr>
            <b/>
            <sz val="9"/>
            <color indexed="81"/>
            <rFont val="Tahoma"/>
            <family val="2"/>
          </rPr>
          <t>Voir notice 2069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4" authorId="0" shapeId="0" xr:uid="{87793E7A-7DB9-4AE9-9A18-68C1E04AC5A3}">
      <text>
        <r>
          <rPr>
            <b/>
            <sz val="9"/>
            <color indexed="81"/>
            <rFont val="Tahoma"/>
            <family val="2"/>
          </rPr>
          <t xml:space="preserve">A compléter exclusivement dans le cadre du dépôt de la déclaration de la société mère (Renseignement non-demandé à une société fille)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tc={A0A06C9E-AE6B-4859-8AC2-9339FD2BAB14}</author>
    <author>tc={5433DF04-9B24-4BF3-8819-37A5B6A26972}</author>
    <author>tc={982D5CEF-7F6C-40D8-A14B-2C13BDD9F464}</author>
  </authors>
  <commentList>
    <comment ref="C7" authorId="0" shapeId="0" xr:uid="{A0A06C9E-AE6B-4859-8AC2-9339FD2BAB14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Responsable technique</t>
      </text>
    </comment>
    <comment ref="D7" authorId="1" shapeId="0" xr:uid="{5433DF04-9B24-4BF3-8819-37A5B6A26972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Responsable Financier</t>
      </text>
    </comment>
    <comment ref="E7" authorId="2" shapeId="0" xr:uid="{982D5CEF-7F6C-40D8-A14B-2C13BDD9F464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Chargé de valo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tc={78FE1F9A-0F11-4BDE-B2FC-FA1B76193E29}</author>
    <author>tc={5698FB2C-C254-4FE7-B970-EFE366DEC3BC}</author>
  </authors>
  <commentList>
    <comment ref="B21" authorId="0" shapeId="0" xr:uid="{78FE1F9A-0F11-4BDE-B2FC-FA1B76193E29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À mettre en négatif</t>
      </text>
    </comment>
    <comment ref="B23" authorId="1" shapeId="0" xr:uid="{5698FB2C-C254-4FE7-B970-EFE366DEC3BC}">
      <text>
        <t xml:space="preserve"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À mettre en négatif
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tc={581FB7E1-1222-4BF7-A827-8376BC7F5834}</author>
    <author>tc={523E7389-523E-4912-9704-7F3605D0E065}</author>
    <author>tc={CA02F8D9-7C8D-435C-AE5D-92CBD4C71355}</author>
    <author>tc={997435A3-C05A-4592-A1BD-A4F31487A7F1}</author>
  </authors>
  <commentList>
    <comment ref="B21" authorId="0" shapeId="0" xr:uid="{581FB7E1-1222-4BF7-A827-8376BC7F5834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À mettre en négatif</t>
      </text>
    </comment>
    <comment ref="B23" authorId="1" shapeId="0" xr:uid="{523E7389-523E-4912-9704-7F3605D0E065}">
      <text>
        <t xml:space="preserve"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À mettre en négatif
</t>
      </text>
    </comment>
    <comment ref="B39" authorId="2" shapeId="0" xr:uid="{CA02F8D9-7C8D-435C-AE5D-92CBD4C71355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À mettre en négatif</t>
      </text>
    </comment>
    <comment ref="B40" authorId="3" shapeId="0" xr:uid="{997435A3-C05A-4592-A1BD-A4F31487A7F1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À mettre en négatif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tc={8AEE1F03-4037-48A3-8825-7BEE5F72A40F}</author>
    <author>tc={4A133AFA-17B6-4693-A682-3293DD4F38F1}</author>
    <author>tc={16E4C409-6659-4EB3-900F-B1E1B8548384}</author>
    <author>tc={412DD86C-8386-4302-A79C-FD57C06329B5}</author>
    <author>tc={53F4684C-D403-45E9-998D-FB8FF0C7E4DF}</author>
  </authors>
  <commentList>
    <comment ref="D4" authorId="0" shapeId="0" xr:uid="{8AEE1F03-4037-48A3-8825-7BEE5F72A40F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BDS = bulletin de salaire</t>
      </text>
    </comment>
    <comment ref="F4" authorId="1" shapeId="0" xr:uid="{4A133AFA-17B6-4693-A682-3293DD4F38F1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Mat = matricule</t>
      </text>
    </comment>
    <comment ref="R4" authorId="2" shapeId="0" xr:uid="{16E4C409-6659-4EB3-900F-B1E1B8548384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Total cotisations patronales</t>
      </text>
    </comment>
    <comment ref="S4" authorId="3" shapeId="0" xr:uid="{412DD86C-8386-4302-A79C-FD57C06329B5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Cotisations sociales patronales obligatoires</t>
      </text>
    </comment>
    <comment ref="X14" authorId="4" shapeId="0" xr:uid="{53F4684C-D403-45E9-998D-FB8FF0C7E4DF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JD = Jeune docteur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tc={B19365E4-335D-4C5A-BD4E-61BB662DF0F2}</author>
    <author>tc={4F2DBC2E-BA12-44E9-8A29-2DF13C97BD6B}</author>
    <author>tc={E9A0FA66-E376-432F-91A1-1DB5647133C1}</author>
    <author>tc={CE668B72-4A46-42FA-9136-A24679920894}</author>
  </authors>
  <commentList>
    <comment ref="B2" authorId="0" shapeId="0" xr:uid="{B19365E4-335D-4C5A-BD4E-61BB662DF0F2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Mat = matricule</t>
      </text>
    </comment>
    <comment ref="I2" authorId="1" shapeId="0" xr:uid="{4F2DBC2E-BA12-44E9-8A29-2DF13C97BD6B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Total cotisations patronales</t>
      </text>
    </comment>
    <comment ref="J2" authorId="2" shapeId="0" xr:uid="{E9A0FA66-E376-432F-91A1-1DB5647133C1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Cotisations sociales patronales obligatoires</t>
      </text>
    </comment>
    <comment ref="M12" authorId="3" shapeId="0" xr:uid="{CE668B72-4A46-42FA-9136-A24679920894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JD = Jeune docteur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tc={7412BF08-4287-44AC-90D6-105CB45E6262}</author>
  </authors>
  <commentList>
    <comment ref="G5" authorId="0" shapeId="0" xr:uid="{7412BF08-4287-44AC-90D6-105CB45E6262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Supprimer si découpage HRECH précis (cas2)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tc={7D4EDA18-9922-4A22-845F-2F822E6D345A}</author>
    <author>tc={D428C2FA-41E4-4F97-A760-D21A3F3CC432}</author>
  </authors>
  <commentList>
    <comment ref="F4" authorId="0" shapeId="0" xr:uid="{7D4EDA18-9922-4A22-845F-2F822E6D345A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N° compta qui apparait dans le grand livre qui est souvent différent du n°facture</t>
      </text>
    </comment>
    <comment ref="G4" authorId="1" shapeId="0" xr:uid="{D428C2FA-41E4-4F97-A760-D21A3F3CC432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Enregistré en compta et non celui de la facture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tc={7E528AF7-2EFB-4BA1-89BD-9CDA25654234}</author>
    <author>tc={E19EB2BA-6E6D-47C8-B736-15C48710D42C}</author>
  </authors>
  <commentList>
    <comment ref="F4" authorId="0" shapeId="0" xr:uid="{7E528AF7-2EFB-4BA1-89BD-9CDA25654234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N° compta qui apparait dans le grand livre qui est souvent différent du n°facture</t>
      </text>
    </comment>
    <comment ref="G4" authorId="1" shapeId="0" xr:uid="{E19EB2BA-6E6D-47C8-B736-15C48710D42C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Enregistré en compta et non celui de la facture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tc={F36165FE-3EFA-440A-A9C0-F96AB06A5FA5}</author>
    <author>tc={38283587-6948-4C9C-964A-E5E40E6A5197}</author>
  </authors>
  <commentList>
    <comment ref="E4" authorId="0" shapeId="0" xr:uid="{F36165FE-3EFA-440A-A9C0-F96AB06A5FA5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N° compta qui apparait dans le grand livre qui est souvent différent du n°facture</t>
      </text>
    </comment>
    <comment ref="F4" authorId="1" shapeId="0" xr:uid="{38283587-6948-4C9C-964A-E5E40E6A5197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Enregistré en compta et non celui de la facture</t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tc={1D929FD6-219F-460A-B725-9FC189A8A141}</author>
    <author>tc={E9CAE8B9-B2B8-492C-B350-A8F8179A9CCF}</author>
    <author>tc={B30FF3A8-DC69-4A9D-AEA1-C80552269DC2}</author>
    <author>tc={C3798CA0-AE08-4FB5-AC95-03D45BFE798E}</author>
    <author>tc={49279C25-C707-46C5-86F4-26AB7EAB9B17}</author>
    <author>tc={92853BF3-894C-4C11-A2ED-D80173C4D791}</author>
    <author>tc={5A429818-E65B-47A1-9BF7-B56F5B89C39F}</author>
    <author>tc={4AC9597A-2746-4819-B772-9F71A42FAA05}</author>
  </authors>
  <commentList>
    <comment ref="R229" authorId="0" shapeId="0" xr:uid="{1D929FD6-219F-460A-B725-9FC189A8A141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Calculé sur les heures Lées comme dans la valo</t>
      </text>
    </comment>
    <comment ref="F277" authorId="1" shapeId="0" xr:uid="{E9CAE8B9-B2B8-492C-B350-A8F8179A9CCF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Au minimum : à préciser</t>
      </text>
    </comment>
    <comment ref="F278" authorId="2" shapeId="0" xr:uid="{B30FF3A8-DC69-4A9D-AEA1-C80552269DC2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Ne fait pas partie de l’effectif</t>
      </text>
    </comment>
    <comment ref="N278" authorId="3" shapeId="0" xr:uid="{C3798CA0-AE08-4FB5-AC95-03D45BFE798E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100% du temps qu’il passe 60% sur Excelleria</t>
      </text>
    </comment>
    <comment ref="F279" authorId="4" shapeId="0" xr:uid="{49279C25-C707-46C5-86F4-26AB7EAB9B17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Au minimum. A préciser</t>
      </text>
    </comment>
    <comment ref="H279" authorId="5" shapeId="0" xr:uid="{92853BF3-894C-4C11-A2ED-D80173C4D791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A préciser</t>
      </text>
    </comment>
    <comment ref="F280" authorId="6" shapeId="0" xr:uid="{5A429818-E65B-47A1-9BF7-B56F5B89C39F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A préciser</t>
      </text>
    </comment>
    <comment ref="F281" authorId="7" shapeId="0" xr:uid="{4AC9597A-2746-4819-B772-9F71A42FAA05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A préciser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<sst xmlns="http://schemas.openxmlformats.org/spreadsheetml/2006/main" count="2707" uniqueCount="1025">
  <si>
    <t xml:space="preserve">Date </t>
  </si>
  <si>
    <t>Description</t>
  </si>
  <si>
    <t>Rajout de la macro insérer une ligne dans l'onglet Vérif V/s 23</t>
  </si>
  <si>
    <t>Rajout de la notion d'honoraire minimum si remunaration au %age</t>
  </si>
  <si>
    <t>rajouter d'une case pour indiquer la rémunération indiquée dans le contrat</t>
  </si>
  <si>
    <t xml:space="preserve">Ligne total des crédits ajoutée </t>
  </si>
  <si>
    <t>des MEC enlevées dans l'onglet  Valo - autres dépenses CIR</t>
  </si>
  <si>
    <t xml:space="preserve">MAJ de la formule pour le calcul des dépenses de personnel CII &amp; CIC </t>
  </si>
  <si>
    <t>MAJ des MEC dans l'onglet VALO- ST</t>
  </si>
  <si>
    <t>Automatisation des formules dans l'onglet sous-traitance</t>
  </si>
  <si>
    <t xml:space="preserve">Mise en forme dans la décla </t>
  </si>
  <si>
    <t>type de crédit</t>
  </si>
  <si>
    <t>JEI</t>
  </si>
  <si>
    <t>CIR</t>
  </si>
  <si>
    <t xml:space="preserve"> </t>
  </si>
  <si>
    <t>Oui</t>
  </si>
  <si>
    <t xml:space="preserve">Etude </t>
  </si>
  <si>
    <t>Congrès scientifique</t>
  </si>
  <si>
    <t>Standard</t>
  </si>
  <si>
    <t>Innovation</t>
  </si>
  <si>
    <t>Abonnement revues scientifiques</t>
  </si>
  <si>
    <t>Utilisation mixte - ratio RDI</t>
  </si>
  <si>
    <t>Chercheur</t>
  </si>
  <si>
    <t>Prise et Maintenance de brevets</t>
  </si>
  <si>
    <t>Honoraires brevet</t>
  </si>
  <si>
    <t>Française</t>
  </si>
  <si>
    <t>CIR/CII</t>
  </si>
  <si>
    <t>CII</t>
  </si>
  <si>
    <t>Non</t>
  </si>
  <si>
    <t>Essai</t>
  </si>
  <si>
    <t>Réunion normalisation</t>
  </si>
  <si>
    <t xml:space="preserve">Premium </t>
  </si>
  <si>
    <t xml:space="preserve">Industrie </t>
  </si>
  <si>
    <t>Abonnement bases de données</t>
  </si>
  <si>
    <t>Utilisation mixte - Ratio société</t>
  </si>
  <si>
    <t>Technicien</t>
  </si>
  <si>
    <t>Défense de brevets</t>
  </si>
  <si>
    <t>Honoraires marque</t>
  </si>
  <si>
    <t>CIC</t>
  </si>
  <si>
    <t>Européenne</t>
  </si>
  <si>
    <t>CIR/CII/CICO</t>
  </si>
  <si>
    <t>CICO</t>
  </si>
  <si>
    <t>Défense de brevet</t>
  </si>
  <si>
    <t>Grand compte</t>
  </si>
  <si>
    <t>Digitale</t>
  </si>
  <si>
    <t>En cours</t>
  </si>
  <si>
    <t>Achats d'études technologiques</t>
  </si>
  <si>
    <t xml:space="preserve">Utilisation exclusive </t>
  </si>
  <si>
    <t>Jeune docteur</t>
  </si>
  <si>
    <t>Primes et Cotisations Assurances Brevets</t>
  </si>
  <si>
    <t>Honoraires dessin et modèle</t>
  </si>
  <si>
    <t>Energie</t>
  </si>
  <si>
    <t>Participation à des congrès scientifiques</t>
  </si>
  <si>
    <t>Autre</t>
  </si>
  <si>
    <t>Dirigeant</t>
  </si>
  <si>
    <t>CIR/CIC</t>
  </si>
  <si>
    <t>Biotech</t>
  </si>
  <si>
    <t>Brevet acquis en vue de réaliser des opérations de recherche</t>
  </si>
  <si>
    <t>Contrat MAD / intérim</t>
  </si>
  <si>
    <t>CIR/CII/CIC</t>
  </si>
  <si>
    <t>à définir</t>
  </si>
  <si>
    <t>Thésard</t>
  </si>
  <si>
    <t>CIR/CICO</t>
  </si>
  <si>
    <t>Stagiaire/apprenti</t>
  </si>
  <si>
    <t>Profil à risque (acheteur, qualité)</t>
  </si>
  <si>
    <t>Profil très risqué (admin, financier)</t>
  </si>
  <si>
    <t>%age</t>
  </si>
  <si>
    <t>Fixe</t>
  </si>
  <si>
    <t>Fixe à palier</t>
  </si>
  <si>
    <t>Partiel</t>
  </si>
  <si>
    <t>Calcul du crédit d'impôt recherche</t>
  </si>
  <si>
    <t>Calcul du CIR, CII &amp; CICo</t>
  </si>
  <si>
    <t xml:space="preserve">Exercice ouvert le </t>
  </si>
  <si>
    <t>NOM</t>
  </si>
  <si>
    <t>SIREN</t>
  </si>
  <si>
    <t>NACE</t>
  </si>
  <si>
    <t>Activité</t>
  </si>
  <si>
    <t>Adresse</t>
  </si>
  <si>
    <t>Régime fiscale des groupes des sociétés</t>
  </si>
  <si>
    <t>SIREN Maison Mère</t>
  </si>
  <si>
    <t>Nombre de société du groupe</t>
  </si>
  <si>
    <t>Montant du crédit du groupe</t>
  </si>
  <si>
    <t>Dont CIR</t>
  </si>
  <si>
    <t>Dont CICo</t>
  </si>
  <si>
    <t>Entreprise ayant engagé pour la 1ère fois des dépenses de recherche en 2024</t>
  </si>
  <si>
    <t>PME</t>
  </si>
  <si>
    <t>CA</t>
  </si>
  <si>
    <t>Nombre de salariés</t>
  </si>
  <si>
    <t>Nombre de salariés valorisés</t>
  </si>
  <si>
    <t>Nombre de JD</t>
  </si>
  <si>
    <t>CRÉDIT D’IMPÔT POUR DÉPENSES DE RECHERCHE PRÉVU À L’ARTICLE 244 QUATER B DU CGI</t>
  </si>
  <si>
    <t>I - DÉPENSES DE RECHERCHE OUVRANT DROIT AU CRÉDIT D’IMPÔT (CIR-RECHERCHE)</t>
  </si>
  <si>
    <t>A. DÉPENSES RELATIVES À DES OPÉRATIONS DE RECHERCHE RÉALISÉES EN PROPRE PAR L’ENTREPRISE</t>
  </si>
  <si>
    <t>Dotations aux amortissements des immobilisations affectées à la recherche</t>
  </si>
  <si>
    <t>Ligne 1</t>
  </si>
  <si>
    <t>Dotations aux amortissements pour les immobilisations sinistrées</t>
  </si>
  <si>
    <t>Ligne 2</t>
  </si>
  <si>
    <t>non géré</t>
  </si>
  <si>
    <t>Dépenses de personnel relatives aux chercheurs et techniciens de recherche
(sauf dépenses lignes 4 et 5)</t>
  </si>
  <si>
    <t>Rémunérations et justes prix au profit des salariés auteurs d’une invention résultant d’opérations de recherche</t>
  </si>
  <si>
    <t>Ligne 4</t>
  </si>
  <si>
    <t>Dépenses de personnel relatives aux jeunes docteurs (à indiquer pour le double de leur montant pour les vingt-quatre premiers mois suivant leur premier recrutement)</t>
  </si>
  <si>
    <t>Ligne 5</t>
  </si>
  <si>
    <t>Ligne 6</t>
  </si>
  <si>
    <t>Ligne 7</t>
  </si>
  <si>
    <t>Ligne 8</t>
  </si>
  <si>
    <t>Ligne 9</t>
  </si>
  <si>
    <t>Ligne 10</t>
  </si>
  <si>
    <t>Dépenses liées à la normalisation (à indiquer pour la moitié de leur montant, cf. notice)</t>
  </si>
  <si>
    <t>Ligne 11</t>
  </si>
  <si>
    <t>Ligne 12</t>
  </si>
  <si>
    <t>Ligne 13</t>
  </si>
  <si>
    <r>
      <rPr>
        <b/>
        <sz val="11"/>
        <color theme="1"/>
        <rFont val="Aptos Narrow"/>
        <family val="2"/>
        <scheme val="minor"/>
      </rPr>
      <t xml:space="preserve">Montant total des dépenses de recherche réalisées par l’entreprise
</t>
    </r>
    <r>
      <rPr>
        <sz val="11"/>
        <color theme="1"/>
        <rFont val="Aptos Narrow"/>
        <family val="2"/>
        <scheme val="minor"/>
      </rPr>
      <t>(ligne 7 + ligne 8 + ligne 9 + ligne 10 + ligne 11 + ligne 12 + ligne 13)</t>
    </r>
  </si>
  <si>
    <t>Ligne 14</t>
  </si>
  <si>
    <t>B. DÉPENSES RELATIVES À DES OPÉRATIONS DE RECHERCHE EXTERNALISÉES AUPRÈS DE CERTAINS ORGANISMES (joindre la liste des organismes à partir du formulaire n° 2069-A-2-SD)</t>
  </si>
  <si>
    <r>
      <t>Dépenses afférentes aux opérations confiées à des organismes de recherche ou experts scientifiques ou techniques agréés</t>
    </r>
    <r>
      <rPr>
        <b/>
        <sz val="11"/>
        <color theme="1"/>
        <rFont val="Aptos Narrow"/>
        <family val="2"/>
        <scheme val="minor"/>
      </rPr>
      <t xml:space="preserve"> avec un lien de dépendance en France </t>
    </r>
  </si>
  <si>
    <t>Ligne 15a</t>
  </si>
  <si>
    <r>
      <t xml:space="preserve">Dépenses afférentes aux opérations confiées à des organismes de recherche ou experts scientifiques ou techniques agréés </t>
    </r>
    <r>
      <rPr>
        <b/>
        <sz val="11"/>
        <color theme="1"/>
        <rFont val="Aptos Narrow"/>
        <family val="2"/>
        <scheme val="minor"/>
      </rPr>
      <t>avec un lien de dépendance à l'étranger</t>
    </r>
  </si>
  <si>
    <t>Ligne 15b</t>
  </si>
  <si>
    <r>
      <t xml:space="preserve">Dépenses afférentes aux opérations confiées à des organismes de recherche ou experts scientifiques ou techniques agréés </t>
    </r>
    <r>
      <rPr>
        <b/>
        <sz val="11"/>
        <color theme="1"/>
        <rFont val="Aptos Narrow"/>
        <family val="2"/>
        <scheme val="minor"/>
      </rPr>
      <t>sans lien de dépendance en France</t>
    </r>
  </si>
  <si>
    <t>Ligne 16a</t>
  </si>
  <si>
    <r>
      <t xml:space="preserve">Dépenses afférentes aux opérations confiées à des organismes de recherche ou experts scientifiques ou techniques agréés </t>
    </r>
    <r>
      <rPr>
        <b/>
        <sz val="11"/>
        <color theme="1"/>
        <rFont val="Aptos Narrow"/>
        <family val="2"/>
        <scheme val="minor"/>
      </rPr>
      <t>sans lien de dépendance à l'étranger</t>
    </r>
  </si>
  <si>
    <t>Ligne 16b</t>
  </si>
  <si>
    <r>
      <rPr>
        <b/>
        <sz val="11"/>
        <color theme="1"/>
        <rFont val="Aptos Narrow"/>
        <family val="2"/>
        <scheme val="minor"/>
      </rPr>
      <t xml:space="preserve">Montant total des dépenses de recherche externalisée auprès d’organismes de recherche ou experts scientifiques ou techniques agréés </t>
    </r>
    <r>
      <rPr>
        <sz val="11"/>
        <color theme="1"/>
        <rFont val="Aptos Narrow"/>
        <family val="2"/>
        <scheme val="minor"/>
      </rPr>
      <t>(ligne 15a + ligne 15b + ligne 16a + ligne 16b)</t>
    </r>
  </si>
  <si>
    <t>Ligne 17</t>
  </si>
  <si>
    <r>
      <rPr>
        <b/>
        <sz val="11"/>
        <color theme="1"/>
        <rFont val="Aptos Narrow"/>
        <family val="2"/>
        <scheme val="minor"/>
      </rPr>
      <t xml:space="preserve">Plafonnement des dépenses de recherche externalisée auprès d’organismes de recherche ou experts scientifiques ou techniques agréés
</t>
    </r>
    <r>
      <rPr>
        <sz val="11"/>
        <color theme="1"/>
        <rFont val="Aptos Narrow"/>
        <family val="2"/>
        <scheme val="minor"/>
      </rPr>
      <t>Si ligne 17 inférieure à (ligne 14 x 3), reporter le montant indiqué ligne 17 
Si ligne 17 supérieure à (ligne 14 x 3), reporter le résultat du calcul précité</t>
    </r>
  </si>
  <si>
    <t>Ligne 18</t>
  </si>
  <si>
    <r>
      <rPr>
        <b/>
        <sz val="11"/>
        <color theme="1"/>
        <rFont val="Aptos Narrow"/>
        <family val="2"/>
        <scheme val="minor"/>
      </rPr>
      <t xml:space="preserve">Plafonnement spécifique des dépenses de recherche externalisée auprès d’organismes avec un lien de dépendance
</t>
    </r>
    <r>
      <rPr>
        <sz val="11"/>
        <color theme="1"/>
        <rFont val="Aptos Narrow"/>
        <family val="2"/>
        <scheme val="minor"/>
      </rPr>
      <t>Si (ligne 15a + ligne 15b) (dans la limite du montant figurant ligne 18) n’excède pas 2 000 000 €, reporter ce montant ligne 19
Si (ligne 15a + ligne 15b) (dans la limite du montant figurant ligne 18) excède 2 000 000 €, reporter 2 000 000 € ligne 19</t>
    </r>
  </si>
  <si>
    <t>Ligne 19</t>
  </si>
  <si>
    <r>
      <rPr>
        <b/>
        <sz val="11"/>
        <color theme="1"/>
        <rFont val="Aptos Narrow"/>
        <family val="2"/>
        <scheme val="minor"/>
      </rPr>
      <t>Plafonnement spécifique des dépenses de recherche externalisée auprès d’organismes sans lien de dépendance</t>
    </r>
    <r>
      <rPr>
        <sz val="11"/>
        <color theme="1"/>
        <rFont val="Aptos Narrow"/>
        <family val="2"/>
        <scheme val="minor"/>
      </rPr>
      <t xml:space="preserve">
Si (ligne 16a + ligne 16b) [dans la limite du montant suivant : (ligne 18 - ligne 19)] n’excède pas 10 000 000 €, reporter ce montant ligne 20
Si (ligne 16a + ligne 16b) [dans la limite du montant suivant : (ligne 18 - ligne 19)] excède 10 000 000 €, reporter 10 000 000 € ligne 20</t>
    </r>
  </si>
  <si>
    <t>Ligne 20</t>
  </si>
  <si>
    <r>
      <rPr>
        <b/>
        <sz val="11"/>
        <color theme="1"/>
        <rFont val="Aptos Narrow"/>
        <family val="2"/>
        <scheme val="minor"/>
      </rPr>
      <t>Montant total des dépenses de recherche externalisée après plafonnements</t>
    </r>
    <r>
      <rPr>
        <sz val="11"/>
        <color theme="1"/>
        <rFont val="Aptos Narrow"/>
        <family val="2"/>
        <scheme val="minor"/>
      </rPr>
      <t xml:space="preserve"> 
(ligne 19 + ligne 20 dans la limite de 10 000 000 €)</t>
    </r>
  </si>
  <si>
    <t>Ligne 21</t>
  </si>
  <si>
    <t>C. MONTANT TOTAL DES DÉPENSES DE RECHERCHE</t>
  </si>
  <si>
    <t>Montant des dépenses de recherche ouvrant droit au crédit d’impôt (CIR-Recherche)
 (ligne 14 + ligne 21)</t>
  </si>
  <si>
    <t>Ligne 22</t>
  </si>
  <si>
    <t>Montant des subventions publiques remboursables ou non</t>
  </si>
  <si>
    <t>Ligne 23a</t>
  </si>
  <si>
    <t>Pour les prestataires, le montant des dépenses exposées pour la réalisation des opérations de recherche pour le compte de tiers</t>
  </si>
  <si>
    <t>Ligne 23b</t>
  </si>
  <si>
    <t>Dépenses exposées auprès de tiers au titre de prestations de conseil pour l’octroi du bénéfice du crédit d’impôt</t>
  </si>
  <si>
    <t>Ligne 24</t>
  </si>
  <si>
    <t>Montant des remboursements de subventions publiques</t>
  </si>
  <si>
    <t>Ligne 25</t>
  </si>
  <si>
    <r>
      <rPr>
        <b/>
        <sz val="11"/>
        <color theme="1"/>
        <rFont val="Aptos Narrow"/>
        <family val="2"/>
        <scheme val="minor"/>
      </rPr>
      <t>Montant net total des dépenses de recherche</t>
    </r>
    <r>
      <rPr>
        <sz val="11"/>
        <color theme="1"/>
        <rFont val="Aptos Narrow"/>
        <family val="2"/>
        <scheme val="minor"/>
      </rPr>
      <t xml:space="preserve">
(ligne 22 - ligne 23a - ligne 23b - ligne 24 + ligne 25)</t>
    </r>
  </si>
  <si>
    <t>Ligne 26a</t>
  </si>
  <si>
    <t>Dont montant net des dépenses de recherche exposées dans des exploitations situées dans un DOM</t>
  </si>
  <si>
    <t>Ligne 26b</t>
  </si>
  <si>
    <t>II - DÉPENSES DE COLLECTION OUVRANT DROIT AU CRÉDIT D’IMPÔT (CIR-COLLECTION)</t>
  </si>
  <si>
    <t>Frais de collection</t>
  </si>
  <si>
    <t>Ligne 27</t>
  </si>
  <si>
    <t>Frais de défense des dessins et modèles dans la limite de 60 000 €</t>
  </si>
  <si>
    <t>Ligne 28</t>
  </si>
  <si>
    <t>Total des dépenses de collection (ligne 27 + ligne 28)</t>
  </si>
  <si>
    <t>Ligne 29</t>
  </si>
  <si>
    <t>Ligne 30</t>
  </si>
  <si>
    <t>Dépenses exposées auprès de tiers au titre de prestations de conseil pour l’octroi du bénéfice du crédit d’impôt⁵</t>
  </si>
  <si>
    <t>Ligne 31</t>
  </si>
  <si>
    <t>Ligne 32</t>
  </si>
  <si>
    <r>
      <rPr>
        <b/>
        <sz val="10"/>
        <rFont val="Arial"/>
        <family val="2"/>
      </rPr>
      <t>Montant net total des dépenses de collection</t>
    </r>
    <r>
      <rPr>
        <sz val="10"/>
        <rFont val="Arial"/>
        <family val="2"/>
      </rPr>
      <t xml:space="preserve">
(ligne 29 - ligne 30 - ligne 31 + ligne 32)</t>
    </r>
  </si>
  <si>
    <t>Ligne 33a</t>
  </si>
  <si>
    <t>Dont montant net des dépenses de collection exposées dans des exploitations situées dans
un DOM</t>
  </si>
  <si>
    <t>Ligne 33b</t>
  </si>
  <si>
    <t>MONTANT NET TOTAL DES DÉPENSES DE RECHERCHE ET DE COLLECTION
(ligne 26a + ligne 33a)</t>
  </si>
  <si>
    <t>Ligne 34a</t>
  </si>
  <si>
    <t>Dont montant net des dépenses de recherche et de collection exposées dans des exploitations situées dans un DOM (ligne 26b + ligne 33b)</t>
  </si>
  <si>
    <t>Ligne 34b</t>
  </si>
  <si>
    <t>III - CALCUL DU CRÉDIT D’IMPÔT AU TITRE DES DÉPENSES DE RECHERCHE ET DE COLLECTION</t>
  </si>
  <si>
    <t>A. LORSQUE LA SOMME DES DÉPENSES PORTÉES LIGNES 34a et 87 N’EXCÈDE PAS 100 000 000 €</t>
  </si>
  <si>
    <t>DÉTERMINATION DU CRÉDIT D’IMPÔT AU TITRE DES DÉPENSES DE RECHERCHE (CIR-RECHERCHE)</t>
  </si>
  <si>
    <t>Montant net total des dépenses de recherche
(reporter le montant indiqué ligne 26a)</t>
  </si>
  <si>
    <t>Ligne 35a</t>
  </si>
  <si>
    <t>Dont montant net total des dépenses de recherche exposées dans des exploitations situées dans un DOM 
(reporter le montant indiqué ligne 26b)</t>
  </si>
  <si>
    <t>Ligne 35b</t>
  </si>
  <si>
    <t>Montant du crédit d’impôt
 [(ligne 35a - ligne 35b) × 30 %] + (ligne 35b x 50 %)</t>
  </si>
  <si>
    <t>Ligne 36</t>
  </si>
  <si>
    <t>Quote-part de crédit d’impôt résultant de la participation de l’entreprise dans des sociétés de personnes ou groupements assimilés
(reporter le montant indiqué ligne 92a)</t>
  </si>
  <si>
    <t>Ligne 37</t>
  </si>
  <si>
    <t>Montant du crédit d’impôt pour les dépenses de recherche
(ligne 36 + ligne 37)</t>
  </si>
  <si>
    <t>Ligne 38a</t>
  </si>
  <si>
    <t>Dont montant du crédit d'impôt pour dépenses de recherche exposées dans des exploitations situées dans un DOM</t>
  </si>
  <si>
    <t>Ligne 38b</t>
  </si>
  <si>
    <t>DÉTERMINATION DU CRÉDIT D’IMPÔT AU TITRE DES DÉPENSES DE COLLECTION (CIR-COLLECTION)</t>
  </si>
  <si>
    <t>Montant net total des dépenses de collection (reporter le montant indiqué ligne 33a)</t>
  </si>
  <si>
    <t>Ligne 39a</t>
  </si>
  <si>
    <t>Dont montant net total des dépenses de collection exposées dans des exploitations situées dans un DOM (reporter le montant indiqué ligne 33b)</t>
  </si>
  <si>
    <t>Ligne 39b</t>
  </si>
  <si>
    <t>Montant du crédit d’impôt pour dépenses de collection avant plafonnement de minimis
[(ligne 39a - ligne 39b)× 30 %] + (ligne 39b x 50 %)</t>
  </si>
  <si>
    <t>Ligne 40</t>
  </si>
  <si>
    <t>Quote-part de crédit d’impôt résultant de la participation de l’entreprise dans des sociétés de personnes ou groupements assimilés
(reporter le montant indiqué ligne 91b)</t>
  </si>
  <si>
    <t>Ligne 41</t>
  </si>
  <si>
    <t>Montant total du crédit d’impôt pour dépenses de collection avant plafonnement de minimis
(ligne 40 + ligne 41)</t>
  </si>
  <si>
    <t>Ligne 42a</t>
  </si>
  <si>
    <t>Dont montant du crédit d'impôt pour dépenses de collection exposées dans des exploitations situées dans un DOM avant plafonnement de minimis</t>
  </si>
  <si>
    <t>Ligne 42b</t>
  </si>
  <si>
    <t>Montant des aides de minimis accordées à l'entreprise dans les conditions du règlement (UE) n° 1407/2013 de la Commission, du 18 décembre 2013, relatif à l'application des articles 107 et 108 du traité sur le fonctionnement de l'Union européenne aux aides de minimis</t>
  </si>
  <si>
    <t>Ligne 43</t>
  </si>
  <si>
    <t>traitement propre à chaque entreprise</t>
  </si>
  <si>
    <t>Montant cumulé du crédit d’impôt et des aides de minimis 
(ligne 42a + ligne 43)</t>
  </si>
  <si>
    <t>Ligne 44</t>
  </si>
  <si>
    <t>Montant du crédit d’impôt pour dépenses de collection après plafonnement de minimis :
Si le montant ligne 43 est égal à 300 000 €, reporter zéro ligne 45a 
Si le montant ligne 44 est inférieur à 300 000 €, reporter le montant déterminé ligne 42a à la ligne 45a 
Si le montant ligne 44 est supérieur à 300 000 €, reporter (300 000 € - ligne 43) à la ligne 45a</t>
  </si>
  <si>
    <t>Ligne 45a</t>
  </si>
  <si>
    <t>Dont montant du crédit d'impôt pour dépenses de collection exposées dans des exploitations situées dans un DOM après plafonnement</t>
  </si>
  <si>
    <t>Ligne 45b</t>
  </si>
  <si>
    <t>Montant total du crédit d’impôt au titre des dépenses de recherche et de collection 
(ligne 38a + ligne 45a)</t>
  </si>
  <si>
    <t>Ligne 46a</t>
  </si>
  <si>
    <t>Dont montant total du crédit d'impôt pour dépenses de recherche et de collection exposées dans des exploitations situées dans un DOM (ligne 38b + ligne 45b)</t>
  </si>
  <si>
    <t>Ligne 46b</t>
  </si>
  <si>
    <t>B. LORSQUE LA SOMME DES DÉPENSES PORTÉES LIGNES 34a et 86 EST SUPÉRIEURE À 100 000 000 €</t>
  </si>
  <si>
    <t>DÉTERMINATION DU CRÉDIT D’IMPÔT POUR LES DÉPENSES DE RECHERCHE</t>
  </si>
  <si>
    <t>Montant net total des dépenses de recherche limité à (100 000 000 € - dépenses de recherche collaborative) 
(reporter le montant indiqué ligne 26a dans la limite de (100 000 000 € - ligne 86))</t>
  </si>
  <si>
    <t>Ligne 47a</t>
  </si>
  <si>
    <t>Non géré</t>
  </si>
  <si>
    <t>Dont montant net total des dépenses de recherche exposées dans des exploitations situées dans un DOM (reporter le montant indiqué ligne 26b dans la limite de (100 000 000 € - ligne 86))</t>
  </si>
  <si>
    <t>Ligne 47b</t>
  </si>
  <si>
    <t>Montant du crédit d’impôt pour dépenses de recherche
[(ligne 47a - ligne 47b) x 30 %] + (ligne 47b x 50 %)</t>
  </si>
  <si>
    <t>Ligne 48</t>
  </si>
  <si>
    <t>Indiquer la part des dépenses de recherche supérieure à (100 000 000 € - dépenses de recherche collaborative)
[ligne 26a - (100 000 000 € - ligne 86)]</t>
  </si>
  <si>
    <t>Ligne 49</t>
  </si>
  <si>
    <t>Puis déterminer le montant du crédit d’impôt relatif à la fraction supérieure à (100 000 000 € - dépenses de recherche collaborative) (ligne 49 × 5 %)</t>
  </si>
  <si>
    <t>Ligne 50</t>
  </si>
  <si>
    <t>Montant total du crédit d’impôt 
(ligne 48 + ligne 50)</t>
  </si>
  <si>
    <t>Ligne 51</t>
  </si>
  <si>
    <t>Quote-part de crédit d’impôt résultant de la participation de l’entreprise dans des sociétés de personnes ou groupements assimilés 
(reporter le montant indiqué ligne 91a)</t>
  </si>
  <si>
    <t>Ligne 52</t>
  </si>
  <si>
    <t>Montant du crédit d’impôt pour dépenses de recherche 
(ligne 51 + ligne 52)</t>
  </si>
  <si>
    <t>Ligne 53a</t>
  </si>
  <si>
    <t>Ligne 53b</t>
  </si>
  <si>
    <t>DÉTERMINATION DU CRÉDIT D’IMPÔT POUR LES DÉPENSES DE COLLECTION</t>
  </si>
  <si>
    <t>Ligne 54a</t>
  </si>
  <si>
    <t>Dont montant net total des dépenses de collection exposées dans des exploitations situées dans un DOM 
(reporter le montant indiqué ligne 33b)</t>
  </si>
  <si>
    <t>Ligne 54b</t>
  </si>
  <si>
    <t>Plafond disponible
(100 000 000 € - ligne 86- ligne 47a)</t>
  </si>
  <si>
    <t>Ligne 55</t>
  </si>
  <si>
    <t>Crédit d’impôt pour dépenses de collection exposées par l’entreprise 
[(ligne 54a dans la limite de la ligne 55 - ligne 54b dans la limite de la ligne 55) x 30 ]% + (ligne 54b dans la limite de la ligne 55 x 50 %)</t>
  </si>
  <si>
    <t>Ligne 56</t>
  </si>
  <si>
    <t>Lorsque la part des dépenses de collection excède le plafond disponible 
[(ligne 54a - ligne 55)&gt;0], le crédit d’impôt est calculé au taux de 5 % [(ligne 54a - ligne 55) x 5 %]</t>
  </si>
  <si>
    <t>Ligne 57</t>
  </si>
  <si>
    <t>Crédit d’impôt pour dépenses de collection avant plafonnement de minimis (ligne 56 + ligne 57)</t>
  </si>
  <si>
    <t>Ligne 58</t>
  </si>
  <si>
    <t>Quote-part de crédit d’impôt résultant de la participation de l’entreprise dans des sociétés de personnes ou groupements assimilés 
(reporter le montant indiqué ligne 91b)</t>
  </si>
  <si>
    <t>Ligne 59</t>
  </si>
  <si>
    <t>Montant du crédit d’impôt avant plafonnement de minimis 
(ligne 58 + ligne 59)</t>
  </si>
  <si>
    <t>Ligne 60</t>
  </si>
  <si>
    <t>Montant des aides de minimis accordées à l'entreprise dans les conditions du règlement (UE) n° 1407/2013 de la Commission, du 18 décembre 2013, relatif à l’application des articles 107 et 108 du traité sur le fonctionnement de l'Union européenne aux aides de minimis</t>
  </si>
  <si>
    <t>Ligne 61</t>
  </si>
  <si>
    <t>Montant cumulé du crédit d’impôt et des aides de minimis 
(ligne 60 + ligne 61)</t>
  </si>
  <si>
    <t>Ligne 62</t>
  </si>
  <si>
    <t>Montant du crédit d’impôt pour dépenses de collection après plafonnement de minimis 
Si le montant ligne 61 est égal à 200 000 €, reporter zéro ligne 63a 
Si le montant ligne 62 est inférieur à 200 000 €, reporter le montant déterminé ligne 60 à la ligne 63a 
Si le montant ligne 62 est supérieur à 200 000 €, reporter (200 000 € - ligne 61) à la ligne 63a</t>
  </si>
  <si>
    <t>Ligne 63a</t>
  </si>
  <si>
    <t>Dont montant du crédit d'impôt pour dépenses de collection exposées dans des exploitations situées dans un DOM</t>
  </si>
  <si>
    <t>Ligne 63b</t>
  </si>
  <si>
    <t>Montant total du crédit d’impôt au titre des dépenses de recherche et de collection 
(ligne 53a + ligne 63a)</t>
  </si>
  <si>
    <t>Ligne 64a</t>
  </si>
  <si>
    <t>Dont montant du crédit d'impôt au titre des dépenses de recherche et de collection exposées dans des exploitations situées dans un DOM 
(ligne 53b + ligne 63b)</t>
  </si>
  <si>
    <t>Ligne 64b</t>
  </si>
  <si>
    <t>IV - DÉPENSES D’INNOVATION OUVRANT DROIT AU CRÉDIT D’IMPÔT (CIR-INNOVATION)</t>
  </si>
  <si>
    <t>DÉTERMINATION DU CRÉDIT D’IMPÔT AU TITRE DES DÉPENSES D’INNOVATION</t>
  </si>
  <si>
    <t>Dotations aux amortissements des immobilisations affectées aux opérations de conception de prototypes ou installations pilotes de nouveaux produits</t>
  </si>
  <si>
    <t>Ligne 65</t>
  </si>
  <si>
    <t>Dépenses de personnel affecté à la réalisation d’opérations de conception de prototypes ou installations pilotes de nouveaux produits</t>
  </si>
  <si>
    <t>Ligne 66</t>
  </si>
  <si>
    <t>Dotations aux amortissements, frais de prise et de maintenance de brevets et de certificats d’obtention végétale (COV), frais de dépôt de dessins et modèles</t>
  </si>
  <si>
    <t>Ligne 67</t>
  </si>
  <si>
    <t>Frais de défense des brevets, certificats d’obtention végétale (COV), dessins et modèles</t>
  </si>
  <si>
    <t>Ligne 68</t>
  </si>
  <si>
    <t>Opérations confiées à des entreprises ou bureaux d’études et d’ingénierie agréés</t>
  </si>
  <si>
    <t>Ligne 69</t>
  </si>
  <si>
    <t>Montant total des dépenses d’innovation 
(ligne 65 + ligne 66 + ligne 67 + ligne 68+ ligne 69)</t>
  </si>
  <si>
    <t>Ligne 70</t>
  </si>
  <si>
    <t>Montant total des dépenses d’innovation après plafonnement 
(ligne 70 dans la limite de 400 000 €)</t>
  </si>
  <si>
    <t>Ligne 71</t>
  </si>
  <si>
    <t>Ligne 72</t>
  </si>
  <si>
    <t>Pour les prestataires, montant des sommes encaissées au titre des travaux d’innovation qui leur ont été confiés</t>
  </si>
  <si>
    <t>Ligne 73</t>
  </si>
  <si>
    <t>Montant des dépenses exposées auprès de tiers au titre de prestations de conseil pour l’octroi du bénéfice du crédit d’impôt</t>
  </si>
  <si>
    <t>Ligne 74</t>
  </si>
  <si>
    <t>Ligne 75</t>
  </si>
  <si>
    <t>Montant net des dépenses d'innovation 
(ligne 71 - ligne 72 - ligne 73- ligne 74 + ligne 75)</t>
  </si>
  <si>
    <t>Ligne 76a</t>
  </si>
  <si>
    <t>Dont montant net des dépenses d'innovation exposées dans des exploitations situées dans un DOM</t>
  </si>
  <si>
    <t>Ligne 76b</t>
  </si>
  <si>
    <t>Dont montant net des dépenses d'innovation exposées par les micro et petites entreprises dans des exploitations situées sur le territoire de la collectivité de Corse</t>
  </si>
  <si>
    <t>Ligne 76c</t>
  </si>
  <si>
    <t>Dont montant net des dépenses d'innovation exposées par les moyennes entreprises dans des exploitations situées sur le territoire de la collectivité de Corse</t>
  </si>
  <si>
    <t>Ligne 76d</t>
  </si>
  <si>
    <t>Ligne 77</t>
  </si>
  <si>
    <t>Quote-part de crédit d’impôt résultant de la participation de l’entreprise dans des sociétés de personnes ou groupements assimilés 
(reporter le montant indiqué ligne 91c)</t>
  </si>
  <si>
    <t>Ligne 78</t>
  </si>
  <si>
    <t>Montant total du crédit d’impôt au titre des dépenses d’innovation 
(ligne 77 + ligne 78)</t>
  </si>
  <si>
    <t>Ligne 79a</t>
  </si>
  <si>
    <t>Dont montant du crédit d'impôt pour dépenses d'innovation exposées dans des exploitations situées dans un DOM</t>
  </si>
  <si>
    <t>Ligne 79b</t>
  </si>
  <si>
    <t>Dont montant du crédit d'impôt pour dépenses d'innovation exposées dans des exploitations situées sur le territoire de la collectivité de Corse</t>
  </si>
  <si>
    <t>Ligne 79c</t>
  </si>
  <si>
    <t>Montant total du crédit d’impôt au titre des dépenses de recherche, de collection et d’innovation 
(ligne 46a ou 64a + ligne 79a)</t>
  </si>
  <si>
    <t>Ligne 80a</t>
  </si>
  <si>
    <t>Dont montant du crédit d'impôt au titre des dépenses de recherche, de collection et d'innovation exposées dans des exploitations situées dans un DOM 
(ligne 46b ou 64b + ligne 79b)</t>
  </si>
  <si>
    <t>Ligne 80b</t>
  </si>
  <si>
    <t>CRÉDIT D’IMPÔT EN FAVEUR DE LA RECHERCHE COLLABORATIVE PRÉVU À L’ARTICLE 244 QUATER B BIS DU CGI</t>
  </si>
  <si>
    <t>V - DÉPENSES DE RECHERCHE COLLABORATIVE OUVRANT DROIT AU CRÉDIT D’IMPÔT (CRC)</t>
  </si>
  <si>
    <t>Dépenses facturées par des organismes de recherche et de diffusion des connaissances agréés dans le cadre d’un contrat de collaboration de recherche effective 
(joindre la liste des organismes à partir du formulaire n° 2069-A-3-SD)</t>
  </si>
  <si>
    <t>Ligne 81</t>
  </si>
  <si>
    <r>
      <t xml:space="preserve">Dont dépenses éligibles afférentes aux opérations réalisées directement par des organismes de recherche et de diffusion des connaissances agréés (de premier ou second rang) </t>
    </r>
    <r>
      <rPr>
        <b/>
        <sz val="11"/>
        <color theme="1"/>
        <rFont val="Aptos Narrow"/>
        <family val="2"/>
        <scheme val="minor"/>
      </rPr>
      <t>en France</t>
    </r>
  </si>
  <si>
    <t>Ligne 82a</t>
  </si>
  <si>
    <r>
      <t xml:space="preserve">Dont dépenses éligibles afférentes aux opérations réalisées directement par des organismes de recherche et de diffusion des connaissances agréés (de premier ou second rang) </t>
    </r>
    <r>
      <rPr>
        <b/>
        <sz val="11"/>
        <color theme="1"/>
        <rFont val="Aptos Narrow"/>
        <family val="2"/>
        <scheme val="minor"/>
      </rPr>
      <t>à l'étranger</t>
    </r>
  </si>
  <si>
    <t>Ligne 82b</t>
  </si>
  <si>
    <t>Montant total des dépenses de recherche collaborative éligibles après plafonnement 
Si (ligne 82a + ligne 82b) n’excède pas 6 000 000 €, reporter ce montant ligne 83 
Si (ligne 82a + ligne 82b) excède 6 000 000 €, reporter 6 000 000 € ligne 83</t>
  </si>
  <si>
    <t>Ligne 83</t>
  </si>
  <si>
    <t>Montant des aides publiques remboursables ou non</t>
  </si>
  <si>
    <t>Ligne 84</t>
  </si>
  <si>
    <t>Montant des remboursements des aides publiques</t>
  </si>
  <si>
    <t>Ligne 85</t>
  </si>
  <si>
    <t>Montant net des dépenses de recherche collaborative 
(ligne 83 - ligne 84 + ligne 85)</t>
  </si>
  <si>
    <t>Ligne 86</t>
  </si>
  <si>
    <t>Dont montant net des dépenses de recherche collaborative exposées par les PME</t>
  </si>
  <si>
    <t>Ligne 87</t>
  </si>
  <si>
    <t>Montant du crédit d’impôt au titre des dépenses de recherche collaborative 
[(ligne 86 - ligne 87) x 40 %] + (ligne 87 x 50 %)</t>
  </si>
  <si>
    <t>Ligne 88</t>
  </si>
  <si>
    <t>Quote-part de crédit d’impôt résultant de la participation de l’entreprise dans des sociétés de personnes ou groupements assimilés 
(reporter le montant indiqué ligne 91d)</t>
  </si>
  <si>
    <t>Ligne 89</t>
  </si>
  <si>
    <r>
      <rPr>
        <b/>
        <sz val="11"/>
        <color theme="1"/>
        <rFont val="Aptos Narrow"/>
        <family val="2"/>
        <scheme val="minor"/>
      </rPr>
      <t xml:space="preserve">Montant total du crédit d’impôt au titre des dépenses de recherche collaborative </t>
    </r>
    <r>
      <rPr>
        <sz val="11"/>
        <color theme="1"/>
        <rFont val="Aptos Narrow"/>
        <family val="2"/>
        <scheme val="minor"/>
      </rPr>
      <t xml:space="preserve">
(ligne 88 + ligne 89)</t>
    </r>
  </si>
  <si>
    <t>Ligne 90</t>
  </si>
  <si>
    <t xml:space="preserve">Ok 2069 </t>
  </si>
  <si>
    <t>DATE</t>
  </si>
  <si>
    <t>Exercice</t>
  </si>
  <si>
    <t>Liste des opérateurs</t>
  </si>
  <si>
    <t>Dispositif</t>
  </si>
  <si>
    <t>N° SIREN</t>
  </si>
  <si>
    <t>Organisme</t>
  </si>
  <si>
    <t xml:space="preserve">Adresse </t>
  </si>
  <si>
    <t>Agrément</t>
  </si>
  <si>
    <t>Ligne 2069-AS-D</t>
  </si>
  <si>
    <t>Somme de montant</t>
  </si>
  <si>
    <t>(vide)</t>
  </si>
  <si>
    <t>Total général</t>
  </si>
  <si>
    <t>Parametrage</t>
  </si>
  <si>
    <t xml:space="preserve">Cloture décalée </t>
  </si>
  <si>
    <t>Agréé</t>
  </si>
  <si>
    <t>Offre</t>
  </si>
  <si>
    <t>Crédit</t>
  </si>
  <si>
    <t>RTE</t>
  </si>
  <si>
    <t>RFI</t>
  </si>
  <si>
    <t>CVA</t>
  </si>
  <si>
    <t>Pôle</t>
  </si>
  <si>
    <t>Validation périmètre Technique</t>
  </si>
  <si>
    <t xml:space="preserve">Année Valorisation </t>
  </si>
  <si>
    <t xml:space="preserve"> Répartition hono 2024</t>
  </si>
  <si>
    <t>Hono 2024</t>
  </si>
  <si>
    <t>Honoraires</t>
  </si>
  <si>
    <t>Si fixe à palier, indiquer le montant du 1er palier</t>
  </si>
  <si>
    <t>Si %age, avec un montant minimum d'honoraire indiquer ce montant</t>
  </si>
  <si>
    <t>Copier ici la rémunération prévue dans le contrat</t>
  </si>
  <si>
    <t>MAJ notion des honoraires ?</t>
  </si>
  <si>
    <t>Validation honoraires</t>
  </si>
  <si>
    <t>Cohérence dans la feuille de calcul Synth/rep cout</t>
  </si>
  <si>
    <t>Cohérence entre les feuilles de calcul CIR</t>
  </si>
  <si>
    <t>Cohérence entre les feuilles de calcul CII</t>
  </si>
  <si>
    <t>Cohérence entre les feuilles de calcul CIC</t>
  </si>
  <si>
    <t>Dotations aux amortissements</t>
  </si>
  <si>
    <t>Dépenses de personnel</t>
  </si>
  <si>
    <t>Frais de fonctionnement</t>
  </si>
  <si>
    <t>na</t>
  </si>
  <si>
    <t>Dépenses brevet</t>
  </si>
  <si>
    <t>Dépenses ST</t>
  </si>
  <si>
    <t>PERSONNEL</t>
  </si>
  <si>
    <t>Matricule</t>
  </si>
  <si>
    <t>Nom</t>
  </si>
  <si>
    <t>Prénom</t>
  </si>
  <si>
    <t>Rôle dans l'opération</t>
  </si>
  <si>
    <t>salaire Brut N</t>
  </si>
  <si>
    <t>Salaire Brut N-1</t>
  </si>
  <si>
    <t>Variation</t>
  </si>
  <si>
    <t>HTRAV N</t>
  </si>
  <si>
    <t>HTRAV N-1</t>
  </si>
  <si>
    <t>Tx horaire N</t>
  </si>
  <si>
    <t>Tx horaire N-1</t>
  </si>
  <si>
    <t>HRECH N</t>
  </si>
  <si>
    <t>HRECH N-1</t>
  </si>
  <si>
    <t>HINNO N</t>
  </si>
  <si>
    <t>HINNO N-1</t>
  </si>
  <si>
    <t>IMMO Valorisée</t>
  </si>
  <si>
    <t>Identification de l'équipement</t>
  </si>
  <si>
    <t>Description de l'équipement</t>
  </si>
  <si>
    <t>Date d'achat</t>
  </si>
  <si>
    <t>Coût acquisition (HT)</t>
  </si>
  <si>
    <t>Durée amortissement (Mois)</t>
  </si>
  <si>
    <t>% R&amp;D N</t>
  </si>
  <si>
    <t>% Inno N</t>
  </si>
  <si>
    <t xml:space="preserve">BREVET </t>
  </si>
  <si>
    <t>OUI /NON</t>
  </si>
  <si>
    <t>si oui indiquer le nom du founisseur vérifier s'il est toujours présent dans le grand livre 2024</t>
  </si>
  <si>
    <t>Fournisseur</t>
  </si>
  <si>
    <t>Montant</t>
  </si>
  <si>
    <t>VEILLE</t>
  </si>
  <si>
    <t>Sous-traitance</t>
  </si>
  <si>
    <t>SUBVENTION</t>
  </si>
  <si>
    <t xml:space="preserve">Nom Subvention </t>
  </si>
  <si>
    <t>Reliquat</t>
  </si>
  <si>
    <t>Dépenses ouvrant droit au crédit d'impôt</t>
  </si>
  <si>
    <t>Dépenses de personnel - Jeunes Docteurs</t>
  </si>
  <si>
    <t>Dépenses de fonctionnement</t>
  </si>
  <si>
    <t>Dépenses de prise et maintenance de brevets</t>
  </si>
  <si>
    <t>Dépenses de défense de brevets</t>
  </si>
  <si>
    <t>Dotations aux amortissements des brevets</t>
  </si>
  <si>
    <t>Dépenses de normalisation</t>
  </si>
  <si>
    <t>Dépenses de primes et cotisations assurances brevets</t>
  </si>
  <si>
    <t>Dépenses de veille technologique</t>
  </si>
  <si>
    <t>Dépenses engagées auprès de prestataires externes privés ou publics français</t>
  </si>
  <si>
    <t>Critère de plafonnement</t>
  </si>
  <si>
    <t>résultat</t>
  </si>
  <si>
    <t>Montant à considérer</t>
  </si>
  <si>
    <t>Dépenses engagées auprès de prestataires externes privés ou publics communautaires</t>
  </si>
  <si>
    <t>lien de dépendance (&lt;2m€)</t>
  </si>
  <si>
    <t>Dépenses engagées auprès de prestataires français avec lien de dépendance</t>
  </si>
  <si>
    <t>plafonnement ST (&lt;10 m€)</t>
  </si>
  <si>
    <t>Dépenses engagées auprès de prestataires communautaires avec lien de dépendance</t>
  </si>
  <si>
    <t>&lt;3 fois les dépenses internes</t>
  </si>
  <si>
    <t>Total brut des dépenses éligibles</t>
  </si>
  <si>
    <t xml:space="preserve"> - Subventions publiques et avances remboursables perçus</t>
  </si>
  <si>
    <t xml:space="preserve"> + Remboursements de subventions publiques</t>
  </si>
  <si>
    <t xml:space="preserve"> - Ventes R&amp;D</t>
  </si>
  <si>
    <t xml:space="preserve"> - Dépenses exposées au titre de prestation de conseil</t>
  </si>
  <si>
    <t>Total net des dépenses éligibles</t>
  </si>
  <si>
    <t>Taux applicable</t>
  </si>
  <si>
    <t>Montant du crédit d'impôt</t>
  </si>
  <si>
    <t>Total des crédits</t>
  </si>
  <si>
    <t>Dépenses engagées auprès de prestataires certifiés ORDC  français</t>
  </si>
  <si>
    <t>Dépenses engagées auprès de prestataires certifiés ORDC  communautaires</t>
  </si>
  <si>
    <t>Dépenses ouvrant droit à crédit d'impôt</t>
  </si>
  <si>
    <t>Dépenses engagées auprès de prestataires externes français</t>
  </si>
  <si>
    <t>Dépenses engagées auprès de prestataires externes communautaires</t>
  </si>
  <si>
    <t>Total brut des dépenses de R&amp;D</t>
  </si>
  <si>
    <t>Total net des dépenses de R&amp;D</t>
  </si>
  <si>
    <t>Total crédit impôt recherche (CIR)</t>
  </si>
  <si>
    <t>Dépenses ouvrant droit à crédit d'impôt Recherche (CIR)</t>
  </si>
  <si>
    <t>Dépenses non rattachées à un projet</t>
  </si>
  <si>
    <t xml:space="preserve">Total </t>
  </si>
  <si>
    <t xml:space="preserve">Total brut des dépenses </t>
  </si>
  <si>
    <t xml:space="preserve">Total net des dépenses </t>
  </si>
  <si>
    <t>Montant du crédit d'impôt Recherche (CIR)</t>
  </si>
  <si>
    <t>Dépenses ouvrant droit à crédit d'impôt Innovation (CII)</t>
  </si>
  <si>
    <t>Nom projet</t>
  </si>
  <si>
    <t>Dépenses ouvrant droit à crédit d'impôt Collection (CIC)</t>
  </si>
  <si>
    <t>Montant du crédit d'impôt Innovation (CII)</t>
  </si>
  <si>
    <t>Montant du crédit d'impôt Collection (CIC)</t>
  </si>
  <si>
    <t>CIR - Répartition des coûts R&amp;D par opérations</t>
  </si>
  <si>
    <t>AUTRES TYPES DE DÉPENSES</t>
  </si>
  <si>
    <t>TOTAL</t>
  </si>
  <si>
    <t>ne pas toucher</t>
  </si>
  <si>
    <t>Ratio CII</t>
  </si>
  <si>
    <t>Facture O/N</t>
  </si>
  <si>
    <t>Centre de cout</t>
  </si>
  <si>
    <t>N° de compte</t>
  </si>
  <si>
    <t>N° immobilisation</t>
  </si>
  <si>
    <t>Dotation annuelle</t>
  </si>
  <si>
    <t>type d'utilisation</t>
  </si>
  <si>
    <t>Ratio d'éligibilité CIR</t>
  </si>
  <si>
    <t>X</t>
  </si>
  <si>
    <t>Dotations éligibles au CIR</t>
  </si>
  <si>
    <t>Ratio d'éligibilité CII</t>
  </si>
  <si>
    <t>Dotations éligibles au CII</t>
  </si>
  <si>
    <t>Ratio d'éligibilité</t>
  </si>
  <si>
    <t>Dotations éligibles au CIC</t>
  </si>
  <si>
    <t>Heures R&amp;D</t>
  </si>
  <si>
    <t>Utilisation mixte - ratio société</t>
  </si>
  <si>
    <t>Heures totales salariés retenus</t>
  </si>
  <si>
    <t>Heures totales société</t>
  </si>
  <si>
    <t>Total des dépenses de dotations aux amortissements</t>
  </si>
  <si>
    <t>Dont brevet acquis en vue de réaliser des opérations de recherche</t>
  </si>
  <si>
    <t>Dont dotations aux amortissements</t>
  </si>
  <si>
    <t>Ratio CIR</t>
  </si>
  <si>
    <t>BDS O/N</t>
  </si>
  <si>
    <t>Diplôme/CV O/N</t>
  </si>
  <si>
    <t>Mat</t>
  </si>
  <si>
    <t>Diplôme + Ecole</t>
  </si>
  <si>
    <t>Année obtention</t>
  </si>
  <si>
    <t>Statut</t>
  </si>
  <si>
    <t>Date d'entrée</t>
  </si>
  <si>
    <t>Date de
sortie</t>
  </si>
  <si>
    <t>%age de présence</t>
  </si>
  <si>
    <t>Salaire Brut</t>
  </si>
  <si>
    <t>Acc à la rém</t>
  </si>
  <si>
    <t>CPAT</t>
  </si>
  <si>
    <t>CSPO</t>
  </si>
  <si>
    <t>Charge Pat / Sal Brut</t>
  </si>
  <si>
    <t>CSPO/CPAT</t>
  </si>
  <si>
    <t>Salaire chargé éligible</t>
  </si>
  <si>
    <t>Heures travaillées N</t>
  </si>
  <si>
    <t>Coût horaire N</t>
  </si>
  <si>
    <t>Heures éligibles au CIR</t>
  </si>
  <si>
    <t>Heures éligibles au CII</t>
  </si>
  <si>
    <t>Heures éligibles au CIC</t>
  </si>
  <si>
    <t>Ratio CIC</t>
  </si>
  <si>
    <t>Dépenses éligibles au CIR</t>
  </si>
  <si>
    <t>Dépenses éligibles au CII</t>
  </si>
  <si>
    <t>Dépenses éligibles au CIC</t>
  </si>
  <si>
    <t>Heures hors R&amp;D</t>
  </si>
  <si>
    <t>Heures travaillées salariés CIR</t>
  </si>
  <si>
    <t>Heures travaillées salariés CII</t>
  </si>
  <si>
    <t>Heures travaillées salariés CIC</t>
  </si>
  <si>
    <t>dont JD</t>
  </si>
  <si>
    <t>dont dépenses de personnel</t>
  </si>
  <si>
    <t xml:space="preserve">Cas de figure </t>
  </si>
  <si>
    <t xml:space="preserve">Conséquence </t>
  </si>
  <si>
    <t xml:space="preserve">Données pour valorisation </t>
  </si>
  <si>
    <t xml:space="preserve">Explication du calcul </t>
  </si>
  <si>
    <t xml:space="preserve">Axe d'attention </t>
  </si>
  <si>
    <t>A</t>
  </si>
  <si>
    <t xml:space="preserve">Personnel au 35h (1820,04 heures) et pointe 7 heures par jour dans la base de pointage </t>
  </si>
  <si>
    <t>les HTRAV calculées sont justes</t>
  </si>
  <si>
    <t>Les données issues de la requete RH</t>
  </si>
  <si>
    <t>Si le salarié à des RTT on n'en tient pas compte pour le calcul des HTRAV</t>
  </si>
  <si>
    <t xml:space="preserve">Personnel au 39h (2028 heures) et pointe 7,8 heures par jour dans la base de pointage </t>
  </si>
  <si>
    <t>B</t>
  </si>
  <si>
    <t xml:space="preserve">Personnel au 40h (2080 heures) et pointe 8 heures par jour dans la base de pointage </t>
  </si>
  <si>
    <t>C</t>
  </si>
  <si>
    <t>Personnel au 35h (1820,04 heures) et les HRECH sont un %age de son temps</t>
  </si>
  <si>
    <t>D</t>
  </si>
  <si>
    <t>Personnel au 39h (2028 heures) et les HRECH sont un %age de son temps</t>
  </si>
  <si>
    <t>E</t>
  </si>
  <si>
    <t>Personnel au 40h (2080 heures) et les HRECH sont un %age de son temps</t>
  </si>
  <si>
    <t xml:space="preserve">Personnel au 35h (1820,04 heures) et ne pointe pas 7 heures dans la base de pointage </t>
  </si>
  <si>
    <t>les HTRAV calculées ne sont pas justes</t>
  </si>
  <si>
    <t xml:space="preserve"> = HTRAV/ 7heures * Nbre heures pointées par jour</t>
  </si>
  <si>
    <t>au cas par cas</t>
  </si>
  <si>
    <t>Si le nombre d'heures pointées est supérieur à 7 heures on retient les RTT dans le calcul des HTRAV</t>
  </si>
  <si>
    <t xml:space="preserve">Personnel au 39h (2028 heures) et ne pointe pas 7,8 heures dans la base de pointage </t>
  </si>
  <si>
    <t xml:space="preserve"> = HTRAV/ 7,8heures * Nbre heures pointées par jour</t>
  </si>
  <si>
    <t xml:space="preserve">Personnel au 40h (2080 heures) et ne pointe pas 8 heures dans la base de pointage </t>
  </si>
  <si>
    <t xml:space="preserve"> = HTRAV/ 8heures * Nbre heures pointées par jour</t>
  </si>
  <si>
    <t xml:space="preserve">Je n'ai pas d'information sur ces HTRAV mais pointe et c'est un cadre au forfait jours </t>
  </si>
  <si>
    <t>on trouve des HTRAV générique avec les heures théoriques pointées par jour</t>
  </si>
  <si>
    <t xml:space="preserve"> = 218* heures théoriques pointées</t>
  </si>
  <si>
    <t>si la personne est arrivé en cours d'année on proratise ce résultat</t>
  </si>
  <si>
    <t xml:space="preserve">Je n'ai pas d'information sur ces HTRAV mais pointe et ce n'est un cadre au forfait jours </t>
  </si>
  <si>
    <t xml:space="preserve"> = 47 * 5 * heures théroqiues pointées</t>
  </si>
  <si>
    <t xml:space="preserve">Je n'ai pas d'information sur ces HTRAV, pas d'info dans la base de pointage et c'est un cadre au forfait jours </t>
  </si>
  <si>
    <t>on trouve des HTRAV générique</t>
  </si>
  <si>
    <t xml:space="preserve"> = 218*8 = 1744 heures </t>
  </si>
  <si>
    <t xml:space="preserve">Je n'ai pas d'information sur ces HTRAV, pas d'info dans la base de pointage et ce n'est pas un cadre au forfait jours </t>
  </si>
  <si>
    <t xml:space="preserve"> = 47 semaines * 35 heures </t>
  </si>
  <si>
    <t>Donnée HTRAV</t>
  </si>
  <si>
    <t xml:space="preserve">Nom </t>
  </si>
  <si>
    <t>N° de Facture</t>
  </si>
  <si>
    <t>N° document</t>
  </si>
  <si>
    <t>Date comptabilisation</t>
  </si>
  <si>
    <t>Date facture</t>
  </si>
  <si>
    <t>Type de dépenses</t>
  </si>
  <si>
    <t>Titre brevet</t>
  </si>
  <si>
    <t>N° de dépôt</t>
  </si>
  <si>
    <t>Libellé facture</t>
  </si>
  <si>
    <t>Type prestation</t>
  </si>
  <si>
    <t>Montant HT</t>
  </si>
  <si>
    <t xml:space="preserve">Montant CIR </t>
  </si>
  <si>
    <t>Montant   CII</t>
  </si>
  <si>
    <t>Montant   CIC</t>
  </si>
  <si>
    <t>Total</t>
  </si>
  <si>
    <t>Total Prise et Maintenance de brevet</t>
  </si>
  <si>
    <t>Total Défense de brevet</t>
  </si>
  <si>
    <t>Total des Primes et Cotisations Assurances brevets</t>
  </si>
  <si>
    <t>rattachement projet</t>
  </si>
  <si>
    <t>Résumé des travaux</t>
  </si>
  <si>
    <t>Type de travaux</t>
  </si>
  <si>
    <t>Nationalité</t>
  </si>
  <si>
    <t>Lien de dépendance</t>
  </si>
  <si>
    <t>Début Agrément</t>
  </si>
  <si>
    <t>Fin Agrément</t>
  </si>
  <si>
    <t>Eligibilité</t>
  </si>
  <si>
    <t>Montant CIR</t>
  </si>
  <si>
    <t>x</t>
  </si>
  <si>
    <t>Montant CII</t>
  </si>
  <si>
    <t>Montant  CICO</t>
  </si>
  <si>
    <t>montant</t>
  </si>
  <si>
    <t>Total France sans lien de dépendance</t>
  </si>
  <si>
    <t>Total France avec lien de dépendance</t>
  </si>
  <si>
    <t>Total Europe sans lien de dépendance</t>
  </si>
  <si>
    <t>Total Europe avec lien de dépendance</t>
  </si>
  <si>
    <t>Type de Frais</t>
  </si>
  <si>
    <t>Libellé</t>
  </si>
  <si>
    <t>Type de réunion</t>
  </si>
  <si>
    <t>Organisme / Congrès</t>
  </si>
  <si>
    <t>Dates</t>
  </si>
  <si>
    <t>Lieu</t>
  </si>
  <si>
    <t>Temps passé (h)</t>
  </si>
  <si>
    <t>Cout horaire</t>
  </si>
  <si>
    <t>Montant
CIR</t>
  </si>
  <si>
    <t>Dépenses de défense de brevet interne</t>
  </si>
  <si>
    <t>Dépenses totales de veille</t>
  </si>
  <si>
    <t>Veille plafonnée</t>
  </si>
  <si>
    <t xml:space="preserve">A venir </t>
  </si>
  <si>
    <t>Synthèse</t>
  </si>
  <si>
    <t>Personnel</t>
  </si>
  <si>
    <t>Immobilisations</t>
  </si>
  <si>
    <t>Sous-Traitance</t>
  </si>
  <si>
    <t>Personnel Heures de recherche / innovation</t>
  </si>
  <si>
    <t>Dépenses de personnel recherche / innovation</t>
  </si>
  <si>
    <t>APPLE</t>
  </si>
  <si>
    <t>a</t>
  </si>
  <si>
    <t>c</t>
  </si>
  <si>
    <t>Total Heures CIR / CII</t>
  </si>
  <si>
    <t>Dépenses Totales</t>
  </si>
  <si>
    <t>Heures CIR</t>
  </si>
  <si>
    <t>Dépenses</t>
  </si>
  <si>
    <t>Ratio</t>
  </si>
  <si>
    <t>Heures CII</t>
  </si>
  <si>
    <t>Fait 
O/N</t>
  </si>
  <si>
    <t>Eléments à vérifier</t>
  </si>
  <si>
    <t>Sinon justifier</t>
  </si>
  <si>
    <t xml:space="preserve">Est-ce que Synthèse = Rep cout = PPT ? </t>
  </si>
  <si>
    <t>Est-ce que synthèse = TS ?</t>
  </si>
  <si>
    <t xml:space="preserve">Toutes les cases de paramètre chiffrage sont-elles vraies ? </t>
  </si>
  <si>
    <t>Le nombre de PC correspond-t-il bien au même nombre de personnes valorisées ?</t>
  </si>
  <si>
    <t xml:space="preserve">Est-ce que les honoraires correspondent au contrat ? </t>
  </si>
  <si>
    <t>Si jeune docteur l'année dernière, vérifier si cette année, il a toujours la qualité de jeune docteur et jusqu'à quand ?</t>
  </si>
  <si>
    <t xml:space="preserve">L'entreprise est-elle toujours PME ? </t>
  </si>
  <si>
    <t xml:space="preserve">Avez-vous tout les bulletins de salaires ? </t>
  </si>
  <si>
    <t>Les taux de CSPO ne sont pas aberrants ?</t>
  </si>
  <si>
    <t>Les différences avec VERIF VS sont-elles correctes ? (heures / cout horaire / salaire)</t>
  </si>
  <si>
    <t xml:space="preserve">As-tu bien complété les montants des années précédentes dans l'onglet synthèse ? </t>
  </si>
  <si>
    <t>Les heures travaillées sont-elles cohérentes par rapport aux % de présence ?</t>
  </si>
  <si>
    <t>As-tu vérifier s’il y a bien les exonérations JEI sur le livre de paie si l’entreprise est bien JEI ?</t>
  </si>
  <si>
    <t>Le total des temps valorisés par salarié est bien plafonné à 95% maximum ?</t>
  </si>
  <si>
    <t>Les scans des diplomes sont disponibles ?</t>
  </si>
  <si>
    <t>Tous les éléments à demander au client pour compléter le dossier ont été listé ?</t>
  </si>
  <si>
    <t>Les factures de ST sont rattachés au bon projet ? (Sinon voir tech)</t>
  </si>
  <si>
    <t>La déclaration 2069 A SD est correctement remplie ?</t>
  </si>
  <si>
    <t xml:space="preserve">Est-ce que Axel est encore bourré ? </t>
  </si>
  <si>
    <t>Avez-vous lu la fiche synthèse du client pour s'assurer qu'on a tous les éléments ?</t>
  </si>
  <si>
    <t>Avez-vous vérifié si il y avait de la subvention les années précédentes ?</t>
  </si>
  <si>
    <t xml:space="preserve">Avez-vous fait l'audit du GL ? </t>
  </si>
  <si>
    <t>Avez-vous vérifié si les Hrech correspondent bien aux temps de recherche / innovation dans valo perso ?</t>
  </si>
  <si>
    <t xml:space="preserve">Avoir vérifié la date d'agrément CIR / CII des sous-traitants </t>
  </si>
  <si>
    <t>Est-ce que dans la version finale les projets retenues sont bien éligibles et correctement ventilés entre CIR / CII ? (vérifier avec le tech)</t>
  </si>
  <si>
    <t>T'es-tu rapproché du technique pour les profils à risque ?</t>
  </si>
  <si>
    <t xml:space="preserve">As-tu bien reçu les factures de veille / brevet / sous-traitance ? </t>
  </si>
  <si>
    <t>As-tu bien fait tes recherches V à partir du matricule ?</t>
  </si>
  <si>
    <t>Est-ce que les totaux des dépenses correspondent aux tableaux synthétiques ?</t>
  </si>
  <si>
    <t xml:space="preserve">As-tu remplis l'onglet JEI ? </t>
  </si>
  <si>
    <t xml:space="preserve">Quand rajoute un onglet dans rep cout pour CII le montant des immo par projet ne suis pas </t>
  </si>
  <si>
    <t>S</t>
  </si>
  <si>
    <t xml:space="preserve">Dans st quand rattache à un projet, le faire apparaitre dans rep cout </t>
  </si>
  <si>
    <t>N</t>
  </si>
  <si>
    <t xml:space="preserve">Quand honoraires à déduire le faire apparaitre dans rep cout en négatif </t>
  </si>
  <si>
    <t xml:space="preserve">liste déroulante des projets rattachés dans st </t>
  </si>
  <si>
    <t>1+1 à intégrer</t>
  </si>
  <si>
    <t>F</t>
  </si>
  <si>
    <t>Vérif VS ajouté diplôme + date d'obtention + date d'entrée</t>
  </si>
  <si>
    <t xml:space="preserve">Formule dotation : heure totale société </t>
  </si>
  <si>
    <t xml:space="preserve">un outil pour traiter sub directement dans la matrice </t>
  </si>
  <si>
    <t>F/A</t>
  </si>
  <si>
    <t>ajouter lignes perso dans ppt perso</t>
  </si>
  <si>
    <t>Critère JEI</t>
  </si>
  <si>
    <t>Donnée à vérifier</t>
  </si>
  <si>
    <t>Valeur renseignée</t>
  </si>
  <si>
    <t>✅ O/N</t>
  </si>
  <si>
    <t xml:space="preserve">Dépenses totales de charges </t>
  </si>
  <si>
    <t>Dépenses de recherche</t>
  </si>
  <si>
    <t>Eligibilité JEI</t>
  </si>
  <si>
    <t xml:space="preserve">Condition </t>
  </si>
  <si>
    <t>1. Date de création de l’entreprise</t>
  </si>
  <si>
    <t>Chercher sur société</t>
  </si>
  <si>
    <t>(ex: 2017)</t>
  </si>
  <si>
    <t>oui</t>
  </si>
  <si>
    <t>Rajouter les critères Nls</t>
  </si>
  <si>
    <t>Date de l'exercice en cours</t>
  </si>
  <si>
    <t>Année N</t>
  </si>
  <si>
    <t>2. Âge de l’entreprise au moment de la demande</t>
  </si>
  <si>
    <t>Calculé automatiquement</t>
  </si>
  <si>
    <t>=Année en cours - Date de création</t>
  </si>
  <si>
    <t>3. Employés &lt; 250</t>
  </si>
  <si>
    <t>(ex: 45)</t>
  </si>
  <si>
    <t>(Oui / Non)</t>
  </si>
  <si>
    <t>4. Chiffre d’affaires &lt; 50 M€</t>
  </si>
  <si>
    <t>(ex: 6,8 M€)</t>
  </si>
  <si>
    <t>5. Total bilan &lt; 43 M€</t>
  </si>
  <si>
    <t>(ex: 3,4 M€)</t>
  </si>
  <si>
    <t>6. Dépenses R&amp;D &gt; 20 % des charges fiscales (hors exceptions)</t>
  </si>
  <si>
    <t>À calculer à partir des données du chiffrage</t>
  </si>
  <si>
    <t>=Dépenses R&amp;D / Total charges fiscales</t>
  </si>
  <si>
    <t>Validité du statut</t>
  </si>
  <si>
    <t>Calcul du ratio</t>
  </si>
  <si>
    <t>Tableaux Personnel</t>
  </si>
  <si>
    <t xml:space="preserve">Tableaux immobiliations </t>
  </si>
  <si>
    <t>Conditions générales</t>
  </si>
  <si>
    <t>1.</t>
  </si>
  <si>
    <t>Être une PME au sens communautaire :
 - Employer moins de 250 salariés
 - CA &lt; 50 000 000 € ou Bilan total &lt; 43 000 000 €</t>
  </si>
  <si>
    <t>Personnes impliquées dans la R&amp;D</t>
  </si>
  <si>
    <t>Prorata d'utilisation en R&amp;D</t>
  </si>
  <si>
    <t>Amortissement imputé en R&amp;D</t>
  </si>
  <si>
    <t>Diplôme et école</t>
  </si>
  <si>
    <t xml:space="preserve">Effectif moyen 2023 (ETP) : </t>
  </si>
  <si>
    <t xml:space="preserve">CA 2023 : </t>
  </si>
  <si>
    <t xml:space="preserve">Total Bilan 2023 : </t>
  </si>
  <si>
    <t>2.</t>
  </si>
  <si>
    <t>Entreprise créée avant le :</t>
  </si>
  <si>
    <t xml:space="preserve"> - Être créée depuis moins de 11 ans.</t>
  </si>
  <si>
    <t>Entreprise créée à partir du :</t>
  </si>
  <si>
    <t xml:space="preserve"> - Être créée depuis moins de 8 ans.</t>
  </si>
  <si>
    <t>Date de création de l'entreprise :</t>
  </si>
  <si>
    <t>3.</t>
  </si>
  <si>
    <t>Avoir réalisé des dépenses de R&amp;D représentant au moins 15% des charges.</t>
  </si>
  <si>
    <t>4.</t>
  </si>
  <si>
    <t>Être détenu pour 50% au minimum par :</t>
  </si>
  <si>
    <t xml:space="preserve"> - Une personne physique (particulier ou EI)</t>
  </si>
  <si>
    <t>OUI</t>
  </si>
  <si>
    <t xml:space="preserve"> - Une PME détenue à plus de 50% par une personne physique</t>
  </si>
  <si>
    <t xml:space="preserve"> - Une autre JEI</t>
  </si>
  <si>
    <t>NON</t>
  </si>
  <si>
    <t xml:space="preserve"> - Une association ou fondation reconnue d'utilité publique à caractère scientifique</t>
  </si>
  <si>
    <t xml:space="preserve"> - Un établissement public de recherche et d'enseignement ou une de ses filiales</t>
  </si>
  <si>
    <t xml:space="preserve"> - Une société d'investissement</t>
  </si>
  <si>
    <t>Désignation des immobilisations</t>
  </si>
  <si>
    <t>Prix d’achat</t>
  </si>
  <si>
    <t>Amortissement annuel</t>
  </si>
  <si>
    <t>Prorata d’utilisation en R&amp;D</t>
  </si>
  <si>
    <t>5.</t>
  </si>
  <si>
    <t xml:space="preserve">Exercer une activité nouvelle.
L'entreprise ne doit pas avoir été créée dans le cadre : </t>
  </si>
  <si>
    <t>Nom prénom</t>
  </si>
  <si>
    <t>Rôle dans l’opération de R&amp;D</t>
  </si>
  <si>
    <t>Heures travaillées dans le cadre de la R&amp;D</t>
  </si>
  <si>
    <t>Coût R&amp;D</t>
  </si>
  <si>
    <t>A. Immeubles acquis neufs ou achevés à partir de 1991.</t>
  </si>
  <si>
    <t>B. Biens autres que les immeubles :</t>
  </si>
  <si>
    <t>a.</t>
  </si>
  <si>
    <t>d'une concentration ou restructuration d'activité préexistante</t>
  </si>
  <si>
    <r>
      <t>-</t>
    </r>
    <r>
      <rPr>
        <sz val="7"/>
        <color theme="1"/>
        <rFont val="Times New Roman"/>
        <family val="1"/>
      </rPr>
      <t xml:space="preserve">          </t>
    </r>
    <r>
      <rPr>
        <b/>
        <sz val="9"/>
        <color theme="1"/>
        <rFont val="Open Sans"/>
        <family val="2"/>
      </rPr>
      <t>Biens appartenant à l'entreprise</t>
    </r>
  </si>
  <si>
    <t xml:space="preserve"> - identité au moins partielle d'activité</t>
  </si>
  <si>
    <t xml:space="preserve"> - existence de liens privilégiés entre l'entreprise créée et l'entreprise préexistante</t>
  </si>
  <si>
    <t>Dont acquisition de l'exercice</t>
  </si>
  <si>
    <t xml:space="preserve"> - transfert de moyens d'exploitation de l'entreprise préexistante à l'entreprise nouvellement créée</t>
  </si>
  <si>
    <t>b.</t>
  </si>
  <si>
    <t>d'une extension d'activité préexistante</t>
  </si>
  <si>
    <t xml:space="preserve"> - existence d'une communauté d'intérêt entre l'entreprise créée et une entreprise préexistante</t>
  </si>
  <si>
    <r>
      <t>-</t>
    </r>
    <r>
      <rPr>
        <sz val="7"/>
        <color theme="1"/>
        <rFont val="Times New Roman"/>
        <family val="1"/>
      </rPr>
      <t xml:space="preserve">          </t>
    </r>
    <r>
      <rPr>
        <b/>
        <sz val="9"/>
        <color theme="1"/>
        <rFont val="Open Sans"/>
        <family val="2"/>
      </rPr>
      <t>Biens financés par crédit-bail</t>
    </r>
  </si>
  <si>
    <t xml:space="preserve"> - l'activité de l'entreprise créée prolonge celle de l'entreprise préexistante</t>
  </si>
  <si>
    <t>c.</t>
  </si>
  <si>
    <t xml:space="preserve">de reprise d'une activité préexistante </t>
  </si>
  <si>
    <t xml:space="preserve"> - l'activité de l'entreprise créée est identique à celle d'une entreprise préexistante</t>
  </si>
  <si>
    <t xml:space="preserve"> - existence d'un transfert de moyens d'exploitation ou relations de droit ou de fait avec une entreprise</t>
  </si>
  <si>
    <t>Opération 2</t>
  </si>
  <si>
    <t>Pour les heures : si 2ème opé, mettre Y4 au lieu de X4 et étendre</t>
  </si>
  <si>
    <t>Pour les dépenses : si 2ème opé, mettre AN4 au lieu de AM4 et étendre</t>
  </si>
  <si>
    <t>Charges</t>
  </si>
  <si>
    <t>N-1</t>
  </si>
  <si>
    <t>60 - Achats</t>
  </si>
  <si>
    <t>à remplir</t>
  </si>
  <si>
    <t>à déterminer</t>
  </si>
  <si>
    <t>61 - Services extérieurs</t>
  </si>
  <si>
    <t>62 - Autres services extérieurs</t>
  </si>
  <si>
    <t>63 - Impôts, taxes et versements assimilés</t>
  </si>
  <si>
    <t>64 - Charges de personnel</t>
  </si>
  <si>
    <t>65 - Autres charges de gestion courante</t>
  </si>
  <si>
    <t>66 - Charges financières</t>
  </si>
  <si>
    <t>67 - Charges exceptionnelles</t>
  </si>
  <si>
    <t>68 - Dotations aux amortissements et aux provisions</t>
  </si>
  <si>
    <t>69 - Participation des salariés / impôt sur les bénéfices et assimilés</t>
  </si>
  <si>
    <t>Rôle</t>
  </si>
  <si>
    <t>Diplôme + école</t>
  </si>
  <si>
    <t>bis</t>
  </si>
  <si>
    <t>Date de sortie</t>
  </si>
  <si>
    <t>Calcul jours</t>
  </si>
  <si>
    <t>ETP</t>
  </si>
  <si>
    <t>Forfait Jours</t>
  </si>
  <si>
    <t>Heures Lées</t>
  </si>
  <si>
    <t>Ratio R&amp;D</t>
  </si>
  <si>
    <t>Brut mensuel</t>
  </si>
  <si>
    <t>Brut annuel</t>
  </si>
  <si>
    <t>Brut chargé</t>
  </si>
  <si>
    <t>Coût horaire</t>
  </si>
  <si>
    <t>RECRUTEMENT EN N</t>
  </si>
  <si>
    <t>Base : 1607 heures</t>
  </si>
  <si>
    <t>Forfait jour * 8</t>
  </si>
  <si>
    <t>Numéro de compte</t>
  </si>
  <si>
    <t>Numéro</t>
  </si>
  <si>
    <t>Désignation</t>
  </si>
  <si>
    <t>Date d'acquisition</t>
  </si>
  <si>
    <t>Date de début</t>
  </si>
  <si>
    <t>Type d'amortissement</t>
  </si>
  <si>
    <t>Nombre de mois</t>
  </si>
  <si>
    <t>Taux</t>
  </si>
  <si>
    <t>Amortissements antérieurs</t>
  </si>
  <si>
    <t>Amortissements 2023</t>
  </si>
  <si>
    <t>% R&amp;D 23</t>
  </si>
  <si>
    <t>Amo R&amp;D 23</t>
  </si>
  <si>
    <t>Prorata temporis</t>
  </si>
  <si>
    <t>Amortissements 2024</t>
  </si>
  <si>
    <t>% R&amp;D 24</t>
  </si>
  <si>
    <t>Amo R&amp;D 24</t>
  </si>
  <si>
    <t>Amortissements cumulés</t>
  </si>
  <si>
    <t>VNC</t>
  </si>
  <si>
    <t>Linéaire</t>
  </si>
  <si>
    <t>ACQUISITION DE L'EXERCICE</t>
  </si>
  <si>
    <t>Projet ST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</si>
  <si>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</si>
  <si>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</si>
  <si>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</si>
  <si>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</si>
  <si>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</si>
  <si>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</si>
  <si>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</si>
  <si>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</si>
  <si>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</si>
  <si>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</si>
  <si>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Diplôme</t>
  </si>
  <si>
    <t>Date obtention</t>
  </si>
  <si>
    <t>Date entrée</t>
  </si>
  <si>
    <t>NOM des personnels de R&amp;D</t>
  </si>
  <si>
    <t>Coût horaire brut chargé</t>
  </si>
  <si>
    <t>Nombre d’heures en R&amp;D</t>
  </si>
  <si>
    <t>Fonction</t>
  </si>
  <si>
    <t>Catégorie</t>
  </si>
  <si>
    <t>Concessions et droits similaires, brevets, licences, marques, procédés, logiciels, droits et valeurs similaires</t>
  </si>
  <si>
    <t>Installations techniques et outillages industriels</t>
  </si>
  <si>
    <t>Matériel de bureau et matériel informatique</t>
  </si>
  <si>
    <t>CIR_PERSO</t>
  </si>
  <si>
    <t>éé</t>
  </si>
  <si>
    <t>CIMA</t>
  </si>
  <si>
    <t>CIMA EPV</t>
  </si>
  <si>
    <t>Créer autant de ligne que nécessaire pour intégrer les salariés valorisés en 2024</t>
  </si>
  <si>
    <t>Créer autant de ligne que nécessaire pour intégrer les immobilisations valorisées en 2024</t>
  </si>
  <si>
    <t>Créer autant de ligne que nécessaire pour intégrer les fournisseurs valorisés en 2024</t>
  </si>
  <si>
    <t>est ce une Dépenses valorisées en 2024 ?</t>
  </si>
  <si>
    <t>Montant Percu en 2024</t>
  </si>
  <si>
    <t>Montant déduit en 2024</t>
  </si>
  <si>
    <t>Il y a-t-il eu une subvention en 2024 ?</t>
  </si>
  <si>
    <t>Valorisation du crédit d'impôt en faveur de la recherche - 2025</t>
  </si>
  <si>
    <t>Projet 1</t>
  </si>
  <si>
    <t xml:space="preserve"> Répartition hono 2025</t>
  </si>
  <si>
    <t>Hono 2025</t>
  </si>
  <si>
    <t>²%</t>
  </si>
  <si>
    <t>Formulaire 2025</t>
  </si>
  <si>
    <t>ANNÉE CIVILE 2025</t>
  </si>
  <si>
    <t xml:space="preserve"> ANNÉE CIVILE 2025</t>
  </si>
  <si>
    <t xml:space="preserve">Nombre de jours ouvrés </t>
  </si>
  <si>
    <t>Nombre de jours ouvrés av 15 février</t>
  </si>
  <si>
    <t>Jours</t>
  </si>
  <si>
    <t>Nombre de jours ouvrés ap 15 février</t>
  </si>
  <si>
    <t>Typologie de personnel</t>
  </si>
  <si>
    <t>date d'entrée</t>
  </si>
  <si>
    <t>date de sortie</t>
  </si>
  <si>
    <t>dépenses avant le 15/02</t>
  </si>
  <si>
    <t>dépenses après le 15/02</t>
  </si>
  <si>
    <t>FF avant le 15/02</t>
  </si>
  <si>
    <t>FF après le 15/02</t>
  </si>
  <si>
    <t>jeune docteur</t>
  </si>
  <si>
    <t>JD</t>
  </si>
  <si>
    <t>Perso</t>
  </si>
  <si>
    <t>Vérif</t>
  </si>
  <si>
    <t>CAS 1 pas de découpage d'HRECH Précis</t>
  </si>
  <si>
    <t>CAS 2 découpage d'HRECH Précis</t>
  </si>
  <si>
    <t>HRECH avant le 15/02</t>
  </si>
  <si>
    <t>nombres jours ouvrés avant 15/02</t>
  </si>
  <si>
    <t>nombres jours ouvrés après le 15/02</t>
  </si>
  <si>
    <t>HRECH après le 15/02</t>
  </si>
  <si>
    <t>Forfait représentatif de la participation personnelle des dirigeants d'entreprises individuelles et des
associés de sociétés soumises au régime fiscal des sociétés de personnes</t>
  </si>
  <si>
    <t>Autres dépenses de fonctionnement (hors frais de collection) au prorata des périodes suivantes :
dépenses exposées du 01/01 au 14/02/2025 : (ligne 1 × 75 %) + [(ligne 3a + ligne 3b+ ligne 4) x
43 %] + ligne 5
dépenses exposées du 15/02 au 31/12/2025 : (ligne 1 × 75 %) + [(ligne 3a + ligne 3b + ligne 4) x
40 %4
]</t>
  </si>
  <si>
    <r>
      <rPr>
        <b/>
        <sz val="11"/>
        <color theme="1"/>
        <rFont val="Aptos Narrow"/>
        <family val="2"/>
        <scheme val="minor"/>
      </rPr>
      <t xml:space="preserve">Montant total des dépenses de fonctionnement
</t>
    </r>
    <r>
      <rPr>
        <sz val="11"/>
        <color theme="1"/>
        <rFont val="Aptos Narrow"/>
        <family val="2"/>
        <scheme val="minor"/>
      </rPr>
      <t>(ligne 1 + ligne 2 + ligne 3a + ligne 4 + ligne 5 + ligne 6)</t>
    </r>
  </si>
  <si>
    <t>Ligne 3a</t>
  </si>
  <si>
    <t>Ligne 3b</t>
  </si>
  <si>
    <t xml:space="preserve">Frais de prise et maintenance de brevets et de certificats d’obtention végétale (COV) exposées
jusqu’au 14/02/20255 </t>
  </si>
  <si>
    <t xml:space="preserve">Dépenses de défense de brevets et de certificats d’obtention végétale (COV) exposées jusqu’au
14/02/20255 </t>
  </si>
  <si>
    <t>Dotations aux amortissements de brevets acquis en vue de la recherche et du développement
expérimental et de certificats d’obtention végétale (COV) des frais et dépenses exposées jusqu’au
14/02/20255</t>
  </si>
  <si>
    <t>Primes et cotisations ou part des primes et cotisations afférentes à des contrats d’assurance de
protection juridique prévoyant la prise en charge des dépenses exposées jusqu’au 14/02/20255 dans le
cadre de litiges portant sur un brevet ou un certificat d’obtention végétale (COV) dont l’entreprise est
titulaire dans la limite de 60 000 €</t>
  </si>
  <si>
    <t xml:space="preserve">Dépenses de veille technologique, exposées jusqu’au 14/02/2025, dans la limite de 60 000 €
5 </t>
  </si>
  <si>
    <t>Montant du crédit d’impôt au titre des dépenses d’innovation
[(ligne 76a - ligne 76b - ligne 76c – ligne 76d) x 20 %17]
+ (ligne 76b x 60 %) + (ligne 76c x 40 %) + (ligne 76d x 35 %)18</t>
  </si>
  <si>
    <t>CIR_AMO</t>
  </si>
  <si>
    <t>CIR_BREV</t>
  </si>
  <si>
    <t>Leo</t>
  </si>
  <si>
    <t>Axel / Aglaé</t>
  </si>
  <si>
    <t>Eden</t>
  </si>
  <si>
    <t>Somme de Valeur</t>
  </si>
  <si>
    <t>Typologie</t>
  </si>
  <si>
    <t>Prenom</t>
  </si>
  <si>
    <t>Acc à la remu</t>
  </si>
  <si>
    <t>Total CSPO</t>
  </si>
  <si>
    <t>HTRAV</t>
  </si>
  <si>
    <t>CIEREN</t>
  </si>
  <si>
    <t>Marion</t>
  </si>
  <si>
    <t>DELFOSSE</t>
  </si>
  <si>
    <t>Mylene</t>
  </si>
  <si>
    <t>JONDOT</t>
  </si>
  <si>
    <t>Keita</t>
  </si>
  <si>
    <t>POHER</t>
  </si>
  <si>
    <t>Vincent</t>
  </si>
  <si>
    <t>SPIACZKA</t>
  </si>
  <si>
    <t>Johanna</t>
  </si>
  <si>
    <t>ROBLIN</t>
  </si>
  <si>
    <t>Tom</t>
  </si>
  <si>
    <t>PERROT</t>
  </si>
  <si>
    <t>Salomé</t>
  </si>
  <si>
    <t>GRACIETTE</t>
  </si>
  <si>
    <t>Adrien</t>
  </si>
  <si>
    <t>JACQUOT</t>
  </si>
  <si>
    <t>Damien</t>
  </si>
  <si>
    <t>Chef de Projet R&amp;D</t>
  </si>
  <si>
    <t>Ingénieur R&amp;D</t>
  </si>
  <si>
    <t>Biocellis 1</t>
  </si>
  <si>
    <t>Biocellis 2</t>
  </si>
  <si>
    <t>Synthélis 1</t>
  </si>
  <si>
    <t>Synthélis 2</t>
  </si>
  <si>
    <t>Synthélis 3</t>
  </si>
  <si>
    <t>SOCIETE</t>
  </si>
  <si>
    <t>BIO_ILAB</t>
  </si>
  <si>
    <t>BIO_RD_PROTEINS</t>
  </si>
  <si>
    <t xml:space="preserve">S25_MITO_PLs W/ AND W/O SLC25A1 PROTEIN FOR BLI </t>
  </si>
  <si>
    <t>SC24_BIO-X_NS3 2*100µg</t>
  </si>
  <si>
    <t>SC24_CIMI PARIS_P36 ET P52 TANDEM</t>
  </si>
  <si>
    <t>SC24_PURATOS_BACILLUS BIBLIO STUDY</t>
  </si>
  <si>
    <t>SC24_SANOFI_iDea-iTech</t>
  </si>
  <si>
    <t>SC25_AMYL THERA_EXPRESS FUSION PROTEIN</t>
  </si>
  <si>
    <t>SC25_BROAD INSTITUTE_cellfree kit</t>
  </si>
  <si>
    <t>SC25_DUKE_FEASA SLC25a35 SLC25a34 IN PLs</t>
  </si>
  <si>
    <t>SC25_MITOCARE_REPEAT SLC25A1 PROD IN PLs BLI ANALY</t>
  </si>
  <si>
    <t xml:space="preserve">SC25_ORION_CO-EXPRESS SHOC2 &amp; SUGT </t>
  </si>
  <si>
    <t>SC25_SANOFI_FAISA EXP 2 PROT SYSTEME CFPS</t>
  </si>
  <si>
    <t>SC25_UNIV TOURS_FAISA PLASMODIUM CFPS</t>
  </si>
  <si>
    <t>SC25_ZOETIS_2mg scale prod of Can IL33-SSS mutant</t>
  </si>
  <si>
    <t>SC25_ZOETIS_FEASA FELINE IL33</t>
  </si>
  <si>
    <t xml:space="preserve">SC250030_INSINGULO_PROD HUMAN GLP1-R PLs </t>
  </si>
  <si>
    <t>SRD25_BIOLUMINESCENCE</t>
  </si>
  <si>
    <t>SRD25_CELL-FREE</t>
  </si>
  <si>
    <t>SRD25_KITS</t>
  </si>
  <si>
    <t>SRD25_LIPOSOMES</t>
  </si>
  <si>
    <t>SRD25_PONTS DISULFURES</t>
  </si>
  <si>
    <t>SYNTHELIS</t>
  </si>
  <si>
    <t>Biocellis</t>
  </si>
  <si>
    <t>Opération 1: Bioluminescence</t>
  </si>
  <si>
    <t>Opération 2: Nouveaux outils</t>
  </si>
  <si>
    <t xml:space="preserve">Directrice Technique </t>
  </si>
  <si>
    <t>Technicienne de laboratoire</t>
  </si>
  <si>
    <t>PDG</t>
  </si>
  <si>
    <t>Format</t>
  </si>
  <si>
    <t>8h</t>
  </si>
  <si>
    <t>35h</t>
  </si>
  <si>
    <t>BACCHETTA</t>
  </si>
  <si>
    <t>Alain</t>
  </si>
  <si>
    <t>7h</t>
  </si>
  <si>
    <t>DELPHIN</t>
  </si>
  <si>
    <t>Aurélie</t>
  </si>
  <si>
    <t>TILLIER</t>
  </si>
  <si>
    <t>Bruno</t>
  </si>
  <si>
    <t>stagiaire</t>
  </si>
  <si>
    <t>GOUEZ</t>
  </si>
  <si>
    <t>Théo</t>
  </si>
  <si>
    <t>ABDELAZIZ</t>
  </si>
  <si>
    <t>Youssef</t>
  </si>
  <si>
    <t xml:space="preserve">Biocellis </t>
  </si>
  <si>
    <t>check</t>
  </si>
  <si>
    <t>Institut Pasteur</t>
  </si>
  <si>
    <t>Contrat R&amp;D Diagnostic</t>
  </si>
  <si>
    <t>28, Rue du Docteur Roux
75724 PARIS CEDEX 15
France</t>
  </si>
  <si>
    <t>bouse french tech</t>
  </si>
  <si>
    <t>reçu</t>
  </si>
  <si>
    <t>déduit</t>
  </si>
  <si>
    <t>reste</t>
  </si>
  <si>
    <t>ILAB</t>
  </si>
  <si>
    <t>Dépenses sur le projet</t>
  </si>
  <si>
    <t xml:space="preserve">Bourse French Tech </t>
  </si>
  <si>
    <t>Bourse ILAB</t>
  </si>
  <si>
    <t>Total Subvention</t>
  </si>
  <si>
    <t>Dépenses sur le projet / Montant de la subvention utilisée</t>
  </si>
  <si>
    <t>Subvention restante 2026 / Reliquat</t>
  </si>
  <si>
    <t>Doctorant</t>
  </si>
  <si>
    <t>GIANDOREGGIO</t>
  </si>
  <si>
    <t>Karine</t>
  </si>
  <si>
    <t>PLUCHART</t>
  </si>
  <si>
    <t>Aurianne</t>
  </si>
  <si>
    <t>BIO1</t>
  </si>
  <si>
    <t>BIO2</t>
  </si>
  <si>
    <t>CIR1</t>
  </si>
  <si>
    <t>CIR2</t>
  </si>
  <si>
    <t>CIR3</t>
  </si>
  <si>
    <t>SC25_ORION_mRAS PROTEIN CELL-FREE SYSTEM</t>
  </si>
  <si>
    <t xml:space="preserve">SC25_MITOCARE_SAMPLE PROD PLs w/ w/o SLC25A1 PROT </t>
  </si>
  <si>
    <t xml:space="preserve">SC250031_INSINGULO_PROD HUMAN CXCR4 PLs </t>
  </si>
  <si>
    <t>SC25_SOPHION_SAMPLE HUMAN Kv1.3 CHANNEL</t>
  </si>
  <si>
    <t>SC25_MOSAICA_WESTERN BLOT ANA OF BRAIN TISSUES SAM</t>
  </si>
  <si>
    <t>SC25_A5SCIENCE_SMALL SCALE CXCR4 IN PL FORMAT</t>
  </si>
  <si>
    <t>SC25_CEA IRIG_FAISA 2 PROT DS SYST CFPS PR HTRF</t>
  </si>
  <si>
    <t>SC25_MOSAICA_WEST BLOT ANA OF BRAIN TISSUE SAMPLES</t>
  </si>
  <si>
    <t>SC25_SANOFI-PAST_OPTI PROT A DANS CFPS SYNTHELIS</t>
  </si>
  <si>
    <t>SC25_HOUDELETTE_20-24 PEPTIDES SEQ CELLFREE EXPRES</t>
  </si>
  <si>
    <t>SC25_PURATOS_25 PROTEIN CANDIDATES IN E.COLI</t>
  </si>
  <si>
    <t>SRD24_PONTS DISULFURES</t>
  </si>
  <si>
    <t>SRD24_KITS</t>
  </si>
  <si>
    <t>SYNTHELIS_BACCHETTA Alain</t>
  </si>
  <si>
    <t>SYNTHELIS_PLUCHART Aurianne</t>
  </si>
  <si>
    <t xml:space="preserve">  forfait jour</t>
  </si>
  <si>
    <t>SYNTHELIS_DELPHIN Aurélie</t>
  </si>
  <si>
    <t>SYNTHELIS_GRANSAGNE Marion</t>
  </si>
  <si>
    <t xml:space="preserve"> forfait jour</t>
  </si>
  <si>
    <t>SYNTHELIS_JONDOT Keita</t>
  </si>
  <si>
    <t>SYNTHELIS_TILLIER Bruno</t>
  </si>
  <si>
    <t>Forfait jour</t>
  </si>
  <si>
    <t>BIOCELLIS_GRANSAGNE Marion</t>
  </si>
  <si>
    <t>BIOCELLIS_JONDOT Keita</t>
  </si>
  <si>
    <t>BIOCELLIS_SPIACZKA  Johanna</t>
  </si>
  <si>
    <t>total</t>
  </si>
  <si>
    <t>Elligible CIR dont projet avec 0h</t>
  </si>
  <si>
    <t>Projets non envoyés à Businove</t>
  </si>
  <si>
    <t>Non envoyés à Businove</t>
  </si>
  <si>
    <t>Absences</t>
  </si>
  <si>
    <t>Heures affecté à aucun projet</t>
  </si>
  <si>
    <t>Admin / Prod / Formation</t>
  </si>
  <si>
    <t>23 projets evoyés à Businove dont 1 non eligible au CIR après étude</t>
  </si>
  <si>
    <t>35 projets eligibles après nouvelle extraction</t>
  </si>
  <si>
    <t xml:space="preserve">SRD25_CELL-FREE </t>
  </si>
  <si>
    <t>SRD25_LYSAT_Non eligible</t>
  </si>
  <si>
    <t>BATIMENT BIOPOLIS, 5 AVENUE DU GRAND SABLON, 38700 LA TRONCHE</t>
  </si>
  <si>
    <t>BIOCELLIS</t>
  </si>
  <si>
    <t>7211Z</t>
  </si>
  <si>
    <t>B1</t>
  </si>
  <si>
    <t>16a</t>
  </si>
  <si>
    <t>Imperial College London + Doctor of Philosophy</t>
  </si>
  <si>
    <t>INSA Lyon + Diplôme d'Ingénieur</t>
  </si>
  <si>
    <t>Conservatoir National des Arts et Métiers + License Sciences Technologies et Santé</t>
  </si>
  <si>
    <t>Université Grenoble 1 + Doctorat</t>
  </si>
  <si>
    <t>UPMC Sorbonne + Doctorat</t>
  </si>
  <si>
    <t>Université Grenoble Alpes + Master of Sciences et Management des Biotechnologies</t>
  </si>
  <si>
    <t>BIOCELLIS_PERROT Salomé</t>
  </si>
  <si>
    <t>BIOCELLIS_GRACIETTE Adrien</t>
  </si>
  <si>
    <t>BIOCELLIS_ROBLIN Tom</t>
  </si>
  <si>
    <t>IMT Atlantique, Diplôme d'ingénieur</t>
  </si>
  <si>
    <t>Ingénieur R&amp;D Electronique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</si>
</sst>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_-;\-* #,##0_-;_-* &quot;-&quot;??_-;_-@_-"/>
    <numFmt numFmtId="165" formatCode="#,##0\ &quot;€&quot;"/>
    <numFmt numFmtId="166" formatCode="0.0%"/>
    <numFmt numFmtId="167" formatCode="_-* #,##0.00\ _€_-;\-* #,##0.00\ _€_-;_-* &quot;-&quot;??\ _€_-;_-@_-"/>
    <numFmt numFmtId="168" formatCode="0_ ;\-0\ "/>
    <numFmt numFmtId="169" formatCode="_-* #,##0\ _€_-;\-* #,##0\ _€_-;_-* &quot;-&quot;??\ _€_-;_-@_-"/>
    <numFmt numFmtId="170" formatCode="[$-40C]d\-mmm;@"/>
    <numFmt numFmtId="171" formatCode="_-* #,##0.0\ _€_-;\-* #,##0.0\ _€_-;_-* &quot;-&quot;??\ _€_-;_-@_-"/>
    <numFmt numFmtId="172" formatCode="0.000000000"/>
    <numFmt numFmtId="173" formatCode="_-* #,##0\ &quot;€&quot;_-;\-* #,##0\ &quot;€&quot;_-;_-* &quot;-&quot;??\ &quot;€&quot;_-;_-@_-"/>
    <numFmt numFmtId="174" formatCode="#,##0.00\ \€"/>
    <numFmt numFmtId="175" formatCode="#,##0\ \€"/>
    <numFmt numFmtId="176" formatCode="_-* #,##0.000000_-;\-* #,##0.000000_-;_-* &quot;-&quot;??_-;_-@_-"/>
  </numFmts>
  <fonts count="71" x14ac:knownFonts="1">
    <font>
      <sz val="11"/>
      <color theme="1"/>
      <name val="Aptos Narrow"/>
      <family val="2"/>
      <scheme val="minor"/>
    </font>
    <font>
      <b/>
      <sz val="12"/>
      <color theme="0"/>
      <name val="Open sans"/>
      <family val="2"/>
    </font>
    <font>
      <sz val="11"/>
      <color theme="1"/>
      <name val="Open sans"/>
      <family val="2"/>
    </font>
    <font>
      <sz val="11"/>
      <color theme="1"/>
      <name val="Aptos Narrow"/>
      <family val="2"/>
      <scheme val="minor"/>
    </font>
    <font>
      <sz val="10"/>
      <color theme="1"/>
      <name val="Open sans"/>
      <family val="2"/>
    </font>
    <font>
      <b/>
      <sz val="10"/>
      <color theme="0"/>
      <name val="Open sans"/>
      <family val="2"/>
    </font>
    <font>
      <b/>
      <sz val="16"/>
      <color theme="0"/>
      <name val="Open sans"/>
      <family val="2"/>
    </font>
    <font>
      <sz val="11"/>
      <color theme="0"/>
      <name val="Open sans"/>
      <family val="2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9"/>
      <color rgb="FFFF0000"/>
      <name val="Aptos Narrow"/>
      <family val="2"/>
      <scheme val="minor"/>
    </font>
    <font>
      <sz val="10"/>
      <color theme="1"/>
      <name val="Arial"/>
      <family val="2"/>
    </font>
    <font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  <font>
      <sz val="10"/>
      <name val="Arial"/>
      <family val="2"/>
    </font>
    <font>
      <b/>
      <sz val="10"/>
      <color theme="3" tint="-0.249977111117893"/>
      <name val="Arial"/>
      <family val="2"/>
    </font>
    <font>
      <sz val="10"/>
      <color theme="3" tint="-0.249977111117893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b/>
      <sz val="9"/>
      <color indexed="81"/>
      <name val="Tahoma"/>
      <family val="2"/>
    </font>
    <font>
      <b/>
      <sz val="11"/>
      <color rgb="FFFF000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0"/>
      <color rgb="FF023C08"/>
      <name val="Arial"/>
      <family val="2"/>
    </font>
    <font>
      <b/>
      <sz val="16"/>
      <color rgb="FFFF0000"/>
      <name val="Aptos Narrow"/>
      <family val="2"/>
      <scheme val="minor"/>
    </font>
    <font>
      <b/>
      <sz val="28"/>
      <color rgb="FFFF0000"/>
      <name val="Aptos Narrow"/>
      <family val="2"/>
      <scheme val="minor"/>
    </font>
    <font>
      <b/>
      <sz val="10"/>
      <color theme="2"/>
      <name val="Open sans"/>
      <family val="2"/>
    </font>
    <font>
      <b/>
      <sz val="11"/>
      <color theme="0"/>
      <name val="Open sans"/>
      <family val="2"/>
    </font>
    <font>
      <b/>
      <sz val="14"/>
      <color theme="0"/>
      <name val="Aptos Narrow"/>
      <family val="2"/>
      <scheme val="minor"/>
    </font>
    <font>
      <sz val="12"/>
      <color theme="1"/>
      <name val="Open sans"/>
      <family val="2"/>
    </font>
    <font>
      <b/>
      <sz val="12"/>
      <color theme="0"/>
      <name val="Aptos Narrow"/>
      <family val="2"/>
      <scheme val="minor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color theme="0" tint="-4.9989318521683403E-2"/>
      <name val="Arial"/>
      <family val="2"/>
    </font>
    <font>
      <sz val="10"/>
      <color theme="0"/>
      <name val="Arial"/>
      <family val="2"/>
    </font>
    <font>
      <sz val="12"/>
      <name val="Open sans"/>
      <family val="2"/>
    </font>
    <font>
      <b/>
      <sz val="10"/>
      <color rgb="FFFFFFFF"/>
      <name val="Open Sans"/>
      <family val="2"/>
    </font>
    <font>
      <sz val="11"/>
      <color rgb="FFFF0000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u/>
      <sz val="14"/>
      <color rgb="FF1328BD"/>
      <name val="Open Sans"/>
      <family val="2"/>
    </font>
    <font>
      <sz val="12"/>
      <color theme="1"/>
      <name val="Aptos Narrow"/>
      <family val="2"/>
      <scheme val="minor"/>
    </font>
    <font>
      <b/>
      <sz val="11"/>
      <color theme="1"/>
      <name val="Open Sans"/>
      <family val="2"/>
    </font>
    <font>
      <sz val="11"/>
      <color rgb="FFC00000"/>
      <name val="Open Sans"/>
      <family val="2"/>
    </font>
    <font>
      <sz val="9"/>
      <color theme="1"/>
      <name val="Aptos Display"/>
      <family val="2"/>
      <scheme val="major"/>
    </font>
    <font>
      <b/>
      <sz val="9"/>
      <color theme="0"/>
      <name val="Aptos Display"/>
      <family val="2"/>
      <scheme val="major"/>
    </font>
    <font>
      <b/>
      <sz val="9"/>
      <color rgb="FF000000"/>
      <name val="Aptos Display"/>
      <family val="2"/>
      <scheme val="major"/>
    </font>
    <font>
      <b/>
      <sz val="11"/>
      <color theme="0"/>
      <name val="Aptos Display"/>
      <family val="2"/>
      <scheme val="major"/>
    </font>
    <font>
      <b/>
      <sz val="9"/>
      <color theme="1"/>
      <name val="Open Sans"/>
      <family val="2"/>
    </font>
    <font>
      <sz val="9"/>
      <color theme="1"/>
      <name val="Open Sans"/>
      <family val="2"/>
    </font>
    <font>
      <sz val="9"/>
      <color theme="1"/>
      <name val="Calibri"/>
      <family val="2"/>
    </font>
    <font>
      <sz val="7"/>
      <color theme="1"/>
      <name val="Times New Roman"/>
      <family val="1"/>
    </font>
    <font>
      <i/>
      <sz val="9"/>
      <color theme="1"/>
      <name val="Calibri"/>
      <family val="2"/>
    </font>
    <font>
      <i/>
      <sz val="9"/>
      <color theme="1"/>
      <name val="Open Sans"/>
      <family val="2"/>
    </font>
    <font>
      <b/>
      <sz val="9"/>
      <color theme="0"/>
      <name val="Open Sans"/>
      <family val="2"/>
    </font>
    <font>
      <b/>
      <sz val="11"/>
      <color rgb="FFFF0000"/>
      <name val="Aptos Narrow"/>
      <family val="2"/>
    </font>
    <font>
      <sz val="11"/>
      <color rgb="FF000000"/>
      <name val="Aptos Narrow"/>
      <family val="2"/>
    </font>
    <font>
      <sz val="11"/>
      <color rgb="FFFF0000"/>
      <name val="Aptos Narrow"/>
      <family val="2"/>
    </font>
    <font>
      <sz val="11"/>
      <name val="Open Sans"/>
      <family val="2"/>
    </font>
    <font>
      <b/>
      <sz val="9"/>
      <color theme="1"/>
      <name val="Aptos Display"/>
      <family val="2"/>
      <scheme val="major"/>
    </font>
    <font>
      <sz val="11"/>
      <color theme="1"/>
      <name val="Aptos Display"/>
      <family val="2"/>
      <scheme val="major"/>
    </font>
    <font>
      <b/>
      <u/>
      <sz val="14"/>
      <color theme="0"/>
      <name val="Open Sans"/>
      <family val="2"/>
    </font>
    <font>
      <b/>
      <u/>
      <sz val="12"/>
      <color theme="0"/>
      <name val="Open Sans"/>
      <family val="2"/>
    </font>
    <font>
      <b/>
      <sz val="14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4"/>
      <name val="Aptos Narrow"/>
      <family val="2"/>
      <scheme val="minor"/>
    </font>
    <font>
      <b/>
      <sz val="10"/>
      <color rgb="FF000000"/>
      <name val="Aptos Narrow"/>
      <family val="2"/>
    </font>
    <font>
      <b/>
      <sz val="8"/>
      <color rgb="FF000000"/>
      <name val="Aptos Narrow"/>
      <family val="2"/>
    </font>
    <font>
      <sz val="11"/>
      <color theme="1"/>
      <name val="Aptos Narrow"/>
      <family val="2"/>
    </font>
    <font>
      <sz val="11"/>
      <color rgb="FF156082"/>
      <name val="Aptos Narrow"/>
      <family val="2"/>
    </font>
    <font>
      <sz val="11"/>
      <name val="Aptos Narrow"/>
      <family val="2"/>
    </font>
    <font>
      <b/>
      <sz val="10"/>
      <color theme="0"/>
      <name val="Open Sans"/>
      <family val="2"/>
    </font>
  </fonts>
  <fills count="40">
    <fill>
      <patternFill patternType="none"/>
    </fill>
    <fill>
      <patternFill patternType="gray125"/>
    </fill>
    <fill>
      <patternFill patternType="solid">
        <fgColor rgb="FF2D44EA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53DA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theme="3" tint="0.74999237037263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BE2D5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2CEEF"/>
        <bgColor rgb="FF000000"/>
      </patternFill>
    </fill>
    <fill>
      <patternFill patternType="solid">
        <fgColor rgb="FFE49EDD"/>
        <bgColor rgb="FF000000"/>
      </patternFill>
    </fill>
    <fill>
      <patternFill patternType="solid">
        <fgColor rgb="FFDAF2D0"/>
        <bgColor rgb="FF000000"/>
      </patternFill>
    </fill>
    <fill>
      <patternFill patternType="solid">
        <fgColor theme="5"/>
        <bgColor indexed="64"/>
      </patternFill>
    </fill>
  </fills>
  <borders count="10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2" tint="-0.24994659260841701"/>
      </left>
      <right style="medium">
        <color theme="2" tint="-0.24994659260841701"/>
      </right>
      <top style="medium">
        <color theme="2" tint="-0.24994659260841701"/>
      </top>
      <bottom/>
      <diagonal/>
    </border>
    <border>
      <left style="medium">
        <color theme="2" tint="-0.24994659260841701"/>
      </left>
      <right style="hair">
        <color theme="2" tint="-0.24994659260841701"/>
      </right>
      <top style="hair">
        <color theme="2" tint="-0.24994659260841701"/>
      </top>
      <bottom style="hair">
        <color theme="2" tint="-0.24994659260841701"/>
      </bottom>
      <diagonal/>
    </border>
    <border>
      <left style="hair">
        <color theme="2" tint="-0.24994659260841701"/>
      </left>
      <right style="hair">
        <color theme="2" tint="-0.24994659260841701"/>
      </right>
      <top style="hair">
        <color theme="2" tint="-0.24994659260841701"/>
      </top>
      <bottom style="hair">
        <color theme="2" tint="-0.24994659260841701"/>
      </bottom>
      <diagonal/>
    </border>
    <border>
      <left style="hair">
        <color theme="2" tint="-0.24994659260841701"/>
      </left>
      <right style="medium">
        <color theme="2" tint="-0.24994659260841701"/>
      </right>
      <top style="hair">
        <color theme="2" tint="-0.24994659260841701"/>
      </top>
      <bottom style="hair">
        <color theme="2" tint="-0.24994659260841701"/>
      </bottom>
      <diagonal/>
    </border>
    <border>
      <left style="medium">
        <color theme="2" tint="-0.24994659260841701"/>
      </left>
      <right style="hair">
        <color theme="2" tint="-0.24994659260841701"/>
      </right>
      <top style="medium">
        <color theme="2" tint="-0.24994659260841701"/>
      </top>
      <bottom style="hair">
        <color theme="2" tint="-0.24994659260841701"/>
      </bottom>
      <diagonal/>
    </border>
    <border>
      <left style="hair">
        <color theme="2" tint="-0.24994659260841701"/>
      </left>
      <right style="hair">
        <color theme="2" tint="-0.24994659260841701"/>
      </right>
      <top style="medium">
        <color theme="2" tint="-0.24994659260841701"/>
      </top>
      <bottom style="hair">
        <color theme="2" tint="-0.24994659260841701"/>
      </bottom>
      <diagonal/>
    </border>
    <border>
      <left style="hair">
        <color theme="2" tint="-0.24994659260841701"/>
      </left>
      <right style="medium">
        <color theme="2" tint="-0.24994659260841701"/>
      </right>
      <top style="medium">
        <color theme="2" tint="-0.24994659260841701"/>
      </top>
      <bottom style="hair">
        <color theme="2" tint="-0.24994659260841701"/>
      </bottom>
      <diagonal/>
    </border>
    <border>
      <left style="medium">
        <color theme="2" tint="-0.24994659260841701"/>
      </left>
      <right style="hair">
        <color theme="2" tint="-0.24994659260841701"/>
      </right>
      <top style="hair">
        <color theme="2" tint="-0.24994659260841701"/>
      </top>
      <bottom style="medium">
        <color theme="2" tint="-0.24994659260841701"/>
      </bottom>
      <diagonal/>
    </border>
    <border>
      <left style="hair">
        <color theme="2" tint="-0.24994659260841701"/>
      </left>
      <right style="hair">
        <color theme="2" tint="-0.24994659260841701"/>
      </right>
      <top style="hair">
        <color theme="2" tint="-0.24994659260841701"/>
      </top>
      <bottom style="medium">
        <color theme="2" tint="-0.24994659260841701"/>
      </bottom>
      <diagonal/>
    </border>
    <border>
      <left style="medium">
        <color theme="2" tint="-0.24994659260841701"/>
      </left>
      <right style="dotted">
        <color theme="2" tint="-0.24994659260841701"/>
      </right>
      <top style="hair">
        <color theme="2" tint="-0.24994659260841701"/>
      </top>
      <bottom style="dotted">
        <color theme="2" tint="-0.24994659260841701"/>
      </bottom>
      <diagonal/>
    </border>
    <border>
      <left style="dotted">
        <color theme="2" tint="-0.24994659260841701"/>
      </left>
      <right style="dotted">
        <color theme="2" tint="-0.24994659260841701"/>
      </right>
      <top/>
      <bottom style="dotted">
        <color theme="2" tint="-0.24994659260841701"/>
      </bottom>
      <diagonal/>
    </border>
    <border>
      <left style="dotted">
        <color theme="2" tint="-0.24994659260841701"/>
      </left>
      <right/>
      <top/>
      <bottom style="dotted">
        <color theme="2" tint="-0.24994659260841701"/>
      </bottom>
      <diagonal/>
    </border>
    <border>
      <left style="medium">
        <color theme="2" tint="-0.24994659260841701"/>
      </left>
      <right style="dotted">
        <color theme="2" tint="-0.24994659260841701"/>
      </right>
      <top style="dotted">
        <color theme="2" tint="-0.24994659260841701"/>
      </top>
      <bottom style="dotted">
        <color theme="2" tint="-0.24994659260841701"/>
      </bottom>
      <diagonal/>
    </border>
    <border>
      <left style="dotted">
        <color theme="2" tint="-0.24994659260841701"/>
      </left>
      <right style="dotted">
        <color theme="2" tint="-0.24994659260841701"/>
      </right>
      <top style="dotted">
        <color theme="2" tint="-0.24994659260841701"/>
      </top>
      <bottom style="dotted">
        <color theme="2" tint="-0.24994659260841701"/>
      </bottom>
      <diagonal/>
    </border>
    <border>
      <left style="medium">
        <color theme="2" tint="-0.24994659260841701"/>
      </left>
      <right style="dotted">
        <color theme="2" tint="-0.24994659260841701"/>
      </right>
      <top style="dotted">
        <color theme="2" tint="-0.24994659260841701"/>
      </top>
      <bottom style="hair">
        <color theme="2" tint="-0.24994659260841701"/>
      </bottom>
      <diagonal/>
    </border>
    <border>
      <left style="dotted">
        <color theme="2" tint="-0.24994659260841701"/>
      </left>
      <right style="dotted">
        <color theme="2" tint="-0.24994659260841701"/>
      </right>
      <top style="dotted">
        <color theme="2" tint="-0.24994659260841701"/>
      </top>
      <bottom style="hair">
        <color theme="2" tint="-0.24994659260841701"/>
      </bottom>
      <diagonal/>
    </border>
    <border>
      <left style="medium">
        <color theme="2" tint="-0.24994659260841701"/>
      </left>
      <right style="dotted">
        <color theme="2" tint="-0.24994659260841701"/>
      </right>
      <top style="medium">
        <color theme="2" tint="-0.24994659260841701"/>
      </top>
      <bottom style="hair">
        <color theme="2" tint="-0.24994659260841701"/>
      </bottom>
      <diagonal/>
    </border>
    <border>
      <left style="hair">
        <color theme="2" tint="-0.24994659260841701"/>
      </left>
      <right style="hair">
        <color theme="2" tint="-0.24994659260841701"/>
      </right>
      <top/>
      <bottom style="hair">
        <color theme="2" tint="-0.24994659260841701"/>
      </bottom>
      <diagonal/>
    </border>
    <border>
      <left style="hair">
        <color theme="2" tint="-0.24994659260841701"/>
      </left>
      <right/>
      <top/>
      <bottom style="hair">
        <color theme="2" tint="-0.24994659260841701"/>
      </bottom>
      <diagonal/>
    </border>
    <border>
      <left style="medium">
        <color theme="2" tint="-0.24994659260841701"/>
      </left>
      <right/>
      <top/>
      <bottom/>
      <diagonal/>
    </border>
    <border>
      <left style="medium">
        <color theme="2" tint="-0.24994659260841701"/>
      </left>
      <right style="medium">
        <color theme="2" tint="-0.24994659260841701"/>
      </right>
      <top/>
      <bottom/>
      <diagonal/>
    </border>
    <border>
      <left/>
      <right style="dashed">
        <color theme="2" tint="-0.24994659260841701"/>
      </right>
      <top/>
      <bottom/>
      <diagonal/>
    </border>
    <border>
      <left/>
      <right style="dashed">
        <color theme="2" tint="-0.24994659260841701"/>
      </right>
      <top style="medium">
        <color theme="2" tint="-0.24994659260841701"/>
      </top>
      <bottom style="hair">
        <color theme="2" tint="-0.24994659260841701"/>
      </bottom>
      <diagonal/>
    </border>
    <border>
      <left/>
      <right style="medium">
        <color theme="2" tint="-0.24994659260841701"/>
      </right>
      <top/>
      <bottom/>
      <diagonal/>
    </border>
    <border>
      <left/>
      <right/>
      <top style="hair">
        <color theme="2" tint="-0.24994659260841701"/>
      </top>
      <bottom style="medium">
        <color theme="2" tint="-0.24994659260841701"/>
      </bottom>
      <diagonal/>
    </border>
    <border>
      <left/>
      <right style="hair">
        <color theme="2" tint="-0.24994659260841701"/>
      </right>
      <top style="hair">
        <color theme="2" tint="-0.24994659260841701"/>
      </top>
      <bottom style="medium">
        <color theme="2" tint="-0.24994659260841701"/>
      </bottom>
      <diagonal/>
    </border>
    <border>
      <left/>
      <right/>
      <top style="medium">
        <color theme="2" tint="-0.24994659260841701"/>
      </top>
      <bottom style="hair">
        <color theme="2" tint="-0.24994659260841701"/>
      </bottom>
      <diagonal/>
    </border>
    <border>
      <left style="medium">
        <color theme="2" tint="-0.24994659260841701"/>
      </left>
      <right style="medium">
        <color theme="2" tint="-0.24994659260841701"/>
      </right>
      <top style="medium">
        <color theme="2" tint="-0.24994659260841701"/>
      </top>
      <bottom style="medium">
        <color theme="2" tint="-0.24994659260841701"/>
      </bottom>
      <diagonal/>
    </border>
    <border>
      <left style="medium">
        <color theme="2" tint="-0.24994659260841701"/>
      </left>
      <right/>
      <top style="medium">
        <color theme="2" tint="-0.24994659260841701"/>
      </top>
      <bottom style="medium">
        <color theme="2" tint="-0.24994659260841701"/>
      </bottom>
      <diagonal/>
    </border>
    <border>
      <left/>
      <right/>
      <top style="medium">
        <color theme="2" tint="-0.24994659260841701"/>
      </top>
      <bottom style="medium">
        <color theme="2" tint="-0.24994659260841701"/>
      </bottom>
      <diagonal/>
    </border>
    <border>
      <left/>
      <right style="medium">
        <color theme="2" tint="-0.24994659260841701"/>
      </right>
      <top style="medium">
        <color theme="2" tint="-0.24994659260841701"/>
      </top>
      <bottom style="medium">
        <color theme="2" tint="-0.24994659260841701"/>
      </bottom>
      <diagonal/>
    </border>
    <border>
      <left style="medium">
        <color theme="2" tint="-0.24994659260841701"/>
      </left>
      <right/>
      <top style="hair">
        <color theme="2" tint="-0.24994659260841701"/>
      </top>
      <bottom style="medium">
        <color theme="2" tint="-0.24994659260841701"/>
      </bottom>
      <diagonal/>
    </border>
    <border>
      <left style="medium">
        <color theme="2" tint="-0.24994659260841701"/>
      </left>
      <right style="hair">
        <color theme="2" tint="-0.24994659260841701"/>
      </right>
      <top style="medium">
        <color theme="2" tint="-0.24994659260841701"/>
      </top>
      <bottom style="medium">
        <color theme="2" tint="-0.24994659260841701"/>
      </bottom>
      <diagonal/>
    </border>
    <border>
      <left style="medium">
        <color theme="2" tint="-0.24994659260841701"/>
      </left>
      <right style="hair">
        <color theme="2" tint="-0.24994659260841701"/>
      </right>
      <top/>
      <bottom style="hair">
        <color theme="2" tint="-0.24994659260841701"/>
      </bottom>
      <diagonal/>
    </border>
    <border>
      <left/>
      <right style="medium">
        <color theme="2" tint="-0.24994659260841701"/>
      </right>
      <top style="hair">
        <color theme="2" tint="-0.24994659260841701"/>
      </top>
      <bottom style="medium">
        <color theme="2" tint="-0.24994659260841701"/>
      </bottom>
      <diagonal/>
    </border>
    <border>
      <left style="hair">
        <color theme="2" tint="-0.24994659260841701"/>
      </left>
      <right style="medium">
        <color theme="2" tint="-0.24994659260841701"/>
      </right>
      <top/>
      <bottom style="hair">
        <color theme="2" tint="-0.24994659260841701"/>
      </bottom>
      <diagonal/>
    </border>
    <border>
      <left style="hair">
        <color theme="2" tint="-0.24994659260841701"/>
      </left>
      <right style="medium">
        <color theme="2" tint="-0.24994659260841701"/>
      </right>
      <top style="dashed">
        <color theme="2" tint="-0.24994659260841701"/>
      </top>
      <bottom style="hair">
        <color theme="2" tint="-0.24994659260841701"/>
      </bottom>
      <diagonal/>
    </border>
    <border>
      <left style="medium">
        <color theme="2" tint="-0.24994659260841701"/>
      </left>
      <right style="medium">
        <color theme="2" tint="-0.24994659260841701"/>
      </right>
      <top style="medium">
        <color theme="2" tint="-0.24994659260841701"/>
      </top>
      <bottom style="dashed">
        <color theme="2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77111117893"/>
      </top>
      <bottom style="thin">
        <color theme="0" tint="-0.24994659260841701"/>
      </bottom>
      <diagonal/>
    </border>
    <border>
      <left style="medium">
        <color theme="2" tint="-0.24994659260841701"/>
      </left>
      <right/>
      <top style="medium">
        <color theme="2" tint="-0.24994659260841701"/>
      </top>
      <bottom style="dotted">
        <color theme="2" tint="-0.24994659260841701"/>
      </bottom>
      <diagonal/>
    </border>
    <border>
      <left/>
      <right/>
      <top style="medium">
        <color theme="2" tint="-0.24994659260841701"/>
      </top>
      <bottom style="dotted">
        <color theme="2" tint="-0.24994659260841701"/>
      </bottom>
      <diagonal/>
    </border>
    <border>
      <left/>
      <right style="medium">
        <color theme="2" tint="-0.24994659260841701"/>
      </right>
      <top style="medium">
        <color theme="2" tint="-0.24994659260841701"/>
      </top>
      <bottom style="dotted">
        <color theme="2" tint="-0.24994659260841701"/>
      </bottom>
      <diagonal/>
    </border>
    <border>
      <left style="dotted">
        <color theme="2" tint="-0.24994659260841701"/>
      </left>
      <right style="medium">
        <color theme="2" tint="-0.24994659260841701"/>
      </right>
      <top/>
      <bottom style="dotted">
        <color theme="2" tint="-0.24994659260841701"/>
      </bottom>
      <diagonal/>
    </border>
    <border>
      <left style="dotted">
        <color theme="2" tint="-0.24994659260841701"/>
      </left>
      <right style="dotted">
        <color theme="2" tint="-0.24994659260841701"/>
      </right>
      <top style="medium">
        <color theme="2" tint="-0.24994659260841701"/>
      </top>
      <bottom style="hair">
        <color theme="2" tint="-0.24994659260841701"/>
      </bottom>
      <diagonal/>
    </border>
    <border>
      <left style="dotted">
        <color theme="2" tint="-0.24994659260841701"/>
      </left>
      <right style="medium">
        <color theme="2" tint="-0.24994659260841701"/>
      </right>
      <top style="medium">
        <color theme="2" tint="-0.24994659260841701"/>
      </top>
      <bottom style="hair">
        <color theme="2" tint="-0.24994659260841701"/>
      </bottom>
      <diagonal/>
    </border>
    <border>
      <left style="hair">
        <color theme="2" tint="-0.24994659260841701"/>
      </left>
      <right style="thin">
        <color theme="0" tint="-0.24994659260841701"/>
      </right>
      <top style="hair">
        <color theme="2" tint="-0.24994659260841701"/>
      </top>
      <bottom/>
      <diagonal/>
    </border>
    <border>
      <left style="hair">
        <color theme="2" tint="-0.24994659260841701"/>
      </left>
      <right style="thin">
        <color theme="0" tint="-0.24994659260841701"/>
      </right>
      <top/>
      <bottom/>
      <diagonal/>
    </border>
    <border>
      <left style="hair">
        <color theme="2" tint="-0.24994659260841701"/>
      </left>
      <right style="thin">
        <color theme="0" tint="-0.24994659260841701"/>
      </right>
      <top/>
      <bottom style="medium">
        <color theme="2" tint="-0.2499465926084170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theme="2" tint="-0.24994659260841701"/>
      </left>
      <right/>
      <top style="hair">
        <color theme="2" tint="-0.24994659260841701"/>
      </top>
      <bottom style="medium">
        <color theme="2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rgb="FF0053DA"/>
      </left>
      <right style="thin">
        <color rgb="FF0053DA"/>
      </right>
      <top style="thin">
        <color rgb="FF0053DA"/>
      </top>
      <bottom style="thin">
        <color rgb="FF0053DA"/>
      </bottom>
      <diagonal/>
    </border>
    <border>
      <left style="medium">
        <color rgb="FF2D44EA"/>
      </left>
      <right/>
      <top style="medium">
        <color rgb="FF2D44EA"/>
      </top>
      <bottom style="medium">
        <color rgb="FF2D44EA"/>
      </bottom>
      <diagonal/>
    </border>
    <border>
      <left/>
      <right/>
      <top style="medium">
        <color rgb="FF2D44EA"/>
      </top>
      <bottom style="medium">
        <color rgb="FF2D44EA"/>
      </bottom>
      <diagonal/>
    </border>
    <border>
      <left/>
      <right style="medium">
        <color rgb="FF2D44EA"/>
      </right>
      <top style="medium">
        <color rgb="FF2D44EA"/>
      </top>
      <bottom style="medium">
        <color rgb="FF2D44EA"/>
      </bottom>
      <diagonal/>
    </border>
    <border>
      <left style="medium">
        <color rgb="FF2D44EA"/>
      </left>
      <right style="medium">
        <color rgb="FF2D44EA"/>
      </right>
      <top style="medium">
        <color rgb="FF2D44EA"/>
      </top>
      <bottom style="medium">
        <color rgb="FF2D44EA"/>
      </bottom>
      <diagonal/>
    </border>
    <border>
      <left/>
      <right style="medium">
        <color rgb="FF2D44EA"/>
      </right>
      <top/>
      <bottom/>
      <diagonal/>
    </border>
    <border>
      <left style="medium">
        <color rgb="FF2D44EA"/>
      </left>
      <right style="medium">
        <color rgb="FF2D44EA"/>
      </right>
      <top/>
      <bottom style="medium">
        <color rgb="FF2D44EA"/>
      </bottom>
      <diagonal/>
    </border>
    <border>
      <left/>
      <right style="medium">
        <color rgb="FF2D44EA"/>
      </right>
      <top/>
      <bottom style="medium">
        <color rgb="FF2D44EA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medium">
        <color theme="2" tint="-0.24994659260841701"/>
      </left>
      <right style="hair">
        <color theme="2" tint="-0.24994659260841701"/>
      </right>
      <top style="medium">
        <color theme="2" tint="-0.24994659260841701"/>
      </top>
      <bottom/>
      <diagonal/>
    </border>
    <border>
      <left/>
      <right/>
      <top/>
      <bottom style="medium">
        <color theme="2" tint="-0.24994659260841701"/>
      </bottom>
      <diagonal/>
    </border>
    <border>
      <left style="hair">
        <color theme="1"/>
      </left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hair">
        <color theme="2" tint="-0.2499465926084170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9" borderId="0" applyNumberFormat="0" applyBorder="0" applyAlignment="0" applyProtection="0"/>
    <xf numFmtId="0" fontId="14" fillId="0" borderId="0"/>
    <xf numFmtId="167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40" fillId="0" borderId="0"/>
  </cellStyleXfs>
  <cellXfs count="612">
    <xf numFmtId="0" fontId="0" fillId="0" borderId="0" xfId="0"/>
    <xf numFmtId="0" fontId="2" fillId="0" borderId="1" xfId="0" applyFont="1" applyBorder="1"/>
    <xf numFmtId="0" fontId="2" fillId="0" borderId="0" xfId="0" applyFont="1"/>
    <xf numFmtId="0" fontId="2" fillId="0" borderId="1" xfId="0" applyFont="1" applyBorder="1" applyAlignment="1">
      <alignment horizontal="center"/>
    </xf>
    <xf numFmtId="0" fontId="4" fillId="0" borderId="0" xfId="0" applyFont="1"/>
    <xf numFmtId="0" fontId="5" fillId="2" borderId="2" xfId="0" applyFont="1" applyFill="1" applyBorder="1" applyAlignment="1">
      <alignment horizontal="center" vertical="center" wrapText="1"/>
    </xf>
    <xf numFmtId="0" fontId="4" fillId="0" borderId="3" xfId="0" applyFont="1" applyBorder="1"/>
    <xf numFmtId="0" fontId="5" fillId="2" borderId="9" xfId="0" applyFont="1" applyFill="1" applyBorder="1"/>
    <xf numFmtId="0" fontId="4" fillId="0" borderId="6" xfId="0" applyFont="1" applyBorder="1"/>
    <xf numFmtId="0" fontId="5" fillId="2" borderId="0" xfId="0" applyFont="1" applyFill="1" applyAlignment="1">
      <alignment horizontal="center"/>
    </xf>
    <xf numFmtId="0" fontId="5" fillId="2" borderId="2" xfId="0" applyFont="1" applyFill="1" applyBorder="1"/>
    <xf numFmtId="164" fontId="4" fillId="0" borderId="4" xfId="1" applyNumberFormat="1" applyFont="1" applyBorder="1"/>
    <xf numFmtId="0" fontId="4" fillId="0" borderId="4" xfId="0" applyFont="1" applyBorder="1"/>
    <xf numFmtId="164" fontId="5" fillId="2" borderId="10" xfId="1" applyNumberFormat="1" applyFont="1" applyFill="1" applyBorder="1"/>
    <xf numFmtId="164" fontId="5" fillId="2" borderId="9" xfId="1" applyNumberFormat="1" applyFont="1" applyFill="1" applyBorder="1"/>
    <xf numFmtId="9" fontId="4" fillId="0" borderId="7" xfId="0" applyNumberFormat="1" applyFont="1" applyBorder="1" applyAlignment="1">
      <alignment horizontal="center"/>
    </xf>
    <xf numFmtId="0" fontId="4" fillId="0" borderId="11" xfId="0" applyFont="1" applyBorder="1"/>
    <xf numFmtId="0" fontId="4" fillId="0" borderId="14" xfId="0" applyFont="1" applyBorder="1"/>
    <xf numFmtId="0" fontId="4" fillId="0" borderId="16" xfId="0" applyFont="1" applyBorder="1"/>
    <xf numFmtId="0" fontId="4" fillId="0" borderId="18" xfId="0" applyFont="1" applyBorder="1"/>
    <xf numFmtId="43" fontId="5" fillId="2" borderId="2" xfId="1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 vertical="center" wrapText="1"/>
    </xf>
    <xf numFmtId="43" fontId="6" fillId="2" borderId="2" xfId="0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5" fillId="0" borderId="0" xfId="0" applyFont="1"/>
    <xf numFmtId="0" fontId="5" fillId="0" borderId="0" xfId="0" applyFont="1" applyAlignment="1">
      <alignment horizontal="center" vertical="center" wrapText="1"/>
    </xf>
    <xf numFmtId="165" fontId="5" fillId="0" borderId="0" xfId="1" applyNumberFormat="1" applyFont="1" applyFill="1" applyBorder="1"/>
    <xf numFmtId="43" fontId="6" fillId="0" borderId="0" xfId="0" applyNumberFormat="1" applyFont="1" applyAlignment="1">
      <alignment horizontal="center" vertical="center" wrapText="1"/>
    </xf>
    <xf numFmtId="0" fontId="7" fillId="2" borderId="1" xfId="0" applyFont="1" applyFill="1" applyBorder="1" applyAlignment="1">
      <alignment horizontal="center"/>
    </xf>
    <xf numFmtId="164" fontId="4" fillId="0" borderId="4" xfId="1" applyNumberFormat="1" applyFont="1" applyFill="1" applyBorder="1"/>
    <xf numFmtId="0" fontId="4" fillId="0" borderId="23" xfId="0" applyFont="1" applyBorder="1"/>
    <xf numFmtId="9" fontId="4" fillId="0" borderId="24" xfId="0" applyNumberFormat="1" applyFont="1" applyBorder="1" applyAlignment="1">
      <alignment horizontal="center"/>
    </xf>
    <xf numFmtId="0" fontId="4" fillId="0" borderId="25" xfId="0" applyFont="1" applyBorder="1"/>
    <xf numFmtId="9" fontId="4" fillId="0" borderId="28" xfId="0" applyNumberFormat="1" applyFont="1" applyBorder="1" applyAlignment="1">
      <alignment horizontal="center"/>
    </xf>
    <xf numFmtId="43" fontId="5" fillId="0" borderId="0" xfId="1" applyFont="1" applyFill="1" applyBorder="1" applyAlignment="1">
      <alignment horizontal="center"/>
    </xf>
    <xf numFmtId="164" fontId="4" fillId="0" borderId="0" xfId="1" applyNumberFormat="1" applyFont="1" applyFill="1" applyBorder="1"/>
    <xf numFmtId="164" fontId="5" fillId="0" borderId="0" xfId="1" applyNumberFormat="1" applyFont="1" applyFill="1" applyBorder="1"/>
    <xf numFmtId="9" fontId="4" fillId="0" borderId="0" xfId="0" applyNumberFormat="1" applyFont="1" applyAlignment="1">
      <alignment horizontal="center"/>
    </xf>
    <xf numFmtId="0" fontId="5" fillId="2" borderId="6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8" xfId="0" applyFont="1" applyFill="1" applyBorder="1" applyAlignment="1">
      <alignment horizontal="center"/>
    </xf>
    <xf numFmtId="164" fontId="4" fillId="3" borderId="4" xfId="1" applyNumberFormat="1" applyFont="1" applyFill="1" applyBorder="1"/>
    <xf numFmtId="0" fontId="0" fillId="0" borderId="0" xfId="0" applyAlignment="1">
      <alignment horizontal="center" vertical="center"/>
    </xf>
    <xf numFmtId="0" fontId="0" fillId="0" borderId="0" xfId="0" applyProtection="1">
      <protection locked="0"/>
    </xf>
    <xf numFmtId="0" fontId="5" fillId="2" borderId="30" xfId="0" applyFont="1" applyFill="1" applyBorder="1" applyAlignment="1" applyProtection="1">
      <alignment horizontal="center" vertical="center" wrapText="1"/>
      <protection locked="0"/>
    </xf>
    <xf numFmtId="0" fontId="5" fillId="2" borderId="31" xfId="0" applyFont="1" applyFill="1" applyBorder="1" applyAlignment="1" applyProtection="1">
      <alignment horizontal="center" vertical="center" wrapText="1"/>
      <protection locked="0"/>
    </xf>
    <xf numFmtId="0" fontId="5" fillId="2" borderId="32" xfId="0" applyFont="1" applyFill="1" applyBorder="1" applyAlignment="1" applyProtection="1">
      <alignment horizontal="center" vertical="center" wrapText="1"/>
      <protection locked="0"/>
    </xf>
    <xf numFmtId="0" fontId="5" fillId="2" borderId="21" xfId="0" applyFont="1" applyFill="1" applyBorder="1" applyAlignment="1" applyProtection="1">
      <alignment horizontal="center" vertical="center" wrapText="1"/>
      <protection locked="0"/>
    </xf>
    <xf numFmtId="0" fontId="5" fillId="2" borderId="29" xfId="0" applyFont="1" applyFill="1" applyBorder="1" applyAlignment="1" applyProtection="1">
      <alignment horizontal="center" vertical="center" wrapText="1"/>
      <protection locked="0"/>
    </xf>
    <xf numFmtId="0" fontId="5" fillId="2" borderId="0" xfId="0" applyFont="1" applyFill="1" applyAlignment="1" applyProtection="1">
      <alignment horizontal="center" vertical="center" wrapText="1"/>
      <protection locked="0"/>
    </xf>
    <xf numFmtId="0" fontId="9" fillId="5" borderId="0" xfId="0" applyFont="1" applyFill="1"/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4" fillId="0" borderId="1" xfId="0" applyFont="1" applyBorder="1" applyProtection="1">
      <protection locked="0"/>
    </xf>
    <xf numFmtId="0" fontId="4" fillId="0" borderId="0" xfId="0" applyFont="1" applyProtection="1"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9" fillId="0" borderId="0" xfId="0" applyFont="1"/>
    <xf numFmtId="0" fontId="5" fillId="2" borderId="33" xfId="0" applyFont="1" applyFill="1" applyBorder="1" applyAlignment="1" applyProtection="1">
      <alignment horizontal="center" vertical="center" wrapText="1"/>
      <protection locked="0"/>
    </xf>
    <xf numFmtId="0" fontId="5" fillId="2" borderId="26" xfId="0" applyFont="1" applyFill="1" applyBorder="1" applyAlignment="1" applyProtection="1">
      <alignment horizontal="center" vertical="center" wrapText="1"/>
      <protection locked="0"/>
    </xf>
    <xf numFmtId="164" fontId="4" fillId="0" borderId="19" xfId="1" applyNumberFormat="1" applyFont="1" applyBorder="1"/>
    <xf numFmtId="0" fontId="5" fillId="2" borderId="34" xfId="0" applyFont="1" applyFill="1" applyBorder="1" applyAlignment="1" applyProtection="1">
      <alignment horizontal="center" vertical="center" wrapText="1"/>
      <protection locked="0"/>
    </xf>
    <xf numFmtId="0" fontId="5" fillId="2" borderId="27" xfId="0" applyFont="1" applyFill="1" applyBorder="1" applyAlignment="1" applyProtection="1">
      <alignment horizontal="right" vertical="center" indent="1"/>
      <protection locked="0"/>
    </xf>
    <xf numFmtId="164" fontId="5" fillId="2" borderId="26" xfId="0" applyNumberFormat="1" applyFont="1" applyFill="1" applyBorder="1" applyAlignment="1" applyProtection="1">
      <alignment horizontal="center" vertical="center" wrapText="1"/>
      <protection locked="0"/>
    </xf>
    <xf numFmtId="0" fontId="5" fillId="3" borderId="0" xfId="0" applyFont="1" applyFill="1" applyAlignment="1" applyProtection="1">
      <alignment horizontal="center" vertical="center" wrapText="1"/>
      <protection locked="0"/>
    </xf>
    <xf numFmtId="164" fontId="5" fillId="3" borderId="26" xfId="0" applyNumberFormat="1" applyFont="1" applyFill="1" applyBorder="1" applyAlignment="1" applyProtection="1">
      <alignment horizontal="center" vertical="center" wrapText="1"/>
      <protection locked="0"/>
    </xf>
    <xf numFmtId="0" fontId="0" fillId="3" borderId="0" xfId="0" applyFill="1" applyProtection="1">
      <protection locked="0"/>
    </xf>
    <xf numFmtId="0" fontId="5" fillId="3" borderId="31" xfId="0" applyFont="1" applyFill="1" applyBorder="1" applyAlignment="1" applyProtection="1">
      <alignment horizontal="center" vertical="center" wrapText="1"/>
      <protection locked="0"/>
    </xf>
    <xf numFmtId="0" fontId="10" fillId="3" borderId="0" xfId="0" applyFont="1" applyFill="1" applyProtection="1">
      <protection locked="0"/>
    </xf>
    <xf numFmtId="164" fontId="4" fillId="0" borderId="35" xfId="1" applyNumberFormat="1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14" fontId="0" fillId="0" borderId="0" xfId="0" applyNumberFormat="1"/>
    <xf numFmtId="9" fontId="0" fillId="0" borderId="0" xfId="2" applyFont="1"/>
    <xf numFmtId="9" fontId="5" fillId="2" borderId="34" xfId="2" applyFont="1" applyFill="1" applyBorder="1" applyAlignment="1" applyProtection="1">
      <alignment horizontal="center" vertical="center" wrapText="1"/>
      <protection locked="0"/>
    </xf>
    <xf numFmtId="43" fontId="0" fillId="0" borderId="0" xfId="1" applyFont="1"/>
    <xf numFmtId="164" fontId="0" fillId="0" borderId="0" xfId="1" applyNumberFormat="1" applyFont="1"/>
    <xf numFmtId="164" fontId="5" fillId="2" borderId="34" xfId="1" applyNumberFormat="1" applyFont="1" applyFill="1" applyBorder="1" applyAlignment="1" applyProtection="1">
      <alignment horizontal="center" vertical="center" wrapText="1"/>
      <protection locked="0"/>
    </xf>
    <xf numFmtId="164" fontId="5" fillId="2" borderId="36" xfId="0" applyNumberFormat="1" applyFont="1" applyFill="1" applyBorder="1" applyAlignment="1" applyProtection="1">
      <alignment horizontal="center" vertical="center" wrapText="1"/>
      <protection locked="0"/>
    </xf>
    <xf numFmtId="164" fontId="0" fillId="6" borderId="38" xfId="0" applyNumberFormat="1" applyFill="1" applyBorder="1" applyProtection="1">
      <protection locked="0"/>
    </xf>
    <xf numFmtId="0" fontId="5" fillId="2" borderId="39" xfId="0" applyFont="1" applyFill="1" applyBorder="1" applyAlignment="1" applyProtection="1">
      <alignment horizontal="center" vertical="center" wrapText="1"/>
      <protection locked="0"/>
    </xf>
    <xf numFmtId="164" fontId="0" fillId="6" borderId="19" xfId="0" applyNumberFormat="1" applyFill="1" applyBorder="1" applyProtection="1">
      <protection locked="0"/>
    </xf>
    <xf numFmtId="0" fontId="5" fillId="2" borderId="22" xfId="0" applyFont="1" applyFill="1" applyBorder="1" applyAlignment="1" applyProtection="1">
      <alignment horizontal="center" vertical="center" wrapText="1"/>
      <protection locked="0"/>
    </xf>
    <xf numFmtId="164" fontId="4" fillId="0" borderId="4" xfId="1" applyNumberFormat="1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164" fontId="4" fillId="0" borderId="3" xfId="1" applyNumberFormat="1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43" fontId="0" fillId="0" borderId="0" xfId="1" applyFont="1" applyProtection="1">
      <protection locked="0"/>
    </xf>
    <xf numFmtId="43" fontId="4" fillId="0" borderId="1" xfId="1" applyFont="1" applyBorder="1" applyProtection="1">
      <protection locked="0"/>
    </xf>
    <xf numFmtId="43" fontId="4" fillId="0" borderId="0" xfId="1" applyFont="1" applyProtection="1">
      <protection locked="0"/>
    </xf>
    <xf numFmtId="9" fontId="0" fillId="0" borderId="0" xfId="2" applyFont="1" applyProtection="1">
      <protection locked="0"/>
    </xf>
    <xf numFmtId="9" fontId="4" fillId="0" borderId="0" xfId="2" applyFont="1" applyProtection="1">
      <protection locked="0"/>
    </xf>
    <xf numFmtId="43" fontId="4" fillId="4" borderId="1" xfId="1" applyFont="1" applyFill="1" applyBorder="1" applyProtection="1">
      <protection locked="0"/>
    </xf>
    <xf numFmtId="43" fontId="5" fillId="2" borderId="21" xfId="1" applyFont="1" applyFill="1" applyBorder="1" applyAlignment="1" applyProtection="1">
      <alignment horizontal="center" vertical="center" wrapText="1"/>
      <protection locked="0"/>
    </xf>
    <xf numFmtId="166" fontId="4" fillId="0" borderId="4" xfId="2" applyNumberFormat="1" applyFont="1" applyBorder="1"/>
    <xf numFmtId="166" fontId="0" fillId="6" borderId="37" xfId="2" applyNumberFormat="1" applyFont="1" applyFill="1" applyBorder="1" applyProtection="1">
      <protection locked="0"/>
    </xf>
    <xf numFmtId="14" fontId="4" fillId="0" borderId="4" xfId="1" applyNumberFormat="1" applyFont="1" applyBorder="1"/>
    <xf numFmtId="0" fontId="5" fillId="2" borderId="32" xfId="0" applyFont="1" applyFill="1" applyBorder="1" applyAlignment="1" applyProtection="1">
      <alignment horizontal="right" vertical="center" indent="1"/>
      <protection locked="0"/>
    </xf>
    <xf numFmtId="0" fontId="11" fillId="0" borderId="40" xfId="0" applyFont="1" applyBorder="1" applyAlignment="1" applyProtection="1">
      <alignment vertical="center"/>
      <protection locked="0"/>
    </xf>
    <xf numFmtId="43" fontId="5" fillId="2" borderId="26" xfId="1" applyFont="1" applyFill="1" applyBorder="1" applyAlignment="1" applyProtection="1">
      <alignment horizontal="center" vertical="center" wrapText="1"/>
      <protection locked="0"/>
    </xf>
    <xf numFmtId="0" fontId="0" fillId="7" borderId="0" xfId="0" applyFill="1"/>
    <xf numFmtId="0" fontId="0" fillId="8" borderId="0" xfId="0" applyFill="1"/>
    <xf numFmtId="0" fontId="14" fillId="0" borderId="0" xfId="4" applyAlignment="1">
      <alignment vertical="center"/>
    </xf>
    <xf numFmtId="14" fontId="14" fillId="0" borderId="0" xfId="4" applyNumberFormat="1" applyAlignment="1">
      <alignment vertical="center"/>
    </xf>
    <xf numFmtId="0" fontId="11" fillId="0" borderId="41" xfId="0" applyFont="1" applyBorder="1" applyAlignment="1" applyProtection="1">
      <alignment horizontal="center" vertical="center"/>
      <protection locked="0"/>
    </xf>
    <xf numFmtId="3" fontId="11" fillId="0" borderId="41" xfId="0" applyNumberFormat="1" applyFont="1" applyBorder="1" applyAlignment="1" applyProtection="1">
      <alignment horizontal="center" vertical="center"/>
      <protection locked="0"/>
    </xf>
    <xf numFmtId="0" fontId="16" fillId="0" borderId="41" xfId="3" applyFont="1" applyFill="1" applyBorder="1" applyAlignment="1" applyProtection="1">
      <alignment horizontal="center" vertical="center" wrapText="1"/>
      <protection locked="0"/>
    </xf>
    <xf numFmtId="168" fontId="16" fillId="0" borderId="41" xfId="5" applyNumberFormat="1" applyFont="1" applyFill="1" applyBorder="1" applyAlignment="1" applyProtection="1">
      <alignment horizontal="center" vertical="center"/>
      <protection locked="0"/>
    </xf>
    <xf numFmtId="14" fontId="16" fillId="0" borderId="41" xfId="5" applyNumberFormat="1" applyFont="1" applyFill="1" applyBorder="1" applyAlignment="1" applyProtection="1">
      <alignment horizontal="center" vertical="center"/>
      <protection locked="0"/>
    </xf>
    <xf numFmtId="1" fontId="16" fillId="0" borderId="41" xfId="5" applyNumberFormat="1" applyFont="1" applyFill="1" applyBorder="1" applyAlignment="1" applyProtection="1">
      <alignment horizontal="center" vertical="center"/>
      <protection locked="0"/>
    </xf>
    <xf numFmtId="0" fontId="15" fillId="5" borderId="0" xfId="3" applyFont="1" applyFill="1" applyBorder="1" applyAlignment="1">
      <alignment horizontal="center" vertical="center" wrapText="1"/>
    </xf>
    <xf numFmtId="0" fontId="11" fillId="5" borderId="0" xfId="0" applyFont="1" applyFill="1" applyAlignment="1" applyProtection="1">
      <alignment horizontal="center" vertical="center"/>
      <protection locked="0"/>
    </xf>
    <xf numFmtId="0" fontId="14" fillId="5" borderId="0" xfId="4" applyFill="1" applyAlignment="1">
      <alignment vertical="center"/>
    </xf>
    <xf numFmtId="0" fontId="0" fillId="5" borderId="0" xfId="0" applyFill="1"/>
    <xf numFmtId="0" fontId="17" fillId="11" borderId="0" xfId="4" applyFont="1" applyFill="1" applyAlignment="1">
      <alignment vertical="center"/>
    </xf>
    <xf numFmtId="0" fontId="13" fillId="0" borderId="1" xfId="0" applyFont="1" applyBorder="1" applyAlignment="1">
      <alignment horizontal="left" vertical="center"/>
    </xf>
    <xf numFmtId="0" fontId="14" fillId="0" borderId="1" xfId="4" applyBorder="1" applyAlignment="1">
      <alignment vertical="center"/>
    </xf>
    <xf numFmtId="0" fontId="14" fillId="0" borderId="1" xfId="4" applyBorder="1" applyAlignment="1">
      <alignment horizontal="right" vertical="center" indent="1"/>
    </xf>
    <xf numFmtId="169" fontId="14" fillId="0" borderId="1" xfId="5" applyNumberFormat="1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69" fontId="14" fillId="0" borderId="1" xfId="5" applyNumberFormat="1" applyFont="1" applyFill="1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left" vertical="center"/>
    </xf>
    <xf numFmtId="169" fontId="18" fillId="0" borderId="1" xfId="5" applyNumberFormat="1" applyFont="1" applyFill="1" applyBorder="1" applyAlignment="1">
      <alignment horizontal="center" vertical="center"/>
    </xf>
    <xf numFmtId="169" fontId="15" fillId="0" borderId="1" xfId="5" applyNumberFormat="1" applyFont="1" applyFill="1" applyBorder="1" applyAlignment="1" applyProtection="1">
      <alignment vertical="center"/>
      <protection locked="0"/>
    </xf>
    <xf numFmtId="0" fontId="18" fillId="0" borderId="0" xfId="4" applyFont="1" applyAlignment="1">
      <alignment horizontal="right" vertical="center"/>
    </xf>
    <xf numFmtId="0" fontId="14" fillId="0" borderId="0" xfId="4" applyAlignment="1">
      <alignment horizontal="right" vertical="center" indent="1"/>
    </xf>
    <xf numFmtId="3" fontId="14" fillId="0" borderId="0" xfId="4" applyNumberFormat="1" applyAlignment="1">
      <alignment vertical="center"/>
    </xf>
    <xf numFmtId="0" fontId="0" fillId="0" borderId="1" xfId="0" applyBorder="1" applyAlignment="1">
      <alignment horizontal="right" vertical="center" wrapText="1" indent="1"/>
    </xf>
    <xf numFmtId="0" fontId="0" fillId="0" borderId="1" xfId="0" applyBorder="1" applyAlignment="1">
      <alignment horizontal="left" wrapText="1"/>
    </xf>
    <xf numFmtId="169" fontId="18" fillId="0" borderId="1" xfId="5" applyNumberFormat="1" applyFont="1" applyFill="1" applyBorder="1" applyAlignment="1">
      <alignment vertical="center"/>
    </xf>
    <xf numFmtId="0" fontId="0" fillId="0" borderId="1" xfId="0" applyBorder="1" applyAlignment="1">
      <alignment wrapText="1"/>
    </xf>
    <xf numFmtId="0" fontId="19" fillId="0" borderId="0" xfId="4" applyFont="1" applyAlignment="1">
      <alignment vertical="center"/>
    </xf>
    <xf numFmtId="0" fontId="17" fillId="0" borderId="0" xfId="4" applyFont="1" applyAlignment="1">
      <alignment horizontal="right" vertical="center" indent="1"/>
    </xf>
    <xf numFmtId="169" fontId="17" fillId="0" borderId="0" xfId="5" applyNumberFormat="1" applyFont="1" applyFill="1" applyAlignment="1">
      <alignment vertical="center"/>
    </xf>
    <xf numFmtId="0" fontId="13" fillId="0" borderId="1" xfId="0" applyFont="1" applyBorder="1" applyAlignment="1">
      <alignment vertical="center" wrapText="1"/>
    </xf>
    <xf numFmtId="0" fontId="14" fillId="0" borderId="40" xfId="4" applyBorder="1" applyAlignment="1">
      <alignment horizontal="left" vertical="center"/>
    </xf>
    <xf numFmtId="0" fontId="14" fillId="0" borderId="40" xfId="4" applyBorder="1" applyAlignment="1">
      <alignment horizontal="left" vertical="center" wrapText="1"/>
    </xf>
    <xf numFmtId="0" fontId="17" fillId="0" borderId="40" xfId="4" applyFont="1" applyBorder="1" applyAlignment="1">
      <alignment horizontal="left" vertical="center" wrapText="1"/>
    </xf>
    <xf numFmtId="169" fontId="18" fillId="0" borderId="1" xfId="5" applyNumberFormat="1" applyFont="1" applyBorder="1" applyAlignment="1">
      <alignment vertical="center"/>
    </xf>
    <xf numFmtId="0" fontId="13" fillId="0" borderId="1" xfId="0" applyFont="1" applyBorder="1" applyAlignment="1">
      <alignment wrapText="1"/>
    </xf>
    <xf numFmtId="0" fontId="14" fillId="0" borderId="42" xfId="4" applyBorder="1" applyAlignment="1">
      <alignment vertical="center"/>
    </xf>
    <xf numFmtId="0" fontId="14" fillId="0" borderId="42" xfId="4" applyBorder="1" applyAlignment="1">
      <alignment horizontal="right" vertical="center" indent="1"/>
    </xf>
    <xf numFmtId="0" fontId="17" fillId="11" borderId="1" xfId="4" applyFont="1" applyFill="1" applyBorder="1" applyAlignment="1">
      <alignment vertical="center"/>
    </xf>
    <xf numFmtId="0" fontId="0" fillId="0" borderId="1" xfId="0" applyBorder="1" applyAlignment="1">
      <alignment horizontal="right" wrapText="1" indent="1"/>
    </xf>
    <xf numFmtId="0" fontId="15" fillId="13" borderId="1" xfId="0" applyFont="1" applyFill="1" applyBorder="1" applyAlignment="1" applyProtection="1">
      <alignment horizontal="right" vertical="center" indent="1"/>
      <protection locked="0"/>
    </xf>
    <xf numFmtId="169" fontId="15" fillId="13" borderId="1" xfId="0" applyNumberFormat="1" applyFont="1" applyFill="1" applyBorder="1" applyAlignment="1" applyProtection="1">
      <alignment vertical="center"/>
      <protection locked="0"/>
    </xf>
    <xf numFmtId="0" fontId="15" fillId="10" borderId="44" xfId="0" applyFont="1" applyFill="1" applyBorder="1" applyAlignment="1" applyProtection="1">
      <alignment horizontal="center" vertical="center"/>
      <protection locked="0"/>
    </xf>
    <xf numFmtId="0" fontId="15" fillId="10" borderId="45" xfId="0" applyFont="1" applyFill="1" applyBorder="1" applyAlignment="1" applyProtection="1">
      <alignment horizontal="center" vertical="center"/>
      <protection locked="0"/>
    </xf>
    <xf numFmtId="0" fontId="5" fillId="2" borderId="26" xfId="0" applyFont="1" applyFill="1" applyBorder="1" applyAlignment="1" applyProtection="1">
      <alignment horizontal="right" vertical="center" indent="1"/>
      <protection locked="0"/>
    </xf>
    <xf numFmtId="164" fontId="0" fillId="0" borderId="0" xfId="0" applyNumberFormat="1"/>
    <xf numFmtId="0" fontId="4" fillId="0" borderId="46" xfId="0" applyFont="1" applyBorder="1"/>
    <xf numFmtId="164" fontId="4" fillId="0" borderId="48" xfId="1" applyNumberFormat="1" applyFont="1" applyBorder="1"/>
    <xf numFmtId="9" fontId="4" fillId="0" borderId="50" xfId="0" applyNumberFormat="1" applyFont="1" applyBorder="1"/>
    <xf numFmtId="9" fontId="4" fillId="0" borderId="51" xfId="0" applyNumberFormat="1" applyFont="1" applyBorder="1"/>
    <xf numFmtId="0" fontId="1" fillId="2" borderId="9" xfId="0" applyFont="1" applyFill="1" applyBorder="1"/>
    <xf numFmtId="0" fontId="0" fillId="12" borderId="0" xfId="0" applyFill="1"/>
    <xf numFmtId="0" fontId="21" fillId="0" borderId="0" xfId="0" applyFont="1"/>
    <xf numFmtId="0" fontId="5" fillId="2" borderId="1" xfId="0" applyFont="1" applyFill="1" applyBorder="1"/>
    <xf numFmtId="0" fontId="4" fillId="0" borderId="1" xfId="0" applyFont="1" applyBorder="1"/>
    <xf numFmtId="164" fontId="4" fillId="0" borderId="1" xfId="1" applyNumberFormat="1" applyFont="1" applyBorder="1"/>
    <xf numFmtId="164" fontId="5" fillId="2" borderId="10" xfId="1" applyNumberFormat="1" applyFont="1" applyFill="1" applyBorder="1" applyAlignment="1">
      <alignment horizontal="center"/>
    </xf>
    <xf numFmtId="0" fontId="15" fillId="5" borderId="1" xfId="0" applyFont="1" applyFill="1" applyBorder="1" applyAlignment="1" applyProtection="1">
      <alignment horizontal="right" vertical="center" indent="1"/>
      <protection locked="0"/>
    </xf>
    <xf numFmtId="169" fontId="15" fillId="5" borderId="1" xfId="5" applyNumberFormat="1" applyFont="1" applyFill="1" applyBorder="1" applyAlignment="1" applyProtection="1">
      <alignment vertical="center"/>
      <protection locked="0"/>
    </xf>
    <xf numFmtId="0" fontId="14" fillId="5" borderId="1" xfId="4" applyFill="1" applyBorder="1" applyAlignment="1">
      <alignment horizontal="right" vertical="center" indent="1"/>
    </xf>
    <xf numFmtId="169" fontId="14" fillId="5" borderId="1" xfId="5" applyNumberFormat="1" applyFont="1" applyFill="1" applyBorder="1" applyAlignment="1">
      <alignment vertical="center"/>
    </xf>
    <xf numFmtId="0" fontId="17" fillId="5" borderId="1" xfId="4" applyFont="1" applyFill="1" applyBorder="1" applyAlignment="1">
      <alignment horizontal="right" vertical="center" indent="1"/>
    </xf>
    <xf numFmtId="169" fontId="17" fillId="5" borderId="1" xfId="5" applyNumberFormat="1" applyFont="1" applyFill="1" applyBorder="1" applyAlignment="1">
      <alignment vertical="center"/>
    </xf>
    <xf numFmtId="0" fontId="14" fillId="5" borderId="41" xfId="4" applyFill="1" applyBorder="1" applyAlignment="1">
      <alignment horizontal="right" vertical="center" indent="1"/>
    </xf>
    <xf numFmtId="169" fontId="18" fillId="5" borderId="41" xfId="5" applyNumberFormat="1" applyFont="1" applyFill="1" applyBorder="1" applyAlignment="1">
      <alignment vertical="center"/>
    </xf>
    <xf numFmtId="0" fontId="14" fillId="5" borderId="0" xfId="4" applyFill="1" applyAlignment="1">
      <alignment horizontal="right" vertical="center" indent="1"/>
    </xf>
    <xf numFmtId="169" fontId="18" fillId="5" borderId="1" xfId="5" applyNumberFormat="1" applyFont="1" applyFill="1" applyBorder="1" applyAlignment="1">
      <alignment vertical="center"/>
    </xf>
    <xf numFmtId="0" fontId="14" fillId="5" borderId="1" xfId="4" applyFill="1" applyBorder="1" applyAlignment="1">
      <alignment vertical="center"/>
    </xf>
    <xf numFmtId="9" fontId="4" fillId="3" borderId="4" xfId="2" applyFont="1" applyFill="1" applyBorder="1"/>
    <xf numFmtId="43" fontId="0" fillId="0" borderId="0" xfId="0" applyNumberFormat="1"/>
    <xf numFmtId="0" fontId="0" fillId="5" borderId="0" xfId="0" applyFill="1" applyAlignment="1">
      <alignment horizontal="center" vertical="center"/>
    </xf>
    <xf numFmtId="169" fontId="0" fillId="0" borderId="0" xfId="0" applyNumberFormat="1"/>
    <xf numFmtId="0" fontId="0" fillId="0" borderId="0" xfId="0" applyAlignment="1">
      <alignment horizontal="center" vertical="center" wrapText="1"/>
    </xf>
    <xf numFmtId="14" fontId="11" fillId="0" borderId="1" xfId="0" applyNumberFormat="1" applyFont="1" applyBorder="1" applyAlignment="1">
      <alignment horizontal="center"/>
    </xf>
    <xf numFmtId="0" fontId="11" fillId="0" borderId="0" xfId="0" applyFont="1" applyAlignment="1" applyProtection="1">
      <alignment horizontal="center" vertical="center"/>
      <protection locked="0"/>
    </xf>
    <xf numFmtId="3" fontId="11" fillId="0" borderId="0" xfId="0" applyNumberFormat="1" applyFont="1" applyAlignment="1" applyProtection="1">
      <alignment horizontal="center" vertical="center"/>
      <protection locked="0"/>
    </xf>
    <xf numFmtId="0" fontId="16" fillId="0" borderId="0" xfId="3" applyFont="1" applyFill="1" applyBorder="1" applyAlignment="1" applyProtection="1">
      <alignment horizontal="center" vertical="center" wrapText="1"/>
      <protection locked="0"/>
    </xf>
    <xf numFmtId="168" fontId="16" fillId="0" borderId="0" xfId="1" applyNumberFormat="1" applyFont="1" applyFill="1" applyBorder="1" applyAlignment="1" applyProtection="1">
      <alignment horizontal="center" vertical="center"/>
      <protection locked="0"/>
    </xf>
    <xf numFmtId="0" fontId="5" fillId="5" borderId="21" xfId="0" applyFont="1" applyFill="1" applyBorder="1" applyAlignment="1" applyProtection="1">
      <alignment horizontal="center" vertical="center" wrapText="1"/>
      <protection locked="0"/>
    </xf>
    <xf numFmtId="164" fontId="5" fillId="2" borderId="26" xfId="1" applyNumberFormat="1" applyFont="1" applyFill="1" applyBorder="1" applyAlignment="1">
      <alignment horizontal="center"/>
    </xf>
    <xf numFmtId="164" fontId="5" fillId="2" borderId="36" xfId="1" applyNumberFormat="1" applyFont="1" applyFill="1" applyBorder="1" applyAlignment="1">
      <alignment horizontal="center"/>
    </xf>
    <xf numFmtId="164" fontId="5" fillId="2" borderId="33" xfId="1" applyNumberFormat="1" applyFont="1" applyFill="1" applyBorder="1" applyAlignment="1">
      <alignment horizontal="center"/>
    </xf>
    <xf numFmtId="164" fontId="4" fillId="0" borderId="12" xfId="1" applyNumberFormat="1" applyFont="1" applyBorder="1"/>
    <xf numFmtId="164" fontId="4" fillId="0" borderId="13" xfId="1" applyNumberFormat="1" applyFont="1" applyBorder="1"/>
    <xf numFmtId="164" fontId="4" fillId="0" borderId="15" xfId="1" applyNumberFormat="1" applyFont="1" applyBorder="1"/>
    <xf numFmtId="164" fontId="4" fillId="0" borderId="17" xfId="1" applyNumberFormat="1" applyFont="1" applyBorder="1"/>
    <xf numFmtId="164" fontId="4" fillId="0" borderId="47" xfId="1" applyNumberFormat="1" applyFont="1" applyBorder="1"/>
    <xf numFmtId="164" fontId="4" fillId="0" borderId="49" xfId="1" applyNumberFormat="1" applyFont="1" applyBorder="1"/>
    <xf numFmtId="164" fontId="4" fillId="0" borderId="20" xfId="1" applyNumberFormat="1" applyFont="1" applyBorder="1"/>
    <xf numFmtId="164" fontId="4" fillId="0" borderId="0" xfId="1" applyNumberFormat="1" applyFont="1"/>
    <xf numFmtId="0" fontId="9" fillId="2" borderId="0" xfId="0" applyFont="1" applyFill="1"/>
    <xf numFmtId="164" fontId="9" fillId="2" borderId="0" xfId="0" applyNumberFormat="1" applyFont="1" applyFill="1"/>
    <xf numFmtId="0" fontId="22" fillId="0" borderId="0" xfId="0" applyFont="1"/>
    <xf numFmtId="0" fontId="0" fillId="4" borderId="0" xfId="0" applyFill="1"/>
    <xf numFmtId="0" fontId="15" fillId="10" borderId="1" xfId="0" applyFont="1" applyFill="1" applyBorder="1" applyAlignment="1" applyProtection="1">
      <alignment horizontal="center" vertical="center" wrapText="1"/>
      <protection locked="0"/>
    </xf>
    <xf numFmtId="0" fontId="15" fillId="14" borderId="1" xfId="0" applyFont="1" applyFill="1" applyBorder="1" applyAlignment="1" applyProtection="1">
      <alignment horizontal="center" vertical="center" wrapText="1"/>
      <protection locked="0"/>
    </xf>
    <xf numFmtId="0" fontId="15" fillId="0" borderId="1" xfId="0" applyFont="1" applyBorder="1" applyAlignment="1" applyProtection="1">
      <alignment horizontal="center" vertical="center" wrapText="1"/>
      <protection locked="0"/>
    </xf>
    <xf numFmtId="0" fontId="0" fillId="0" borderId="1" xfId="0" applyBorder="1"/>
    <xf numFmtId="0" fontId="23" fillId="15" borderId="1" xfId="3" applyFont="1" applyFill="1" applyBorder="1" applyAlignment="1" applyProtection="1">
      <alignment horizontal="center" vertical="center" wrapText="1"/>
      <protection locked="0"/>
    </xf>
    <xf numFmtId="0" fontId="15" fillId="10" borderId="55" xfId="0" applyFont="1" applyFill="1" applyBorder="1" applyAlignment="1" applyProtection="1">
      <alignment horizontal="center" vertical="center" wrapText="1"/>
      <protection locked="0"/>
    </xf>
    <xf numFmtId="0" fontId="11" fillId="0" borderId="0" xfId="0" applyFont="1"/>
    <xf numFmtId="170" fontId="11" fillId="0" borderId="0" xfId="0" applyNumberFormat="1" applyFont="1" applyAlignment="1">
      <alignment horizontal="right"/>
    </xf>
    <xf numFmtId="172" fontId="11" fillId="0" borderId="0" xfId="0" applyNumberFormat="1" applyFont="1"/>
    <xf numFmtId="167" fontId="11" fillId="0" borderId="0" xfId="5" applyFont="1"/>
    <xf numFmtId="0" fontId="0" fillId="0" borderId="1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24" fillId="0" borderId="0" xfId="0" applyFont="1"/>
    <xf numFmtId="0" fontId="5" fillId="2" borderId="0" xfId="0" applyFont="1" applyFill="1" applyAlignment="1">
      <alignment horizontal="centerContinuous"/>
    </xf>
    <xf numFmtId="164" fontId="4" fillId="0" borderId="7" xfId="1" applyNumberFormat="1" applyFont="1" applyBorder="1"/>
    <xf numFmtId="0" fontId="25" fillId="0" borderId="0" xfId="0" applyFont="1"/>
    <xf numFmtId="0" fontId="7" fillId="2" borderId="1" xfId="0" applyFont="1" applyFill="1" applyBorder="1" applyAlignment="1">
      <alignment horizontal="center" vertical="center" wrapText="1"/>
    </xf>
    <xf numFmtId="0" fontId="26" fillId="2" borderId="34" xfId="0" applyFont="1" applyFill="1" applyBorder="1" applyAlignment="1" applyProtection="1">
      <alignment horizontal="center" vertical="center" wrapText="1"/>
      <protection locked="0"/>
    </xf>
    <xf numFmtId="0" fontId="5" fillId="2" borderId="26" xfId="0" applyFont="1" applyFill="1" applyBorder="1" applyAlignment="1" applyProtection="1">
      <alignment horizontal="centerContinuous" vertical="center" wrapText="1"/>
      <protection locked="0"/>
    </xf>
    <xf numFmtId="0" fontId="5" fillId="2" borderId="27" xfId="0" applyFont="1" applyFill="1" applyBorder="1" applyAlignment="1" applyProtection="1">
      <alignment horizontal="centerContinuous" vertical="center"/>
      <protection locked="0"/>
    </xf>
    <xf numFmtId="164" fontId="4" fillId="0" borderId="3" xfId="1" applyNumberFormat="1" applyFont="1" applyBorder="1"/>
    <xf numFmtId="164" fontId="4" fillId="0" borderId="5" xfId="1" applyNumberFormat="1" applyFont="1" applyBorder="1"/>
    <xf numFmtId="164" fontId="4" fillId="0" borderId="6" xfId="1" applyNumberFormat="1" applyFont="1" applyBorder="1"/>
    <xf numFmtId="164" fontId="4" fillId="0" borderId="8" xfId="1" applyNumberFormat="1" applyFont="1" applyBorder="1"/>
    <xf numFmtId="164" fontId="5" fillId="2" borderId="10" xfId="1" applyNumberFormat="1" applyFont="1" applyFill="1" applyBorder="1" applyAlignment="1">
      <alignment horizontal="centerContinuous"/>
    </xf>
    <xf numFmtId="164" fontId="5" fillId="2" borderId="62" xfId="1" applyNumberFormat="1" applyFont="1" applyFill="1" applyBorder="1" applyAlignment="1">
      <alignment horizontal="centerContinuous"/>
    </xf>
    <xf numFmtId="164" fontId="5" fillId="2" borderId="26" xfId="1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" vertical="center" wrapText="1"/>
    </xf>
    <xf numFmtId="0" fontId="0" fillId="4" borderId="0" xfId="0" applyFill="1" applyAlignment="1">
      <alignment horizontal="centerContinuous" vertical="center" wrapText="1"/>
    </xf>
    <xf numFmtId="0" fontId="0" fillId="4" borderId="0" xfId="0" applyFill="1" applyAlignment="1">
      <alignment horizontal="centerContinuous"/>
    </xf>
    <xf numFmtId="0" fontId="5" fillId="2" borderId="26" xfId="0" applyFont="1" applyFill="1" applyBorder="1" applyAlignment="1" applyProtection="1">
      <alignment horizontal="right" vertical="center"/>
      <protection locked="0"/>
    </xf>
    <xf numFmtId="164" fontId="4" fillId="17" borderId="4" xfId="1" applyNumberFormat="1" applyFont="1" applyFill="1" applyBorder="1"/>
    <xf numFmtId="164" fontId="16" fillId="5" borderId="41" xfId="1" applyNumberFormat="1" applyFont="1" applyFill="1" applyBorder="1" applyAlignment="1" applyProtection="1">
      <alignment horizontal="center" vertical="center"/>
      <protection locked="0"/>
    </xf>
    <xf numFmtId="164" fontId="16" fillId="0" borderId="41" xfId="1" applyNumberFormat="1" applyFont="1" applyFill="1" applyBorder="1" applyAlignment="1" applyProtection="1">
      <alignment horizontal="center" vertical="center"/>
      <protection locked="0"/>
    </xf>
    <xf numFmtId="164" fontId="5" fillId="2" borderId="0" xfId="0" applyNumberFormat="1" applyFont="1" applyFill="1" applyAlignment="1" applyProtection="1">
      <alignment horizontal="center" vertical="center" wrapText="1"/>
      <protection locked="0"/>
    </xf>
    <xf numFmtId="0" fontId="5" fillId="0" borderId="31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 wrapText="1"/>
      <protection locked="0"/>
    </xf>
    <xf numFmtId="164" fontId="0" fillId="0" borderId="20" xfId="0" applyNumberFormat="1" applyBorder="1" applyProtection="1">
      <protection locked="0"/>
    </xf>
    <xf numFmtId="164" fontId="5" fillId="0" borderId="26" xfId="0" applyNumberFormat="1" applyFont="1" applyBorder="1" applyAlignment="1" applyProtection="1">
      <alignment horizontal="center" vertical="center" wrapText="1"/>
      <protection locked="0"/>
    </xf>
    <xf numFmtId="0" fontId="27" fillId="2" borderId="64" xfId="0" applyFont="1" applyFill="1" applyBorder="1" applyAlignment="1" applyProtection="1">
      <alignment horizontal="center" vertical="center" wrapText="1"/>
      <protection locked="0"/>
    </xf>
    <xf numFmtId="9" fontId="27" fillId="2" borderId="64" xfId="2" applyFont="1" applyFill="1" applyBorder="1" applyAlignment="1" applyProtection="1">
      <alignment horizontal="center" vertical="center" wrapText="1"/>
      <protection locked="0"/>
    </xf>
    <xf numFmtId="0" fontId="0" fillId="0" borderId="64" xfId="0" applyBorder="1"/>
    <xf numFmtId="164" fontId="0" fillId="0" borderId="64" xfId="1" applyNumberFormat="1" applyFont="1" applyBorder="1"/>
    <xf numFmtId="164" fontId="13" fillId="18" borderId="64" xfId="1" applyNumberFormat="1" applyFont="1" applyFill="1" applyBorder="1"/>
    <xf numFmtId="164" fontId="0" fillId="5" borderId="0" xfId="0" applyNumberFormat="1" applyFill="1"/>
    <xf numFmtId="164" fontId="0" fillId="0" borderId="66" xfId="1" applyNumberFormat="1" applyFont="1" applyBorder="1"/>
    <xf numFmtId="0" fontId="27" fillId="2" borderId="66" xfId="0" applyFont="1" applyFill="1" applyBorder="1" applyAlignment="1" applyProtection="1">
      <alignment horizontal="center" vertical="center" wrapText="1"/>
      <protection locked="0"/>
    </xf>
    <xf numFmtId="164" fontId="13" fillId="18" borderId="66" xfId="1" applyNumberFormat="1" applyFont="1" applyFill="1" applyBorder="1"/>
    <xf numFmtId="0" fontId="28" fillId="2" borderId="0" xfId="0" applyFont="1" applyFill="1" applyAlignment="1">
      <alignment horizontal="center"/>
    </xf>
    <xf numFmtId="0" fontId="29" fillId="0" borderId="64" xfId="0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29" fillId="0" borderId="64" xfId="0" applyFont="1" applyBorder="1"/>
    <xf numFmtId="0" fontId="29" fillId="5" borderId="64" xfId="0" applyFont="1" applyFill="1" applyBorder="1"/>
    <xf numFmtId="0" fontId="30" fillId="2" borderId="64" xfId="0" applyFont="1" applyFill="1" applyBorder="1" applyAlignment="1">
      <alignment horizontal="center" vertical="center" wrapText="1"/>
    </xf>
    <xf numFmtId="0" fontId="0" fillId="0" borderId="64" xfId="0" applyBorder="1" applyAlignment="1">
      <alignment horizontal="center" vertical="center" wrapText="1"/>
    </xf>
    <xf numFmtId="0" fontId="0" fillId="0" borderId="64" xfId="0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30" fillId="2" borderId="0" xfId="0" applyFont="1" applyFill="1" applyAlignment="1">
      <alignment horizontal="center" vertical="center" wrapText="1"/>
    </xf>
    <xf numFmtId="9" fontId="0" fillId="0" borderId="64" xfId="2" applyFont="1" applyBorder="1"/>
    <xf numFmtId="0" fontId="0" fillId="0" borderId="64" xfId="0" applyBorder="1" applyAlignment="1">
      <alignment horizontal="center"/>
    </xf>
    <xf numFmtId="9" fontId="0" fillId="0" borderId="64" xfId="0" applyNumberFormat="1" applyBorder="1"/>
    <xf numFmtId="0" fontId="13" fillId="5" borderId="0" xfId="0" applyFont="1" applyFill="1"/>
    <xf numFmtId="0" fontId="11" fillId="0" borderId="0" xfId="0" applyFont="1" applyAlignment="1" applyProtection="1">
      <alignment vertical="center"/>
      <protection locked="0"/>
    </xf>
    <xf numFmtId="14" fontId="31" fillId="0" borderId="0" xfId="0" applyNumberFormat="1" applyFont="1" applyAlignment="1" applyProtection="1">
      <alignment vertical="center"/>
      <protection locked="0"/>
    </xf>
    <xf numFmtId="0" fontId="11" fillId="0" borderId="41" xfId="0" applyFont="1" applyBorder="1" applyAlignment="1" applyProtection="1">
      <alignment vertical="center"/>
      <protection locked="0"/>
    </xf>
    <xf numFmtId="169" fontId="14" fillId="0" borderId="41" xfId="5" applyNumberFormat="1" applyFont="1" applyFill="1" applyBorder="1" applyAlignment="1" applyProtection="1">
      <alignment vertical="center"/>
    </xf>
    <xf numFmtId="0" fontId="15" fillId="0" borderId="41" xfId="3" applyFont="1" applyFill="1" applyBorder="1" applyAlignment="1" applyProtection="1">
      <alignment horizontal="center" vertical="center" wrapText="1"/>
      <protection locked="0"/>
    </xf>
    <xf numFmtId="9" fontId="15" fillId="0" borderId="41" xfId="2" applyFont="1" applyFill="1" applyBorder="1" applyAlignment="1" applyProtection="1">
      <alignment horizontal="center" vertical="center" wrapText="1"/>
      <protection locked="0"/>
    </xf>
    <xf numFmtId="0" fontId="32" fillId="19" borderId="41" xfId="3" applyFont="1" applyFill="1" applyBorder="1" applyAlignment="1" applyProtection="1">
      <alignment horizontal="center" vertical="center" wrapText="1"/>
      <protection locked="0"/>
    </xf>
    <xf numFmtId="173" fontId="32" fillId="19" borderId="41" xfId="6" applyNumberFormat="1" applyFont="1" applyFill="1" applyBorder="1" applyAlignment="1" applyProtection="1">
      <alignment horizontal="left" vertical="center" wrapText="1"/>
    </xf>
    <xf numFmtId="173" fontId="32" fillId="19" borderId="41" xfId="6" applyNumberFormat="1" applyFont="1" applyFill="1" applyBorder="1" applyAlignment="1" applyProtection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horizontal="right" vertical="center"/>
    </xf>
    <xf numFmtId="0" fontId="11" fillId="0" borderId="41" xfId="0" applyFont="1" applyBorder="1" applyAlignment="1">
      <alignment horizontal="left" vertical="center"/>
    </xf>
    <xf numFmtId="169" fontId="14" fillId="0" borderId="41" xfId="5" applyNumberFormat="1" applyFont="1" applyFill="1" applyBorder="1" applyAlignment="1" applyProtection="1">
      <alignment horizontal="right" vertical="center"/>
    </xf>
    <xf numFmtId="0" fontId="11" fillId="0" borderId="41" xfId="0" applyFont="1" applyBorder="1" applyAlignment="1" applyProtection="1">
      <alignment horizontal="left" vertical="center"/>
      <protection locked="0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32" fillId="19" borderId="41" xfId="3" applyFont="1" applyFill="1" applyBorder="1" applyAlignment="1" applyProtection="1">
      <alignment horizontal="center" vertical="center" wrapText="1"/>
    </xf>
    <xf numFmtId="0" fontId="32" fillId="19" borderId="41" xfId="0" applyFont="1" applyFill="1" applyBorder="1" applyAlignment="1">
      <alignment horizontal="center" vertical="center" wrapText="1"/>
    </xf>
    <xf numFmtId="0" fontId="32" fillId="19" borderId="41" xfId="0" applyFont="1" applyFill="1" applyBorder="1" applyAlignment="1">
      <alignment horizontal="center" vertical="top" wrapText="1"/>
    </xf>
    <xf numFmtId="169" fontId="34" fillId="19" borderId="41" xfId="5" applyNumberFormat="1" applyFont="1" applyFill="1" applyBorder="1" applyAlignment="1" applyProtection="1">
      <alignment horizontal="right" vertical="center"/>
    </xf>
    <xf numFmtId="173" fontId="32" fillId="19" borderId="41" xfId="6" applyNumberFormat="1" applyFont="1" applyFill="1" applyBorder="1" applyAlignment="1" applyProtection="1">
      <alignment horizontal="right" vertical="center" wrapText="1"/>
    </xf>
    <xf numFmtId="0" fontId="13" fillId="5" borderId="65" xfId="0" applyFont="1" applyFill="1" applyBorder="1"/>
    <xf numFmtId="0" fontId="5" fillId="19" borderId="34" xfId="0" applyFont="1" applyFill="1" applyBorder="1" applyAlignment="1" applyProtection="1">
      <alignment horizontal="center" vertical="center" wrapText="1"/>
      <protection locked="0"/>
    </xf>
    <xf numFmtId="0" fontId="26" fillId="19" borderId="34" xfId="0" applyFont="1" applyFill="1" applyBorder="1" applyAlignment="1" applyProtection="1">
      <alignment horizontal="center" vertical="center" wrapText="1"/>
      <protection locked="0"/>
    </xf>
    <xf numFmtId="0" fontId="5" fillId="19" borderId="29" xfId="0" applyFont="1" applyFill="1" applyBorder="1" applyAlignment="1" applyProtection="1">
      <alignment horizontal="center" vertical="center" wrapText="1"/>
      <protection locked="0"/>
    </xf>
    <xf numFmtId="0" fontId="5" fillId="19" borderId="0" xfId="0" applyFont="1" applyFill="1" applyAlignment="1" applyProtection="1">
      <alignment horizontal="center" vertical="center" wrapText="1"/>
      <protection locked="0"/>
    </xf>
    <xf numFmtId="0" fontId="5" fillId="19" borderId="39" xfId="0" applyFont="1" applyFill="1" applyBorder="1" applyAlignment="1" applyProtection="1">
      <alignment horizontal="center" vertical="center" wrapText="1"/>
      <protection locked="0"/>
    </xf>
    <xf numFmtId="0" fontId="5" fillId="19" borderId="21" xfId="0" applyFont="1" applyFill="1" applyBorder="1" applyAlignment="1" applyProtection="1">
      <alignment horizontal="center" vertical="center" wrapText="1"/>
      <protection locked="0"/>
    </xf>
    <xf numFmtId="0" fontId="32" fillId="19" borderId="41" xfId="0" applyFont="1" applyFill="1" applyBorder="1" applyAlignment="1">
      <alignment horizontal="center" vertical="center"/>
    </xf>
    <xf numFmtId="14" fontId="4" fillId="0" borderId="19" xfId="1" applyNumberFormat="1" applyFont="1" applyBorder="1"/>
    <xf numFmtId="14" fontId="5" fillId="2" borderId="26" xfId="1" applyNumberFormat="1" applyFont="1" applyFill="1" applyBorder="1" applyAlignment="1" applyProtection="1">
      <alignment horizontal="center" vertical="center" wrapText="1"/>
      <protection locked="0"/>
    </xf>
    <xf numFmtId="0" fontId="35" fillId="0" borderId="64" xfId="0" applyFont="1" applyBorder="1"/>
    <xf numFmtId="0" fontId="4" fillId="5" borderId="1" xfId="0" applyFont="1" applyFill="1" applyBorder="1" applyAlignment="1">
      <alignment horizontal="center" vertical="center"/>
    </xf>
    <xf numFmtId="14" fontId="4" fillId="5" borderId="1" xfId="0" applyNumberFormat="1" applyFont="1" applyFill="1" applyBorder="1" applyAlignment="1">
      <alignment horizontal="center" vertical="center"/>
    </xf>
    <xf numFmtId="174" fontId="4" fillId="5" borderId="1" xfId="0" applyNumberFormat="1" applyFont="1" applyFill="1" applyBorder="1" applyAlignment="1">
      <alignment horizontal="center" vertical="center"/>
    </xf>
    <xf numFmtId="10" fontId="4" fillId="5" borderId="1" xfId="0" applyNumberFormat="1" applyFont="1" applyFill="1" applyBorder="1" applyAlignment="1">
      <alignment horizontal="center" vertical="center"/>
    </xf>
    <xf numFmtId="175" fontId="4" fillId="5" borderId="1" xfId="0" applyNumberFormat="1" applyFont="1" applyFill="1" applyBorder="1" applyAlignment="1">
      <alignment horizontal="center" vertical="center"/>
    </xf>
    <xf numFmtId="164" fontId="0" fillId="5" borderId="0" xfId="1" applyNumberFormat="1" applyFont="1" applyFill="1"/>
    <xf numFmtId="164" fontId="13" fillId="18" borderId="0" xfId="1" applyNumberFormat="1" applyFont="1" applyFill="1"/>
    <xf numFmtId="0" fontId="13" fillId="18" borderId="0" xfId="0" applyFont="1" applyFill="1" applyAlignment="1">
      <alignment horizontal="center"/>
    </xf>
    <xf numFmtId="0" fontId="37" fillId="0" borderId="0" xfId="0" applyFont="1"/>
    <xf numFmtId="0" fontId="37" fillId="0" borderId="0" xfId="0" applyFont="1" applyAlignment="1">
      <alignment vertical="center"/>
    </xf>
    <xf numFmtId="164" fontId="13" fillId="18" borderId="64" xfId="0" applyNumberFormat="1" applyFont="1" applyFill="1" applyBorder="1" applyAlignment="1">
      <alignment horizontal="center"/>
    </xf>
    <xf numFmtId="0" fontId="13" fillId="5" borderId="0" xfId="0" applyFont="1" applyFill="1" applyAlignment="1">
      <alignment horizontal="center"/>
    </xf>
    <xf numFmtId="0" fontId="0" fillId="20" borderId="0" xfId="0" applyFill="1"/>
    <xf numFmtId="0" fontId="36" fillId="19" borderId="1" xfId="0" applyFont="1" applyFill="1" applyBorder="1" applyAlignment="1">
      <alignment horizontal="center" vertical="center"/>
    </xf>
    <xf numFmtId="0" fontId="36" fillId="19" borderId="1" xfId="0" applyFont="1" applyFill="1" applyBorder="1" applyAlignment="1">
      <alignment horizontal="center"/>
    </xf>
    <xf numFmtId="0" fontId="0" fillId="21" borderId="0" xfId="0" applyFill="1"/>
    <xf numFmtId="0" fontId="27" fillId="2" borderId="0" xfId="0" applyFont="1" applyFill="1" applyAlignment="1" applyProtection="1">
      <alignment horizontal="center" vertical="center" wrapText="1"/>
      <protection locked="0"/>
    </xf>
    <xf numFmtId="9" fontId="0" fillId="5" borderId="0" xfId="2" applyFont="1" applyFill="1"/>
    <xf numFmtId="0" fontId="38" fillId="5" borderId="0" xfId="0" applyFont="1" applyFill="1" applyAlignment="1">
      <alignment horizontal="center" vertical="center"/>
    </xf>
    <xf numFmtId="0" fontId="27" fillId="5" borderId="0" xfId="0" applyFont="1" applyFill="1" applyAlignment="1" applyProtection="1">
      <alignment horizontal="center" vertical="center" wrapText="1"/>
      <protection locked="0"/>
    </xf>
    <xf numFmtId="164" fontId="13" fillId="5" borderId="0" xfId="1" applyNumberFormat="1" applyFont="1" applyFill="1" applyBorder="1"/>
    <xf numFmtId="0" fontId="0" fillId="2" borderId="0" xfId="0" applyFill="1"/>
    <xf numFmtId="0" fontId="27" fillId="2" borderId="68" xfId="0" applyFont="1" applyFill="1" applyBorder="1" applyAlignment="1" applyProtection="1">
      <alignment horizontal="center" vertical="center" wrapText="1"/>
      <protection locked="0"/>
    </xf>
    <xf numFmtId="0" fontId="0" fillId="0" borderId="68" xfId="0" applyBorder="1"/>
    <xf numFmtId="164" fontId="13" fillId="18" borderId="68" xfId="0" applyNumberFormat="1" applyFont="1" applyFill="1" applyBorder="1" applyAlignment="1">
      <alignment horizontal="center"/>
    </xf>
    <xf numFmtId="0" fontId="38" fillId="5" borderId="0" xfId="0" applyFont="1" applyFill="1" applyAlignment="1">
      <alignment vertical="center"/>
    </xf>
    <xf numFmtId="0" fontId="38" fillId="2" borderId="0" xfId="0" applyFont="1" applyFill="1" applyAlignment="1">
      <alignment vertical="center"/>
    </xf>
    <xf numFmtId="0" fontId="38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/>
    </xf>
    <xf numFmtId="164" fontId="0" fillId="2" borderId="0" xfId="0" applyNumberFormat="1" applyFill="1"/>
    <xf numFmtId="164" fontId="13" fillId="2" borderId="0" xfId="1" applyNumberFormat="1" applyFont="1" applyFill="1" applyBorder="1"/>
    <xf numFmtId="0" fontId="0" fillId="0" borderId="64" xfId="2" applyNumberFormat="1" applyFont="1" applyBorder="1"/>
    <xf numFmtId="0" fontId="39" fillId="5" borderId="0" xfId="0" applyFont="1" applyFill="1" applyAlignment="1">
      <alignment horizontal="left" indent="2"/>
    </xf>
    <xf numFmtId="0" fontId="2" fillId="5" borderId="0" xfId="0" applyFont="1" applyFill="1"/>
    <xf numFmtId="0" fontId="2" fillId="5" borderId="0" xfId="0" applyFont="1" applyFill="1" applyAlignment="1">
      <alignment horizontal="right" vertical="top" indent="1"/>
    </xf>
    <xf numFmtId="0" fontId="2" fillId="5" borderId="0" xfId="0" applyFont="1" applyFill="1" applyAlignment="1">
      <alignment horizontal="right" indent="1"/>
    </xf>
    <xf numFmtId="0" fontId="2" fillId="5" borderId="0" xfId="0" applyFont="1" applyFill="1" applyAlignment="1">
      <alignment horizontal="right" vertical="center" indent="1"/>
    </xf>
    <xf numFmtId="0" fontId="27" fillId="22" borderId="72" xfId="0" applyFont="1" applyFill="1" applyBorder="1" applyAlignment="1">
      <alignment vertical="center" wrapText="1"/>
    </xf>
    <xf numFmtId="0" fontId="27" fillId="22" borderId="75" xfId="0" applyFont="1" applyFill="1" applyBorder="1" applyAlignment="1">
      <alignment vertical="center" wrapText="1"/>
    </xf>
    <xf numFmtId="0" fontId="2" fillId="18" borderId="0" xfId="0" applyFont="1" applyFill="1" applyAlignment="1">
      <alignment horizontal="left" vertical="center" wrapText="1" indent="1"/>
    </xf>
    <xf numFmtId="0" fontId="2" fillId="18" borderId="76" xfId="0" applyFont="1" applyFill="1" applyBorder="1" applyAlignment="1">
      <alignment horizontal="left" vertical="center" wrapText="1" indent="1"/>
    </xf>
    <xf numFmtId="0" fontId="2" fillId="18" borderId="78" xfId="0" applyFont="1" applyFill="1" applyBorder="1" applyAlignment="1">
      <alignment horizontal="left" vertical="center" wrapText="1" indent="1"/>
    </xf>
    <xf numFmtId="0" fontId="2" fillId="18" borderId="79" xfId="0" applyFont="1" applyFill="1" applyBorder="1" applyAlignment="1">
      <alignment horizontal="left" vertical="center" wrapText="1" indent="1"/>
    </xf>
    <xf numFmtId="0" fontId="2" fillId="18" borderId="72" xfId="0" applyFont="1" applyFill="1" applyBorder="1" applyAlignment="1">
      <alignment horizontal="left" vertical="center" indent="1"/>
    </xf>
    <xf numFmtId="0" fontId="2" fillId="18" borderId="75" xfId="0" quotePrefix="1" applyFont="1" applyFill="1" applyBorder="1" applyAlignment="1">
      <alignment horizontal="left" vertical="center" indent="1"/>
    </xf>
    <xf numFmtId="0" fontId="2" fillId="18" borderId="77" xfId="0" quotePrefix="1" applyFont="1" applyFill="1" applyBorder="1" applyAlignment="1">
      <alignment horizontal="left" vertical="center" indent="1"/>
    </xf>
    <xf numFmtId="0" fontId="2" fillId="18" borderId="73" xfId="0" applyFont="1" applyFill="1" applyBorder="1" applyAlignment="1">
      <alignment horizontal="left" vertical="center" wrapText="1" indent="1"/>
    </xf>
    <xf numFmtId="0" fontId="2" fillId="18" borderId="74" xfId="0" applyFont="1" applyFill="1" applyBorder="1" applyAlignment="1">
      <alignment horizontal="left" vertical="center" wrapText="1" indent="1"/>
    </xf>
    <xf numFmtId="0" fontId="0" fillId="18" borderId="0" xfId="0" applyFill="1"/>
    <xf numFmtId="0" fontId="2" fillId="5" borderId="70" xfId="0" applyFont="1" applyFill="1" applyBorder="1" applyAlignment="1">
      <alignment horizontal="center" vertical="center"/>
    </xf>
    <xf numFmtId="0" fontId="41" fillId="5" borderId="81" xfId="0" applyFont="1" applyFill="1" applyBorder="1" applyAlignment="1">
      <alignment horizontal="center" vertical="center"/>
    </xf>
    <xf numFmtId="0" fontId="2" fillId="5" borderId="72" xfId="0" applyFont="1" applyFill="1" applyBorder="1" applyAlignment="1">
      <alignment horizontal="center" vertical="center"/>
    </xf>
    <xf numFmtId="0" fontId="2" fillId="23" borderId="1" xfId="2" quotePrefix="1" applyNumberFormat="1" applyFont="1" applyFill="1" applyBorder="1" applyAlignment="1">
      <alignment horizontal="right" vertical="center" wrapText="1" indent="1"/>
    </xf>
    <xf numFmtId="173" fontId="2" fillId="23" borderId="1" xfId="6" applyNumberFormat="1" applyFont="1" applyFill="1" applyBorder="1" applyAlignment="1">
      <alignment horizontal="left" vertical="center" wrapText="1" indent="1"/>
    </xf>
    <xf numFmtId="173" fontId="2" fillId="23" borderId="69" xfId="6" applyNumberFormat="1" applyFont="1" applyFill="1" applyBorder="1" applyAlignment="1">
      <alignment horizontal="left" vertical="center" wrapText="1" indent="1"/>
    </xf>
    <xf numFmtId="14" fontId="2" fillId="23" borderId="71" xfId="0" applyNumberFormat="1" applyFont="1" applyFill="1" applyBorder="1" applyAlignment="1">
      <alignment horizontal="left" vertical="center" wrapText="1" indent="1"/>
    </xf>
    <xf numFmtId="0" fontId="2" fillId="23" borderId="0" xfId="0" applyFont="1" applyFill="1" applyAlignment="1">
      <alignment horizontal="center" vertical="center"/>
    </xf>
    <xf numFmtId="0" fontId="2" fillId="23" borderId="78" xfId="0" applyFont="1" applyFill="1" applyBorder="1" applyAlignment="1">
      <alignment horizontal="center" vertical="center"/>
    </xf>
    <xf numFmtId="0" fontId="2" fillId="23" borderId="75" xfId="0" applyFont="1" applyFill="1" applyBorder="1" applyAlignment="1">
      <alignment horizontal="center" vertical="center"/>
    </xf>
    <xf numFmtId="0" fontId="2" fillId="23" borderId="77" xfId="0" applyFont="1" applyFill="1" applyBorder="1" applyAlignment="1">
      <alignment horizontal="center" vertical="center"/>
    </xf>
    <xf numFmtId="0" fontId="43" fillId="5" borderId="0" xfId="0" applyFont="1" applyFill="1"/>
    <xf numFmtId="0" fontId="45" fillId="5" borderId="87" xfId="0" applyFont="1" applyFill="1" applyBorder="1" applyAlignment="1">
      <alignment horizontal="justify" vertical="center" wrapText="1"/>
    </xf>
    <xf numFmtId="0" fontId="45" fillId="5" borderId="88" xfId="0" applyFont="1" applyFill="1" applyBorder="1" applyAlignment="1">
      <alignment vertical="center" wrapText="1"/>
    </xf>
    <xf numFmtId="0" fontId="45" fillId="5" borderId="88" xfId="0" applyFont="1" applyFill="1" applyBorder="1" applyAlignment="1">
      <alignment horizontal="center" vertical="center" wrapText="1"/>
    </xf>
    <xf numFmtId="1" fontId="45" fillId="5" borderId="87" xfId="0" applyNumberFormat="1" applyFont="1" applyFill="1" applyBorder="1" applyAlignment="1">
      <alignment horizontal="justify" vertical="center" wrapText="1"/>
    </xf>
    <xf numFmtId="173" fontId="45" fillId="5" borderId="87" xfId="6" applyNumberFormat="1" applyFont="1" applyFill="1" applyBorder="1" applyAlignment="1">
      <alignment horizontal="justify" vertical="center" wrapText="1"/>
    </xf>
    <xf numFmtId="0" fontId="45" fillId="5" borderId="86" xfId="0" applyFont="1" applyFill="1" applyBorder="1" applyAlignment="1">
      <alignment vertical="center" wrapText="1"/>
    </xf>
    <xf numFmtId="0" fontId="45" fillId="5" borderId="86" xfId="0" applyFont="1" applyFill="1" applyBorder="1" applyAlignment="1">
      <alignment horizontal="center" vertical="center" wrapText="1"/>
    </xf>
    <xf numFmtId="0" fontId="45" fillId="18" borderId="87" xfId="0" applyFont="1" applyFill="1" applyBorder="1" applyAlignment="1">
      <alignment horizontal="justify" vertical="center" wrapText="1"/>
    </xf>
    <xf numFmtId="0" fontId="45" fillId="18" borderId="86" xfId="0" applyFont="1" applyFill="1" applyBorder="1" applyAlignment="1">
      <alignment horizontal="justify" vertical="center" wrapText="1"/>
    </xf>
    <xf numFmtId="0" fontId="43" fillId="18" borderId="0" xfId="0" applyFont="1" applyFill="1"/>
    <xf numFmtId="1" fontId="45" fillId="18" borderId="87" xfId="0" applyNumberFormat="1" applyFont="1" applyFill="1" applyBorder="1" applyAlignment="1">
      <alignment horizontal="justify" vertical="center" wrapText="1"/>
    </xf>
    <xf numFmtId="173" fontId="45" fillId="18" borderId="87" xfId="6" applyNumberFormat="1" applyFont="1" applyFill="1" applyBorder="1" applyAlignment="1">
      <alignment horizontal="justify" vertical="center" wrapText="1"/>
    </xf>
    <xf numFmtId="0" fontId="43" fillId="0" borderId="89" xfId="0" applyFont="1" applyBorder="1" applyAlignment="1">
      <alignment horizontal="justify" vertical="center" wrapText="1"/>
    </xf>
    <xf numFmtId="14" fontId="43" fillId="0" borderId="89" xfId="0" applyNumberFormat="1" applyFont="1" applyBorder="1" applyAlignment="1">
      <alignment horizontal="justify" vertical="center" wrapText="1"/>
    </xf>
    <xf numFmtId="44" fontId="43" fillId="0" borderId="89" xfId="6" applyFont="1" applyBorder="1" applyAlignment="1">
      <alignment horizontal="justify" vertical="center" wrapText="1"/>
    </xf>
    <xf numFmtId="0" fontId="43" fillId="0" borderId="89" xfId="6" applyNumberFormat="1" applyFont="1" applyBorder="1" applyAlignment="1">
      <alignment horizontal="justify" vertical="center" wrapText="1"/>
    </xf>
    <xf numFmtId="173" fontId="43" fillId="0" borderId="89" xfId="6" applyNumberFormat="1" applyFont="1" applyBorder="1" applyAlignment="1">
      <alignment horizontal="justify" vertical="center" wrapText="1"/>
    </xf>
    <xf numFmtId="0" fontId="44" fillId="22" borderId="87" xfId="0" applyFont="1" applyFill="1" applyBorder="1" applyAlignment="1">
      <alignment horizontal="center" vertical="center" wrapText="1"/>
    </xf>
    <xf numFmtId="0" fontId="43" fillId="18" borderId="0" xfId="0" applyFont="1" applyFill="1" applyAlignment="1">
      <alignment horizontal="center" vertical="center"/>
    </xf>
    <xf numFmtId="0" fontId="43" fillId="18" borderId="0" xfId="0" applyFont="1" applyFill="1" applyAlignment="1">
      <alignment horizontal="center"/>
    </xf>
    <xf numFmtId="0" fontId="47" fillId="0" borderId="89" xfId="0" applyFont="1" applyBorder="1" applyAlignment="1">
      <alignment horizontal="left" vertical="center" wrapText="1" indent="1"/>
    </xf>
    <xf numFmtId="0" fontId="48" fillId="0" borderId="90" xfId="0" applyFont="1" applyBorder="1" applyAlignment="1">
      <alignment vertical="center" wrapText="1"/>
    </xf>
    <xf numFmtId="0" fontId="49" fillId="0" borderId="89" xfId="0" applyFont="1" applyBorder="1" applyAlignment="1">
      <alignment horizontal="left" vertical="center" wrapText="1" indent="4"/>
    </xf>
    <xf numFmtId="0" fontId="51" fillId="0" borderId="89" xfId="0" applyFont="1" applyBorder="1" applyAlignment="1">
      <alignment horizontal="right" vertical="center" wrapText="1" indent="4"/>
    </xf>
    <xf numFmtId="0" fontId="52" fillId="0" borderId="90" xfId="0" applyFont="1" applyBorder="1" applyAlignment="1">
      <alignment horizontal="right" vertical="center" wrapText="1"/>
    </xf>
    <xf numFmtId="0" fontId="53" fillId="22" borderId="87" xfId="0" applyFont="1" applyFill="1" applyBorder="1" applyAlignment="1">
      <alignment horizontal="center" vertical="center" wrapText="1"/>
    </xf>
    <xf numFmtId="0" fontId="53" fillId="22" borderId="86" xfId="0" applyFont="1" applyFill="1" applyBorder="1" applyAlignment="1">
      <alignment horizontal="center" vertical="center" wrapText="1"/>
    </xf>
    <xf numFmtId="164" fontId="2" fillId="0" borderId="1" xfId="1" applyNumberFormat="1" applyFont="1" applyBorder="1"/>
    <xf numFmtId="0" fontId="27" fillId="22" borderId="1" xfId="0" applyFont="1" applyFill="1" applyBorder="1" applyAlignment="1">
      <alignment horizontal="center" vertical="center"/>
    </xf>
    <xf numFmtId="0" fontId="2" fillId="18" borderId="70" xfId="0" applyFont="1" applyFill="1" applyBorder="1"/>
    <xf numFmtId="0" fontId="57" fillId="18" borderId="70" xfId="0" applyFont="1" applyFill="1" applyBorder="1"/>
    <xf numFmtId="0" fontId="45" fillId="24" borderId="87" xfId="0" applyFont="1" applyFill="1" applyBorder="1" applyAlignment="1">
      <alignment horizontal="justify" vertical="center" wrapText="1"/>
    </xf>
    <xf numFmtId="9" fontId="43" fillId="6" borderId="89" xfId="2" applyFont="1" applyFill="1" applyBorder="1" applyAlignment="1">
      <alignment horizontal="justify" vertical="center" wrapText="1"/>
    </xf>
    <xf numFmtId="173" fontId="43" fillId="6" borderId="89" xfId="6" applyNumberFormat="1" applyFont="1" applyFill="1" applyBorder="1" applyAlignment="1">
      <alignment horizontal="justify" vertical="center" wrapText="1"/>
    </xf>
    <xf numFmtId="1" fontId="43" fillId="0" borderId="89" xfId="6" applyNumberFormat="1" applyFont="1" applyBorder="1" applyAlignment="1">
      <alignment horizontal="justify" vertical="center" wrapText="1"/>
    </xf>
    <xf numFmtId="0" fontId="58" fillId="0" borderId="89" xfId="0" applyFont="1" applyBorder="1" applyAlignment="1">
      <alignment horizontal="justify" vertical="center" wrapText="1"/>
    </xf>
    <xf numFmtId="0" fontId="58" fillId="25" borderId="89" xfId="0" applyFont="1" applyFill="1" applyBorder="1" applyAlignment="1">
      <alignment horizontal="justify" vertical="center" wrapText="1"/>
    </xf>
    <xf numFmtId="173" fontId="58" fillId="25" borderId="89" xfId="6" applyNumberFormat="1" applyFont="1" applyFill="1" applyBorder="1" applyAlignment="1">
      <alignment horizontal="justify" vertical="center" wrapText="1"/>
    </xf>
    <xf numFmtId="1" fontId="58" fillId="25" borderId="89" xfId="6" applyNumberFormat="1" applyFont="1" applyFill="1" applyBorder="1" applyAlignment="1">
      <alignment horizontal="justify" vertical="center" wrapText="1"/>
    </xf>
    <xf numFmtId="0" fontId="43" fillId="13" borderId="89" xfId="0" applyFont="1" applyFill="1" applyBorder="1" applyAlignment="1">
      <alignment horizontal="justify" vertical="center" wrapText="1"/>
    </xf>
    <xf numFmtId="0" fontId="43" fillId="18" borderId="89" xfId="0" applyFont="1" applyFill="1" applyBorder="1" applyAlignment="1">
      <alignment horizontal="justify" vertical="center" wrapText="1"/>
    </xf>
    <xf numFmtId="14" fontId="43" fillId="18" borderId="89" xfId="0" applyNumberFormat="1" applyFont="1" applyFill="1" applyBorder="1" applyAlignment="1">
      <alignment horizontal="justify" vertical="center" wrapText="1"/>
    </xf>
    <xf numFmtId="9" fontId="43" fillId="18" borderId="89" xfId="2" applyFont="1" applyFill="1" applyBorder="1" applyAlignment="1">
      <alignment horizontal="justify" vertical="center" wrapText="1"/>
    </xf>
    <xf numFmtId="173" fontId="43" fillId="18" borderId="89" xfId="6" applyNumberFormat="1" applyFont="1" applyFill="1" applyBorder="1" applyAlignment="1">
      <alignment horizontal="justify" vertical="center" wrapText="1"/>
    </xf>
    <xf numFmtId="1" fontId="43" fillId="18" borderId="89" xfId="6" applyNumberFormat="1" applyFont="1" applyFill="1" applyBorder="1" applyAlignment="1">
      <alignment horizontal="justify" vertical="center" wrapText="1"/>
    </xf>
    <xf numFmtId="0" fontId="43" fillId="26" borderId="89" xfId="0" applyFont="1" applyFill="1" applyBorder="1" applyAlignment="1">
      <alignment horizontal="justify" vertical="center" wrapText="1"/>
    </xf>
    <xf numFmtId="14" fontId="43" fillId="26" borderId="89" xfId="0" applyNumberFormat="1" applyFont="1" applyFill="1" applyBorder="1" applyAlignment="1">
      <alignment horizontal="justify" vertical="center" wrapText="1"/>
    </xf>
    <xf numFmtId="173" fontId="43" fillId="26" borderId="89" xfId="6" applyNumberFormat="1" applyFont="1" applyFill="1" applyBorder="1" applyAlignment="1">
      <alignment horizontal="justify" vertical="center" wrapText="1"/>
    </xf>
    <xf numFmtId="1" fontId="43" fillId="26" borderId="89" xfId="6" applyNumberFormat="1" applyFont="1" applyFill="1" applyBorder="1" applyAlignment="1">
      <alignment horizontal="justify" vertical="center" wrapText="1"/>
    </xf>
    <xf numFmtId="9" fontId="43" fillId="0" borderId="89" xfId="2" applyFont="1" applyBorder="1" applyAlignment="1">
      <alignment horizontal="justify" vertical="center" wrapText="1"/>
    </xf>
    <xf numFmtId="164" fontId="4" fillId="0" borderId="4" xfId="1" applyNumberFormat="1" applyFont="1" applyBorder="1" applyAlignment="1">
      <alignment horizontal="center"/>
    </xf>
    <xf numFmtId="0" fontId="45" fillId="24" borderId="86" xfId="0" applyFont="1" applyFill="1" applyBorder="1" applyAlignment="1">
      <alignment horizontal="center" vertical="center" wrapText="1"/>
    </xf>
    <xf numFmtId="0" fontId="59" fillId="0" borderId="0" xfId="0" applyFont="1"/>
    <xf numFmtId="0" fontId="45" fillId="24" borderId="87" xfId="0" applyFont="1" applyFill="1" applyBorder="1" applyAlignment="1">
      <alignment horizontal="center" vertical="center" wrapText="1"/>
    </xf>
    <xf numFmtId="0" fontId="58" fillId="0" borderId="89" xfId="0" applyFont="1" applyBorder="1" applyAlignment="1">
      <alignment vertical="center" wrapText="1"/>
    </xf>
    <xf numFmtId="173" fontId="58" fillId="0" borderId="89" xfId="6" applyNumberFormat="1" applyFont="1" applyBorder="1" applyAlignment="1">
      <alignment vertical="center" wrapText="1"/>
    </xf>
    <xf numFmtId="1" fontId="58" fillId="0" borderId="89" xfId="0" applyNumberFormat="1" applyFont="1" applyBorder="1" applyAlignment="1">
      <alignment vertical="center" wrapText="1"/>
    </xf>
    <xf numFmtId="0" fontId="43" fillId="0" borderId="90" xfId="0" applyFont="1" applyBorder="1" applyAlignment="1">
      <alignment vertical="center" wrapText="1"/>
    </xf>
    <xf numFmtId="1" fontId="43" fillId="0" borderId="90" xfId="0" applyNumberFormat="1" applyFont="1" applyBorder="1" applyAlignment="1">
      <alignment vertical="center" wrapText="1"/>
    </xf>
    <xf numFmtId="173" fontId="43" fillId="0" borderId="90" xfId="6" applyNumberFormat="1" applyFont="1" applyBorder="1" applyAlignment="1">
      <alignment vertical="center" wrapText="1"/>
    </xf>
    <xf numFmtId="0" fontId="58" fillId="0" borderId="84" xfId="0" applyFont="1" applyBorder="1" applyAlignment="1">
      <alignment horizontal="right" vertical="center" wrapText="1"/>
    </xf>
    <xf numFmtId="0" fontId="58" fillId="0" borderId="86" xfId="0" applyFont="1" applyBorder="1" applyAlignment="1">
      <alignment horizontal="right" vertical="center" wrapText="1"/>
    </xf>
    <xf numFmtId="0" fontId="0" fillId="5" borderId="0" xfId="0" applyFill="1" applyAlignment="1">
      <alignment horizontal="center"/>
    </xf>
    <xf numFmtId="0" fontId="59" fillId="5" borderId="0" xfId="0" applyFont="1" applyFill="1"/>
    <xf numFmtId="9" fontId="0" fillId="5" borderId="0" xfId="0" applyNumberFormat="1" applyFill="1"/>
    <xf numFmtId="0" fontId="43" fillId="18" borderId="0" xfId="0" applyFont="1" applyFill="1" applyAlignment="1">
      <alignment horizontal="right"/>
    </xf>
    <xf numFmtId="0" fontId="45" fillId="18" borderId="84" xfId="0" applyFont="1" applyFill="1" applyBorder="1" applyAlignment="1">
      <alignment horizontal="center" vertical="center" wrapText="1"/>
    </xf>
    <xf numFmtId="164" fontId="0" fillId="4" borderId="64" xfId="1" applyNumberFormat="1" applyFont="1" applyFill="1" applyBorder="1"/>
    <xf numFmtId="0" fontId="45" fillId="18" borderId="86" xfId="0" applyFont="1" applyFill="1" applyBorder="1" applyAlignment="1">
      <alignment vertical="center" wrapText="1"/>
    </xf>
    <xf numFmtId="0" fontId="45" fillId="5" borderId="87" xfId="0" applyFont="1" applyFill="1" applyBorder="1" applyAlignment="1">
      <alignment horizontal="left" vertical="center" wrapText="1"/>
    </xf>
    <xf numFmtId="1" fontId="45" fillId="5" borderId="87" xfId="0" applyNumberFormat="1" applyFont="1" applyFill="1" applyBorder="1" applyAlignment="1">
      <alignment horizontal="left" vertical="center" wrapText="1"/>
    </xf>
    <xf numFmtId="173" fontId="45" fillId="5" borderId="87" xfId="6" applyNumberFormat="1" applyFont="1" applyFill="1" applyBorder="1" applyAlignment="1">
      <alignment horizontal="left" vertical="center" wrapText="1"/>
    </xf>
    <xf numFmtId="0" fontId="45" fillId="5" borderId="0" xfId="0" applyFont="1" applyFill="1" applyAlignment="1">
      <alignment horizontal="justify" vertical="center" wrapText="1"/>
    </xf>
    <xf numFmtId="9" fontId="45" fillId="24" borderId="87" xfId="0" applyNumberFormat="1" applyFont="1" applyFill="1" applyBorder="1" applyAlignment="1">
      <alignment horizontal="justify" vertical="center" wrapText="1"/>
    </xf>
    <xf numFmtId="0" fontId="36" fillId="2" borderId="0" xfId="0" applyFont="1" applyFill="1" applyAlignment="1">
      <alignment horizontal="center"/>
    </xf>
    <xf numFmtId="0" fontId="36" fillId="27" borderId="0" xfId="0" applyFont="1" applyFill="1" applyAlignment="1">
      <alignment horizontal="center" vertical="center"/>
    </xf>
    <xf numFmtId="0" fontId="60" fillId="0" borderId="0" xfId="0" applyFont="1"/>
    <xf numFmtId="0" fontId="5" fillId="2" borderId="10" xfId="1" applyNumberFormat="1" applyFont="1" applyFill="1" applyBorder="1"/>
    <xf numFmtId="9" fontId="4" fillId="0" borderId="0" xfId="2" applyFont="1"/>
    <xf numFmtId="10" fontId="0" fillId="0" borderId="0" xfId="0" applyNumberFormat="1"/>
    <xf numFmtId="9" fontId="4" fillId="0" borderId="1" xfId="2" applyFont="1" applyBorder="1"/>
    <xf numFmtId="0" fontId="2" fillId="0" borderId="70" xfId="0" applyFont="1" applyBorder="1" applyAlignment="1">
      <alignment horizontal="center" vertical="center"/>
    </xf>
    <xf numFmtId="0" fontId="0" fillId="0" borderId="70" xfId="0" applyBorder="1"/>
    <xf numFmtId="0" fontId="1" fillId="2" borderId="69" xfId="0" applyFont="1" applyFill="1" applyBorder="1" applyAlignment="1">
      <alignment horizontal="centerContinuous"/>
    </xf>
    <xf numFmtId="0" fontId="1" fillId="2" borderId="91" xfId="0" applyFont="1" applyFill="1" applyBorder="1" applyAlignment="1">
      <alignment horizontal="center" vertical="center"/>
    </xf>
    <xf numFmtId="164" fontId="0" fillId="0" borderId="91" xfId="1" applyNumberFormat="1" applyFont="1" applyBorder="1"/>
    <xf numFmtId="164" fontId="1" fillId="4" borderId="91" xfId="1" applyNumberFormat="1" applyFont="1" applyFill="1" applyBorder="1" applyAlignment="1">
      <alignment horizontal="center" vertical="center"/>
    </xf>
    <xf numFmtId="0" fontId="11" fillId="0" borderId="92" xfId="0" applyFont="1" applyBorder="1" applyAlignment="1">
      <alignment horizontal="center" vertical="center"/>
    </xf>
    <xf numFmtId="0" fontId="11" fillId="0" borderId="92" xfId="0" applyFont="1" applyBorder="1" applyAlignment="1">
      <alignment horizontal="left" vertical="center" wrapText="1"/>
    </xf>
    <xf numFmtId="0" fontId="11" fillId="0" borderId="92" xfId="0" applyFont="1" applyBorder="1" applyAlignment="1">
      <alignment vertical="center"/>
    </xf>
    <xf numFmtId="171" fontId="11" fillId="0" borderId="92" xfId="5" applyNumberFormat="1" applyFont="1" applyBorder="1" applyAlignment="1">
      <alignment vertical="center"/>
    </xf>
    <xf numFmtId="167" fontId="15" fillId="10" borderId="55" xfId="5" applyFont="1" applyFill="1" applyBorder="1" applyAlignment="1" applyProtection="1">
      <alignment horizontal="center" vertical="center" wrapText="1"/>
      <protection locked="0"/>
    </xf>
    <xf numFmtId="171" fontId="11" fillId="0" borderId="92" xfId="5" applyNumberFormat="1" applyFont="1" applyBorder="1" applyAlignment="1">
      <alignment horizontal="right" vertical="center" wrapText="1"/>
    </xf>
    <xf numFmtId="0" fontId="0" fillId="16" borderId="92" xfId="0" applyFill="1" applyBorder="1" applyAlignment="1">
      <alignment horizontal="centerContinuous"/>
    </xf>
    <xf numFmtId="0" fontId="0" fillId="16" borderId="92" xfId="0" applyFill="1" applyBorder="1" applyAlignment="1">
      <alignment horizontal="center"/>
    </xf>
    <xf numFmtId="0" fontId="0" fillId="0" borderId="92" xfId="0" applyBorder="1"/>
    <xf numFmtId="43" fontId="0" fillId="0" borderId="92" xfId="1" applyFont="1" applyBorder="1"/>
    <xf numFmtId="0" fontId="0" fillId="3" borderId="92" xfId="0" applyFill="1" applyBorder="1"/>
    <xf numFmtId="43" fontId="0" fillId="0" borderId="0" xfId="1" applyFont="1" applyBorder="1"/>
    <xf numFmtId="0" fontId="15" fillId="5" borderId="92" xfId="0" applyFont="1" applyFill="1" applyBorder="1" applyAlignment="1" applyProtection="1">
      <alignment horizontal="center" vertical="center" wrapText="1"/>
      <protection locked="0"/>
    </xf>
    <xf numFmtId="164" fontId="0" fillId="0" borderId="92" xfId="0" applyNumberFormat="1" applyBorder="1"/>
    <xf numFmtId="0" fontId="5" fillId="2" borderId="93" xfId="0" applyFont="1" applyFill="1" applyBorder="1" applyAlignment="1" applyProtection="1">
      <alignment horizontal="center" vertical="center" wrapText="1"/>
      <protection locked="0"/>
    </xf>
    <xf numFmtId="0" fontId="5" fillId="2" borderId="94" xfId="0" applyFont="1" applyFill="1" applyBorder="1" applyAlignment="1" applyProtection="1">
      <alignment horizontal="center" vertical="center" wrapText="1"/>
      <protection locked="0"/>
    </xf>
    <xf numFmtId="176" fontId="0" fillId="0" borderId="92" xfId="1" applyNumberFormat="1" applyFont="1" applyBorder="1"/>
    <xf numFmtId="43" fontId="5" fillId="2" borderId="94" xfId="1" applyFont="1" applyFill="1" applyBorder="1" applyAlignment="1" applyProtection="1">
      <alignment horizontal="center" vertical="center" wrapText="1"/>
      <protection locked="0"/>
    </xf>
    <xf numFmtId="164" fontId="4" fillId="0" borderId="92" xfId="1" applyNumberFormat="1" applyFont="1" applyBorder="1"/>
    <xf numFmtId="0" fontId="62" fillId="0" borderId="0" xfId="0" applyFont="1"/>
    <xf numFmtId="0" fontId="0" fillId="3" borderId="0" xfId="0" applyFill="1"/>
    <xf numFmtId="0" fontId="13" fillId="3" borderId="0" xfId="0" applyFont="1" applyFill="1"/>
    <xf numFmtId="0" fontId="13" fillId="3" borderId="95" xfId="0" applyFont="1" applyFill="1" applyBorder="1"/>
    <xf numFmtId="164" fontId="0" fillId="3" borderId="0" xfId="1" applyNumberFormat="1" applyFont="1" applyFill="1"/>
    <xf numFmtId="0" fontId="0" fillId="28" borderId="0" xfId="0" applyFill="1"/>
    <xf numFmtId="0" fontId="0" fillId="0" borderId="1" xfId="0" applyBorder="1" applyAlignment="1">
      <alignment horizontal="left" vertical="center" wrapText="1"/>
    </xf>
    <xf numFmtId="0" fontId="18" fillId="5" borderId="1" xfId="5" applyNumberFormat="1" applyFont="1" applyFill="1" applyBorder="1" applyAlignment="1">
      <alignment vertical="center"/>
    </xf>
    <xf numFmtId="0" fontId="63" fillId="5" borderId="0" xfId="0" applyFont="1" applyFill="1"/>
    <xf numFmtId="0" fontId="13" fillId="29" borderId="0" xfId="0" applyFont="1" applyFill="1"/>
    <xf numFmtId="0" fontId="13" fillId="29" borderId="96" xfId="0" applyFont="1" applyFill="1" applyBorder="1"/>
    <xf numFmtId="0" fontId="0" fillId="0" borderId="0" xfId="0" applyAlignment="1">
      <alignment horizontal="left" vertical="center" indent="1"/>
    </xf>
    <xf numFmtId="164" fontId="4" fillId="0" borderId="98" xfId="1" applyNumberFormat="1" applyFont="1" applyBorder="1"/>
    <xf numFmtId="14" fontId="4" fillId="0" borderId="98" xfId="1" applyNumberFormat="1" applyFont="1" applyBorder="1"/>
    <xf numFmtId="164" fontId="4" fillId="3" borderId="98" xfId="1" applyNumberFormat="1" applyFont="1" applyFill="1" applyBorder="1"/>
    <xf numFmtId="164" fontId="0" fillId="6" borderId="0" xfId="0" applyNumberFormat="1" applyFill="1" applyProtection="1">
      <protection locked="0"/>
    </xf>
    <xf numFmtId="166" fontId="0" fillId="6" borderId="25" xfId="2" applyNumberFormat="1" applyFont="1" applyFill="1" applyBorder="1" applyProtection="1">
      <protection locked="0"/>
    </xf>
    <xf numFmtId="0" fontId="13" fillId="18" borderId="0" xfId="0" applyFont="1" applyFill="1"/>
    <xf numFmtId="0" fontId="64" fillId="0" borderId="0" xfId="0" applyFont="1"/>
    <xf numFmtId="164" fontId="4" fillId="0" borderId="4" xfId="1" applyNumberFormat="1" applyFont="1" applyBorder="1" applyAlignment="1"/>
    <xf numFmtId="164" fontId="4" fillId="0" borderId="0" xfId="0" applyNumberFormat="1" applyFont="1"/>
    <xf numFmtId="173" fontId="0" fillId="0" borderId="0" xfId="6" applyNumberFormat="1" applyFont="1"/>
    <xf numFmtId="173" fontId="0" fillId="4" borderId="0" xfId="6" applyNumberFormat="1" applyFont="1" applyFill="1"/>
    <xf numFmtId="10" fontId="4" fillId="0" borderId="0" xfId="2" applyNumberFormat="1" applyFont="1"/>
    <xf numFmtId="1" fontId="37" fillId="0" borderId="0" xfId="0" applyNumberFormat="1" applyFont="1"/>
    <xf numFmtId="164" fontId="37" fillId="0" borderId="0" xfId="1" applyNumberFormat="1" applyFont="1"/>
    <xf numFmtId="0" fontId="0" fillId="30" borderId="1" xfId="0" applyFill="1" applyBorder="1" applyAlignment="1">
      <alignment vertical="center"/>
    </xf>
    <xf numFmtId="0" fontId="0" fillId="4" borderId="1" xfId="0" applyFill="1" applyBorder="1"/>
    <xf numFmtId="0" fontId="0" fillId="4" borderId="1" xfId="0" applyFill="1" applyBorder="1" applyAlignment="1">
      <alignment vertical="center"/>
    </xf>
    <xf numFmtId="0" fontId="65" fillId="31" borderId="1" xfId="0" applyFont="1" applyFill="1" applyBorder="1" applyAlignment="1">
      <alignment horizontal="left" vertical="center" wrapText="1" indent="1"/>
    </xf>
    <xf numFmtId="0" fontId="66" fillId="31" borderId="70" xfId="0" applyFont="1" applyFill="1" applyBorder="1" applyAlignment="1">
      <alignment horizontal="left" vertical="center" wrapText="1" indent="1"/>
    </xf>
    <xf numFmtId="0" fontId="66" fillId="31" borderId="99" xfId="0" applyFont="1" applyFill="1" applyBorder="1" applyAlignment="1">
      <alignment horizontal="left" vertical="center" wrapText="1" indent="1"/>
    </xf>
    <xf numFmtId="0" fontId="66" fillId="31" borderId="100" xfId="0" applyFont="1" applyFill="1" applyBorder="1" applyAlignment="1">
      <alignment horizontal="left" vertical="center" wrapText="1" indent="1"/>
    </xf>
    <xf numFmtId="0" fontId="66" fillId="31" borderId="1" xfId="0" applyFont="1" applyFill="1" applyBorder="1" applyAlignment="1">
      <alignment horizontal="left" vertical="center" wrapText="1" indent="1"/>
    </xf>
    <xf numFmtId="0" fontId="66" fillId="32" borderId="1" xfId="0" applyFont="1" applyFill="1" applyBorder="1" applyAlignment="1">
      <alignment horizontal="left" vertical="center" wrapText="1" indent="1"/>
    </xf>
    <xf numFmtId="0" fontId="66" fillId="33" borderId="1" xfId="0" applyFont="1" applyFill="1" applyBorder="1" applyAlignment="1">
      <alignment horizontal="left" vertical="center" wrapText="1" indent="1"/>
    </xf>
    <xf numFmtId="0" fontId="67" fillId="0" borderId="1" xfId="0" applyFont="1" applyBorder="1" applyAlignment="1">
      <alignment horizontal="left" vertical="center"/>
    </xf>
    <xf numFmtId="0" fontId="67" fillId="0" borderId="1" xfId="0" applyFont="1" applyBorder="1" applyAlignment="1">
      <alignment horizontal="left" vertical="center" indent="1"/>
    </xf>
    <xf numFmtId="0" fontId="67" fillId="0" borderId="71" xfId="0" applyFont="1" applyBorder="1" applyAlignment="1">
      <alignment horizontal="left" vertical="center" indent="1"/>
    </xf>
    <xf numFmtId="0" fontId="56" fillId="0" borderId="1" xfId="0" applyFont="1" applyBorder="1" applyAlignment="1">
      <alignment horizontal="left" vertical="center"/>
    </xf>
    <xf numFmtId="0" fontId="67" fillId="0" borderId="0" xfId="0" applyFont="1" applyAlignment="1">
      <alignment horizontal="left" vertical="center"/>
    </xf>
    <xf numFmtId="0" fontId="67" fillId="0" borderId="0" xfId="0" applyFont="1" applyAlignment="1">
      <alignment horizontal="left" vertical="center" indent="1"/>
    </xf>
    <xf numFmtId="0" fontId="67" fillId="0" borderId="60" xfId="0" applyFont="1" applyBorder="1" applyAlignment="1">
      <alignment horizontal="left" vertical="center" indent="1"/>
    </xf>
    <xf numFmtId="0" fontId="56" fillId="0" borderId="0" xfId="0" applyFont="1" applyAlignment="1">
      <alignment horizontal="left" vertical="center"/>
    </xf>
    <xf numFmtId="0" fontId="68" fillId="0" borderId="0" xfId="0" applyFont="1" applyAlignment="1">
      <alignment horizontal="left" vertical="center" indent="1"/>
    </xf>
    <xf numFmtId="0" fontId="69" fillId="0" borderId="60" xfId="0" applyFont="1" applyBorder="1" applyAlignment="1">
      <alignment horizontal="left" vertical="center" indent="1"/>
    </xf>
    <xf numFmtId="0" fontId="69" fillId="0" borderId="0" xfId="0" applyFont="1" applyAlignment="1">
      <alignment horizontal="left" vertical="center" indent="1"/>
    </xf>
    <xf numFmtId="0" fontId="69" fillId="0" borderId="1" xfId="0" applyFont="1" applyBorder="1" applyAlignment="1">
      <alignment horizontal="left" vertical="center" indent="1"/>
    </xf>
    <xf numFmtId="0" fontId="67" fillId="0" borderId="1" xfId="0" applyFont="1" applyBorder="1"/>
    <xf numFmtId="0" fontId="69" fillId="34" borderId="0" xfId="0" applyFont="1" applyFill="1" applyAlignment="1">
      <alignment horizontal="left" vertical="center" indent="1"/>
    </xf>
    <xf numFmtId="0" fontId="67" fillId="35" borderId="1" xfId="0" applyFont="1" applyFill="1" applyBorder="1" applyAlignment="1">
      <alignment horizontal="left" vertical="center" indent="1"/>
    </xf>
    <xf numFmtId="0" fontId="69" fillId="36" borderId="0" xfId="0" applyFont="1" applyFill="1" applyAlignment="1">
      <alignment horizontal="left" vertical="center" indent="1"/>
    </xf>
    <xf numFmtId="0" fontId="67" fillId="0" borderId="0" xfId="0" applyFont="1"/>
    <xf numFmtId="0" fontId="56" fillId="0" borderId="0" xfId="0" applyFont="1" applyAlignment="1">
      <alignment horizontal="left" vertical="center" indent="1"/>
    </xf>
    <xf numFmtId="0" fontId="67" fillId="37" borderId="0" xfId="0" applyFont="1" applyFill="1" applyAlignment="1">
      <alignment horizontal="left" vertical="center" indent="1"/>
    </xf>
    <xf numFmtId="0" fontId="67" fillId="38" borderId="0" xfId="0" applyFont="1" applyFill="1" applyAlignment="1">
      <alignment horizontal="left" vertical="center" indent="1"/>
    </xf>
    <xf numFmtId="0" fontId="13" fillId="0" borderId="1" xfId="0" applyFont="1" applyBorder="1" applyAlignment="1">
      <alignment horizontal="left" vertical="center" indent="1"/>
    </xf>
    <xf numFmtId="0" fontId="0" fillId="39" borderId="1" xfId="0" applyFill="1" applyBorder="1" applyAlignment="1">
      <alignment vertical="center"/>
    </xf>
    <xf numFmtId="0" fontId="0" fillId="30" borderId="1" xfId="0" applyFill="1" applyBorder="1"/>
    <xf numFmtId="0" fontId="13" fillId="0" borderId="1" xfId="0" applyFont="1" applyBorder="1" applyAlignment="1">
      <alignment vertical="center"/>
    </xf>
    <xf numFmtId="0" fontId="13" fillId="30" borderId="1" xfId="0" applyFont="1" applyFill="1" applyBorder="1"/>
    <xf numFmtId="0" fontId="13" fillId="4" borderId="1" xfId="0" applyFont="1" applyFill="1" applyBorder="1" applyAlignment="1">
      <alignment vertical="center"/>
    </xf>
    <xf numFmtId="0" fontId="0" fillId="39" borderId="1" xfId="0" applyFill="1" applyBorder="1"/>
    <xf numFmtId="164" fontId="13" fillId="29" borderId="97" xfId="1" applyNumberFormat="1" applyFont="1" applyFill="1" applyBorder="1"/>
    <xf numFmtId="14" fontId="16" fillId="0" borderId="41" xfId="5" applyNumberFormat="1" applyFont="1" applyFill="1" applyBorder="1" applyAlignment="1" applyProtection="1">
      <alignment horizontal="center" vertical="center" wrapText="1"/>
      <protection locked="0"/>
    </xf>
    <xf numFmtId="164" fontId="70" fillId="2" borderId="0" xfId="0" applyNumberFormat="1" applyFont="1" applyFill="1" applyAlignment="1">
      <alignment horizontal="center"/>
    </xf>
    <xf numFmtId="164" fontId="1" fillId="21" borderId="91" xfId="1" applyNumberFormat="1" applyFont="1" applyFill="1" applyBorder="1" applyAlignment="1">
      <alignment horizontal="center" vertical="center"/>
    </xf>
    <xf numFmtId="0" fontId="63" fillId="0" borderId="1" xfId="0" applyFont="1" applyBorder="1" applyAlignment="1">
      <alignment horizontal="left" vertical="center" indent="1"/>
    </xf>
    <xf numFmtId="0" fontId="63" fillId="0" borderId="0" xfId="0" applyFont="1"/>
    <xf numFmtId="164" fontId="4" fillId="18" borderId="4" xfId="1" applyNumberFormat="1" applyFont="1" applyFill="1" applyBorder="1"/>
    <xf numFmtId="164" fontId="4" fillId="0" borderId="0" xfId="1" applyNumberFormat="1" applyFont="1" applyBorder="1"/>
    <xf numFmtId="1" fontId="67" fillId="0" borderId="1" xfId="0" applyNumberFormat="1" applyFont="1" applyBorder="1" applyAlignment="1">
      <alignment horizontal="left" vertical="center" indent="1"/>
    </xf>
    <xf numFmtId="0" fontId="0" fillId="0" borderId="1" xfId="0" applyBorder="1" applyAlignment="1">
      <alignment horizontal="left" vertical="center" wrapText="1"/>
    </xf>
    <xf numFmtId="0" fontId="17" fillId="11" borderId="43" xfId="4" applyFont="1" applyFill="1" applyBorder="1" applyAlignment="1">
      <alignment horizontal="center" vertical="center"/>
    </xf>
    <xf numFmtId="0" fontId="17" fillId="11" borderId="0" xfId="4" applyFont="1" applyFill="1" applyAlignment="1">
      <alignment horizontal="center" vertical="center"/>
    </xf>
    <xf numFmtId="0" fontId="17" fillId="11" borderId="1" xfId="4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1" xfId="0" applyFont="1" applyBorder="1" applyAlignment="1">
      <alignment horizontal="left" vertical="center"/>
    </xf>
    <xf numFmtId="0" fontId="1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17" fillId="11" borderId="1" xfId="4" applyFont="1" applyFill="1" applyBorder="1" applyAlignment="1">
      <alignment horizontal="left" vertical="center"/>
    </xf>
    <xf numFmtId="164" fontId="5" fillId="2" borderId="52" xfId="1" applyNumberFormat="1" applyFont="1" applyFill="1" applyBorder="1" applyAlignment="1">
      <alignment horizontal="center" vertical="center"/>
    </xf>
    <xf numFmtId="164" fontId="5" fillId="2" borderId="53" xfId="1" applyNumberFormat="1" applyFont="1" applyFill="1" applyBorder="1" applyAlignment="1">
      <alignment horizontal="center" vertical="center"/>
    </xf>
    <xf numFmtId="164" fontId="5" fillId="2" borderId="54" xfId="1" applyNumberFormat="1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/>
    </xf>
    <xf numFmtId="3" fontId="11" fillId="0" borderId="1" xfId="0" applyNumberFormat="1" applyFont="1" applyBorder="1" applyAlignment="1">
      <alignment horizontal="center"/>
    </xf>
    <xf numFmtId="14" fontId="11" fillId="0" borderId="1" xfId="0" applyNumberFormat="1" applyFont="1" applyBorder="1" applyAlignment="1">
      <alignment horizontal="center"/>
    </xf>
    <xf numFmtId="0" fontId="0" fillId="0" borderId="0" xfId="0" applyAlignment="1">
      <alignment horizontal="right" indent="1"/>
    </xf>
    <xf numFmtId="0" fontId="1" fillId="2" borderId="1" xfId="0" applyFont="1" applyFill="1" applyBorder="1" applyAlignment="1">
      <alignment horizontal="center" vertical="center"/>
    </xf>
    <xf numFmtId="164" fontId="5" fillId="2" borderId="62" xfId="1" applyNumberFormat="1" applyFont="1" applyFill="1" applyBorder="1" applyAlignment="1">
      <alignment vertical="center"/>
    </xf>
    <xf numFmtId="164" fontId="5" fillId="2" borderId="26" xfId="1" applyNumberFormat="1" applyFont="1" applyFill="1" applyBorder="1" applyAlignment="1">
      <alignment vertical="center"/>
    </xf>
    <xf numFmtId="164" fontId="5" fillId="2" borderId="27" xfId="1" applyNumberFormat="1" applyFont="1" applyFill="1" applyBorder="1" applyAlignment="1">
      <alignment vertical="center"/>
    </xf>
    <xf numFmtId="0" fontId="32" fillId="19" borderId="67" xfId="0" applyFont="1" applyFill="1" applyBorder="1" applyAlignment="1" applyProtection="1">
      <alignment horizontal="center" vertical="center"/>
      <protection locked="0"/>
    </xf>
    <xf numFmtId="0" fontId="32" fillId="19" borderId="0" xfId="0" applyFont="1" applyFill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9" fontId="4" fillId="0" borderId="1" xfId="2" applyFont="1" applyBorder="1" applyAlignment="1" applyProtection="1">
      <alignment horizontal="center" vertical="center" wrapText="1"/>
      <protection locked="0"/>
    </xf>
    <xf numFmtId="0" fontId="4" fillId="0" borderId="1" xfId="0" applyFont="1" applyBorder="1" applyAlignment="1" applyProtection="1">
      <alignment horizontal="center" wrapText="1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13" fillId="8" borderId="0" xfId="0" applyFont="1" applyFill="1" applyAlignment="1">
      <alignment horizontal="center"/>
    </xf>
    <xf numFmtId="43" fontId="5" fillId="2" borderId="94" xfId="1" applyFont="1" applyFill="1" applyBorder="1" applyAlignment="1" applyProtection="1">
      <alignment horizontal="left" vertical="center" wrapText="1"/>
      <protection locked="0"/>
    </xf>
    <xf numFmtId="0" fontId="13" fillId="5" borderId="65" xfId="0" applyFont="1" applyFill="1" applyBorder="1" applyAlignment="1">
      <alignment horizontal="center"/>
    </xf>
    <xf numFmtId="0" fontId="38" fillId="5" borderId="0" xfId="0" applyFont="1" applyFill="1" applyAlignment="1">
      <alignment horizontal="center" vertical="center"/>
    </xf>
    <xf numFmtId="0" fontId="38" fillId="5" borderId="0" xfId="0" applyFont="1" applyFill="1" applyAlignment="1">
      <alignment horizontal="center"/>
    </xf>
    <xf numFmtId="0" fontId="13" fillId="5" borderId="0" xfId="0" applyFont="1" applyFill="1" applyAlignment="1">
      <alignment horizontal="center"/>
    </xf>
    <xf numFmtId="0" fontId="61" fillId="22" borderId="0" xfId="7" applyFont="1" applyFill="1" applyAlignment="1">
      <alignment horizontal="center"/>
    </xf>
    <xf numFmtId="0" fontId="60" fillId="22" borderId="0" xfId="0" applyFont="1" applyFill="1" applyAlignment="1">
      <alignment horizontal="center"/>
    </xf>
    <xf numFmtId="14" fontId="27" fillId="22" borderId="73" xfId="0" applyNumberFormat="1" applyFont="1" applyFill="1" applyBorder="1" applyAlignment="1">
      <alignment horizontal="left" vertical="center" wrapText="1"/>
    </xf>
    <xf numFmtId="14" fontId="27" fillId="22" borderId="74" xfId="0" applyNumberFormat="1" applyFont="1" applyFill="1" applyBorder="1" applyAlignment="1">
      <alignment horizontal="left" vertical="center" wrapText="1"/>
    </xf>
    <xf numFmtId="0" fontId="42" fillId="5" borderId="83" xfId="0" applyFont="1" applyFill="1" applyBorder="1" applyAlignment="1">
      <alignment horizontal="center" vertical="center"/>
    </xf>
    <xf numFmtId="0" fontId="2" fillId="18" borderId="70" xfId="0" applyFont="1" applyFill="1" applyBorder="1" applyAlignment="1">
      <alignment horizontal="right" vertical="center" wrapText="1"/>
    </xf>
    <xf numFmtId="0" fontId="2" fillId="18" borderId="63" xfId="0" applyFont="1" applyFill="1" applyBorder="1" applyAlignment="1">
      <alignment horizontal="right" vertical="center" wrapText="1"/>
    </xf>
    <xf numFmtId="0" fontId="27" fillId="22" borderId="75" xfId="0" applyFont="1" applyFill="1" applyBorder="1" applyAlignment="1">
      <alignment horizontal="left" vertical="center" wrapText="1"/>
    </xf>
    <xf numFmtId="0" fontId="27" fillId="22" borderId="0" xfId="0" applyFont="1" applyFill="1" applyAlignment="1">
      <alignment horizontal="left" vertical="center" wrapText="1"/>
    </xf>
    <xf numFmtId="0" fontId="27" fillId="22" borderId="76" xfId="0" applyFont="1" applyFill="1" applyBorder="1" applyAlignment="1">
      <alignment horizontal="left" vertical="center" wrapText="1"/>
    </xf>
    <xf numFmtId="0" fontId="2" fillId="18" borderId="59" xfId="0" applyFont="1" applyFill="1" applyBorder="1" applyAlignment="1">
      <alignment horizontal="right" vertical="center" wrapText="1"/>
    </xf>
    <xf numFmtId="0" fontId="2" fillId="18" borderId="61" xfId="0" applyFont="1" applyFill="1" applyBorder="1" applyAlignment="1">
      <alignment horizontal="right" vertical="center" wrapText="1"/>
    </xf>
    <xf numFmtId="0" fontId="27" fillId="22" borderId="1" xfId="0" applyFont="1" applyFill="1" applyBorder="1" applyAlignment="1">
      <alignment horizontal="left" vertical="center" wrapText="1" indent="1"/>
    </xf>
    <xf numFmtId="0" fontId="41" fillId="5" borderId="56" xfId="0" applyFont="1" applyFill="1" applyBorder="1" applyAlignment="1">
      <alignment horizontal="center" vertical="center"/>
    </xf>
    <xf numFmtId="0" fontId="41" fillId="5" borderId="43" xfId="0" applyFont="1" applyFill="1" applyBorder="1" applyAlignment="1">
      <alignment horizontal="center" vertical="center"/>
    </xf>
    <xf numFmtId="0" fontId="41" fillId="5" borderId="59" xfId="0" applyFont="1" applyFill="1" applyBorder="1" applyAlignment="1">
      <alignment horizontal="center" vertical="center"/>
    </xf>
    <xf numFmtId="0" fontId="2" fillId="18" borderId="56" xfId="0" applyFont="1" applyFill="1" applyBorder="1" applyAlignment="1">
      <alignment horizontal="right" vertical="center" wrapText="1"/>
    </xf>
    <xf numFmtId="0" fontId="2" fillId="18" borderId="58" xfId="0" applyFont="1" applyFill="1" applyBorder="1" applyAlignment="1">
      <alignment horizontal="right" vertical="center" wrapText="1"/>
    </xf>
    <xf numFmtId="14" fontId="27" fillId="22" borderId="0" xfId="0" applyNumberFormat="1" applyFont="1" applyFill="1" applyAlignment="1">
      <alignment horizontal="left" vertical="center" wrapText="1"/>
    </xf>
    <xf numFmtId="0" fontId="2" fillId="5" borderId="57" xfId="0" applyFont="1" applyFill="1" applyBorder="1" applyAlignment="1">
      <alignment horizontal="center" vertical="center"/>
    </xf>
    <xf numFmtId="0" fontId="2" fillId="5" borderId="60" xfId="0" applyFont="1" applyFill="1" applyBorder="1" applyAlignment="1">
      <alignment horizontal="center" vertical="center"/>
    </xf>
    <xf numFmtId="0" fontId="27" fillId="22" borderId="77" xfId="0" applyFont="1" applyFill="1" applyBorder="1" applyAlignment="1">
      <alignment horizontal="left" vertical="center" wrapText="1"/>
    </xf>
    <xf numFmtId="0" fontId="27" fillId="22" borderId="78" xfId="0" applyFont="1" applyFill="1" applyBorder="1" applyAlignment="1">
      <alignment horizontal="left" vertical="center" wrapText="1"/>
    </xf>
    <xf numFmtId="0" fontId="27" fillId="22" borderId="79" xfId="0" applyFont="1" applyFill="1" applyBorder="1" applyAlignment="1">
      <alignment horizontal="left" vertical="center" wrapText="1"/>
    </xf>
    <xf numFmtId="0" fontId="27" fillId="22" borderId="69" xfId="0" applyFont="1" applyFill="1" applyBorder="1" applyAlignment="1">
      <alignment horizontal="left" vertical="center" wrapText="1" indent="1"/>
    </xf>
    <xf numFmtId="0" fontId="41" fillId="5" borderId="70" xfId="0" applyFont="1" applyFill="1" applyBorder="1" applyAlignment="1">
      <alignment horizontal="center" vertical="center"/>
    </xf>
    <xf numFmtId="0" fontId="27" fillId="22" borderId="80" xfId="0" applyFont="1" applyFill="1" applyBorder="1" applyAlignment="1">
      <alignment horizontal="left" vertical="center" wrapText="1" indent="1"/>
    </xf>
    <xf numFmtId="0" fontId="27" fillId="22" borderId="81" xfId="0" applyFont="1" applyFill="1" applyBorder="1" applyAlignment="1">
      <alignment horizontal="left" vertical="center" wrapText="1" indent="1"/>
    </xf>
    <xf numFmtId="0" fontId="27" fillId="22" borderId="82" xfId="0" applyFont="1" applyFill="1" applyBorder="1" applyAlignment="1">
      <alignment horizontal="left" vertical="center" wrapText="1" indent="1"/>
    </xf>
    <xf numFmtId="0" fontId="2" fillId="18" borderId="75" xfId="0" applyFont="1" applyFill="1" applyBorder="1" applyAlignment="1">
      <alignment horizontal="left" vertical="center" wrapText="1" indent="1"/>
    </xf>
    <xf numFmtId="0" fontId="2" fillId="18" borderId="0" xfId="0" applyFont="1" applyFill="1" applyAlignment="1">
      <alignment horizontal="left" vertical="center" wrapText="1" indent="1"/>
    </xf>
    <xf numFmtId="0" fontId="2" fillId="18" borderId="76" xfId="0" applyFont="1" applyFill="1" applyBorder="1" applyAlignment="1">
      <alignment horizontal="left" vertical="center" wrapText="1" indent="1"/>
    </xf>
    <xf numFmtId="0" fontId="45" fillId="18" borderId="84" xfId="0" applyFont="1" applyFill="1" applyBorder="1" applyAlignment="1">
      <alignment horizontal="center" vertical="center" wrapText="1"/>
    </xf>
    <xf numFmtId="0" fontId="45" fillId="18" borderId="86" xfId="0" applyFont="1" applyFill="1" applyBorder="1" applyAlignment="1">
      <alignment horizontal="center" vertical="center" wrapText="1"/>
    </xf>
    <xf numFmtId="0" fontId="58" fillId="25" borderId="84" xfId="0" applyFont="1" applyFill="1" applyBorder="1" applyAlignment="1">
      <alignment horizontal="center" vertical="center" wrapText="1"/>
    </xf>
    <xf numFmtId="0" fontId="58" fillId="25" borderId="85" xfId="0" applyFont="1" applyFill="1" applyBorder="1" applyAlignment="1">
      <alignment horizontal="center" vertical="center" wrapText="1"/>
    </xf>
    <xf numFmtId="0" fontId="58" fillId="25" borderId="86" xfId="0" applyFont="1" applyFill="1" applyBorder="1" applyAlignment="1">
      <alignment horizontal="center" vertical="center" wrapText="1"/>
    </xf>
    <xf numFmtId="0" fontId="2" fillId="18" borderId="77" xfId="0" applyFont="1" applyFill="1" applyBorder="1" applyAlignment="1">
      <alignment horizontal="left" vertical="center" wrapText="1" indent="1"/>
    </xf>
    <xf numFmtId="0" fontId="2" fillId="18" borderId="78" xfId="0" applyFont="1" applyFill="1" applyBorder="1" applyAlignment="1">
      <alignment horizontal="left" vertical="center" wrapText="1" indent="1"/>
    </xf>
    <xf numFmtId="0" fontId="2" fillId="18" borderId="79" xfId="0" applyFont="1" applyFill="1" applyBorder="1" applyAlignment="1">
      <alignment horizontal="left" vertical="center" wrapText="1" indent="1"/>
    </xf>
    <xf numFmtId="0" fontId="27" fillId="22" borderId="75" xfId="0" applyFont="1" applyFill="1" applyBorder="1" applyAlignment="1">
      <alignment horizontal="left" vertical="center" wrapText="1" indent="1"/>
    </xf>
    <xf numFmtId="0" fontId="27" fillId="22" borderId="0" xfId="0" applyFont="1" applyFill="1" applyAlignment="1">
      <alignment horizontal="left" vertical="center" wrapText="1" indent="1"/>
    </xf>
    <xf numFmtId="0" fontId="27" fillId="22" borderId="76" xfId="0" applyFont="1" applyFill="1" applyBorder="1" applyAlignment="1">
      <alignment horizontal="left" vertical="center" wrapText="1" indent="1"/>
    </xf>
    <xf numFmtId="0" fontId="27" fillId="22" borderId="77" xfId="0" applyFont="1" applyFill="1" applyBorder="1" applyAlignment="1">
      <alignment horizontal="left" vertical="center" wrapText="1" indent="1"/>
    </xf>
    <xf numFmtId="0" fontId="27" fillId="22" borderId="78" xfId="0" applyFont="1" applyFill="1" applyBorder="1" applyAlignment="1">
      <alignment horizontal="left" vertical="center" wrapText="1" indent="1"/>
    </xf>
    <xf numFmtId="0" fontId="27" fillId="22" borderId="79" xfId="0" applyFont="1" applyFill="1" applyBorder="1" applyAlignment="1">
      <alignment horizontal="left" vertical="center" wrapText="1" indent="1"/>
    </xf>
    <xf numFmtId="0" fontId="41" fillId="5" borderId="75" xfId="0" applyFont="1" applyFill="1" applyBorder="1" applyAlignment="1">
      <alignment horizontal="center" vertical="center"/>
    </xf>
    <xf numFmtId="0" fontId="41" fillId="5" borderId="77" xfId="0" applyFont="1" applyFill="1" applyBorder="1" applyAlignment="1">
      <alignment horizontal="center" vertical="center"/>
    </xf>
    <xf numFmtId="0" fontId="46" fillId="22" borderId="84" xfId="0" applyFont="1" applyFill="1" applyBorder="1" applyAlignment="1">
      <alignment horizontal="center" vertical="center" wrapText="1"/>
    </xf>
    <xf numFmtId="0" fontId="46" fillId="22" borderId="85" xfId="0" applyFont="1" applyFill="1" applyBorder="1" applyAlignment="1">
      <alignment horizontal="center" vertical="center" wrapText="1"/>
    </xf>
  </cellXfs>
  <cellStyles count="8">
    <cellStyle name="20 % - Accent1" xfId="3" builtinId="30"/>
    <cellStyle name="Milliers" xfId="1" builtinId="3"/>
    <cellStyle name="Milliers 2" xfId="5" xr:uid="{D08DB033-B380-4065-A3E8-A3C104940C71}"/>
    <cellStyle name="Monétaire" xfId="6" builtinId="4"/>
    <cellStyle name="Normal" xfId="0" builtinId="0"/>
    <cellStyle name="Normal 2" xfId="7" xr:uid="{F585B758-9EBF-475F-BB40-3BFEE0534B76}"/>
    <cellStyle name="Normal 3" xfId="4" xr:uid="{F811DF99-36E7-44D3-B27C-BBD855ABBD68}"/>
    <cellStyle name="Pourcentage" xfId="2" builtinId="5"/>
  </cellStyles>
  <dxfs count="157">
    <dxf>
      <font>
        <color rgb="FFFF0000"/>
      </font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numFmt numFmtId="164" formatCode="_-* #,##0_-;\-* #,##0_-;_-* &quot;-&quot;??_-;_-@_-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23C08"/>
      </font>
      <fill>
        <patternFill>
          <bgColor theme="6" tint="0.59996337778862885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2D44EA"/>
        </patternFill>
      </fill>
    </dxf>
    <dxf>
      <fill>
        <patternFill>
          <bgColor rgb="FF2D44E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 patternType="solid">
          <bgColor rgb="FF2D44EA"/>
        </patternFill>
      </fill>
    </dxf>
    <dxf>
      <fill>
        <patternFill patternType="solid">
          <bgColor rgb="FF2D44EA"/>
        </patternFill>
      </fill>
    </dxf>
    <dxf>
      <font>
        <b/>
        <sz val="10"/>
        <color theme="0"/>
        <name val="Open sans"/>
        <scheme val="none"/>
      </font>
      <numFmt numFmtId="164" formatCode="_-* #,##0_-;\-* #,##0_-;_-* &quot;-&quot;??_-;_-@_-"/>
      <fill>
        <patternFill patternType="solid">
          <fgColor indexed="64"/>
          <bgColor rgb="FF2D44EA"/>
        </patternFill>
      </fill>
      <alignment horizontal="center"/>
    </dxf>
    <dxf>
      <font>
        <b/>
        <sz val="10"/>
        <color theme="0"/>
        <name val="Open sans"/>
        <scheme val="none"/>
      </font>
      <numFmt numFmtId="164" formatCode="_-* #,##0_-;\-* #,##0_-;_-* &quot;-&quot;??_-;_-@_-"/>
      <fill>
        <patternFill patternType="solid">
          <fgColor indexed="64"/>
          <bgColor rgb="FF2D44EA"/>
        </patternFill>
      </fill>
      <alignment horizontal="center"/>
    </dxf>
    <dxf>
      <font>
        <b/>
        <sz val="10"/>
        <color theme="0"/>
        <name val="Open sans"/>
        <scheme val="none"/>
      </font>
      <numFmt numFmtId="164" formatCode="_-* #,##0_-;\-* #,##0_-;_-* &quot;-&quot;??_-;_-@_-"/>
      <fill>
        <patternFill patternType="solid">
          <fgColor indexed="64"/>
          <bgColor rgb="FF2D44EA"/>
        </patternFill>
      </fill>
      <alignment horizontal="center"/>
    </dxf>
    <dxf>
      <font>
        <b/>
        <sz val="10"/>
        <color theme="0"/>
        <name val="Open sans"/>
        <scheme val="none"/>
      </font>
      <numFmt numFmtId="164" formatCode="_-* #,##0_-;\-* #,##0_-;_-* &quot;-&quot;??_-;_-@_-"/>
      <fill>
        <patternFill patternType="solid">
          <fgColor indexed="64"/>
          <bgColor rgb="FF2D44EA"/>
        </patternFill>
      </fill>
      <alignment horizontal="center"/>
    </dxf>
    <dxf>
      <font>
        <b/>
        <sz val="10"/>
        <color theme="0"/>
        <name val="Open sans"/>
        <scheme val="none"/>
      </font>
      <numFmt numFmtId="164" formatCode="_-* #,##0_-;\-* #,##0_-;_-* &quot;-&quot;??_-;_-@_-"/>
      <fill>
        <patternFill patternType="solid">
          <fgColor indexed="64"/>
          <bgColor rgb="FF2D44EA"/>
        </patternFill>
      </fill>
      <alignment horizontal="center"/>
    </dxf>
    <dxf>
      <font>
        <b/>
        <sz val="10"/>
        <color theme="0"/>
        <name val="Open sans"/>
        <scheme val="none"/>
      </font>
      <numFmt numFmtId="164" formatCode="_-* #,##0_-;\-* #,##0_-;_-* &quot;-&quot;??_-;_-@_-"/>
      <fill>
        <patternFill patternType="solid">
          <fgColor indexed="64"/>
          <bgColor rgb="FF2D44EA"/>
        </patternFill>
      </fill>
      <alignment horizontal="center"/>
    </dxf>
    <dxf>
      <font>
        <b/>
        <i val="0"/>
        <color rgb="FF003300"/>
      </font>
      <fill>
        <patternFill>
          <bgColor theme="6" tint="0.59996337778862885"/>
        </patternFill>
      </fill>
    </dxf>
    <dxf>
      <font>
        <b/>
        <i val="0"/>
        <color rgb="FF002060"/>
      </font>
      <fill>
        <patternFill>
          <bgColor theme="4" tint="0.79998168889431442"/>
        </patternFill>
      </fill>
    </dxf>
    <dxf>
      <font>
        <b/>
        <i val="0"/>
        <color rgb="FF003300"/>
      </font>
      <fill>
        <patternFill>
          <bgColor theme="6" tint="0.59996337778862885"/>
        </patternFill>
      </fill>
    </dxf>
    <dxf>
      <font>
        <b/>
        <i val="0"/>
        <color rgb="FF002060"/>
      </font>
      <fill>
        <patternFill>
          <bgColor theme="4" tint="0.79998168889431442"/>
        </patternFill>
      </fill>
    </dxf>
    <dxf>
      <font>
        <b/>
        <i val="0"/>
        <color rgb="FF003300"/>
      </font>
      <fill>
        <patternFill>
          <bgColor theme="6" tint="0.59996337778862885"/>
        </patternFill>
      </fill>
    </dxf>
    <dxf>
      <font>
        <b/>
        <i val="0"/>
        <color rgb="FF002060"/>
      </font>
      <fill>
        <patternFill>
          <bgColor theme="4" tint="0.79998168889431442"/>
        </patternFill>
      </fill>
    </dxf>
    <dxf>
      <font>
        <color theme="4" tint="-0.24994659260841701"/>
      </font>
    </dxf>
    <dxf>
      <font>
        <color theme="7" tint="-0.24994659260841701"/>
      </font>
    </dxf>
    <dxf>
      <font>
        <color rgb="FFCCC700"/>
      </font>
    </dxf>
    <dxf>
      <font>
        <color theme="2" tint="-0.749961851863155"/>
      </font>
    </dxf>
    <dxf>
      <font>
        <b/>
        <i val="0"/>
        <color rgb="FF003300"/>
      </font>
      <fill>
        <patternFill>
          <bgColor theme="6" tint="0.59996337778862885"/>
        </patternFill>
      </fill>
    </dxf>
    <dxf>
      <font>
        <b/>
        <i val="0"/>
        <color rgb="FF002060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2C32E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3300"/>
      </font>
    </dxf>
    <dxf>
      <font>
        <b/>
        <i val="0"/>
        <color rgb="FF003300"/>
      </font>
      <fill>
        <patternFill>
          <bgColor theme="6" tint="0.59996337778862885"/>
        </patternFill>
      </fill>
    </dxf>
    <dxf>
      <font>
        <b/>
        <i val="0"/>
        <color rgb="FF002060"/>
      </font>
      <fill>
        <patternFill>
          <bgColor theme="4" tint="0.79998168889431442"/>
        </patternFill>
      </fill>
    </dxf>
    <dxf>
      <font>
        <color rgb="FF023C08"/>
      </font>
      <fill>
        <patternFill>
          <bgColor theme="6" tint="0.59996337778862885"/>
        </patternFill>
      </fill>
    </dxf>
    <dxf>
      <font>
        <color theme="1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2C32E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39994506668294322"/>
        </patternFill>
      </fill>
    </dxf>
    <dxf>
      <font>
        <color theme="1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2C32E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39994506668294322"/>
        </patternFill>
      </fill>
    </dxf>
    <dxf>
      <font>
        <color theme="1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2C32E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39994506668294322"/>
        </patternFill>
      </fill>
    </dxf>
    <dxf>
      <font>
        <color theme="1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2C32E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39994506668294322"/>
        </patternFill>
      </fill>
    </dxf>
    <dxf>
      <font>
        <color theme="4" tint="-0.24994659260841701"/>
      </font>
    </dxf>
    <dxf>
      <font>
        <color theme="7" tint="-0.24994659260841701"/>
      </font>
    </dxf>
    <dxf>
      <font>
        <color rgb="FFCCC700"/>
      </font>
    </dxf>
    <dxf>
      <font>
        <color theme="2" tint="-0.749961851863155"/>
      </font>
    </dxf>
    <dxf>
      <font>
        <color theme="1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2C32E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BDC4F9"/>
      <color rgb="FF0053DA"/>
      <color rgb="FFFFFFCC"/>
      <color rgb="FFFFFF66"/>
      <color rgb="FF648CFC"/>
      <color rgb="FF2D44EA"/>
      <color rgb="FF89B6FF"/>
      <color rgb="FF29539C"/>
      <color rgb="FF94A7F6"/>
      <color rgb="FFFCAA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2.xml"/><Relationship Id="rId42" Type="http://schemas.microsoft.com/office/2022/11/relationships/FeaturePropertyBag" Target="featurePropertyBag/featurePropertyBag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sheetMetadata" Target="metadata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pivotCacheDefinition" Target="pivotCache/pivotCacheDefinition1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SYNTHESE!$C$4</c:f>
              <c:strCache>
                <c:ptCount val="1"/>
                <c:pt idx="0">
                  <c:v> CIR </c:v>
                </c:pt>
              </c:strCache>
            </c:strRef>
          </c:tx>
          <c:spPr>
            <a:solidFill>
              <a:srgbClr val="0053DA"/>
            </a:solidFill>
          </c:spPr>
          <c:dPt>
            <c:idx val="0"/>
            <c:bubble3D val="0"/>
            <c:spPr>
              <a:solidFill>
                <a:srgbClr val="89B6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025-47DA-B249-A38E4B8F3CEE}"/>
              </c:ext>
            </c:extLst>
          </c:dPt>
          <c:dPt>
            <c:idx val="1"/>
            <c:bubble3D val="0"/>
            <c:spPr>
              <a:solidFill>
                <a:srgbClr val="29539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025-47DA-B249-A38E4B8F3CEE}"/>
              </c:ext>
            </c:extLst>
          </c:dPt>
          <c:dPt>
            <c:idx val="2"/>
            <c:bubble3D val="0"/>
            <c:spPr>
              <a:solidFill>
                <a:srgbClr val="0053D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025-47DA-B249-A38E4B8F3CEE}"/>
              </c:ext>
            </c:extLst>
          </c:dPt>
          <c:dPt>
            <c:idx val="3"/>
            <c:bubble3D val="0"/>
            <c:spPr>
              <a:solidFill>
                <a:srgbClr val="0053D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025-47DA-B249-A38E4B8F3CEE}"/>
              </c:ext>
            </c:extLst>
          </c:dPt>
          <c:dPt>
            <c:idx val="4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025-47DA-B249-A38E4B8F3CEE}"/>
              </c:ext>
            </c:extLst>
          </c:dPt>
          <c:dPt>
            <c:idx val="5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025-47DA-B249-A38E4B8F3CEE}"/>
              </c:ext>
            </c:extLst>
          </c:dPt>
          <c:dPt>
            <c:idx val="6"/>
            <c:bubble3D val="0"/>
            <c:spPr>
              <a:solidFill>
                <a:schemeClr val="accent4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7025-47DA-B249-A38E4B8F3CEE}"/>
              </c:ext>
            </c:extLst>
          </c:dPt>
          <c:dPt>
            <c:idx val="7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7025-47DA-B249-A38E4B8F3CEE}"/>
              </c:ext>
            </c:extLst>
          </c:dPt>
          <c:dPt>
            <c:idx val="8"/>
            <c:bubble3D val="0"/>
            <c:spPr>
              <a:solidFill>
                <a:schemeClr val="tx2">
                  <a:lumMod val="90000"/>
                  <a:lumOff val="1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7025-47DA-B249-A38E4B8F3CEE}"/>
              </c:ext>
            </c:extLst>
          </c:dPt>
          <c:dPt>
            <c:idx val="9"/>
            <c:bubble3D val="0"/>
            <c:spPr>
              <a:solidFill>
                <a:schemeClr val="tx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7025-47DA-B249-A38E4B8F3CEE}"/>
              </c:ext>
            </c:extLst>
          </c:dPt>
          <c:dPt>
            <c:idx val="10"/>
            <c:bubble3D val="0"/>
            <c:spPr>
              <a:solidFill>
                <a:srgbClr val="BDC4F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7025-47DA-B249-A38E4B8F3CEE}"/>
              </c:ext>
            </c:extLst>
          </c:dPt>
          <c:dPt>
            <c:idx val="11"/>
            <c:bubble3D val="0"/>
            <c:spPr>
              <a:solidFill>
                <a:schemeClr val="tx2">
                  <a:lumMod val="25000"/>
                  <a:lumOff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7025-47DA-B249-A38E4B8F3CEE}"/>
              </c:ext>
            </c:extLst>
          </c:dPt>
          <c:dPt>
            <c:idx val="12"/>
            <c:bubble3D val="0"/>
            <c:spPr>
              <a:solidFill>
                <a:schemeClr val="tx2">
                  <a:lumMod val="10000"/>
                  <a:lumOff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7025-47DA-B249-A38E4B8F3CEE}"/>
              </c:ext>
            </c:extLst>
          </c:dPt>
          <c:dPt>
            <c:idx val="13"/>
            <c:bubble3D val="0"/>
            <c:spPr>
              <a:solidFill>
                <a:srgbClr val="648CF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7025-47DA-B249-A38E4B8F3CEE}"/>
              </c:ext>
            </c:extLst>
          </c:dPt>
          <c:dLbls>
            <c:dLbl>
              <c:idx val="1"/>
              <c:layout>
                <c:manualLayout>
                  <c:x val="8.7408457358847155E-2"/>
                  <c:y val="-6.646726487205051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025-47DA-B249-A38E4B8F3CE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SYNTHESE!$B$5:$B$18</c:f>
              <c:strCache>
                <c:ptCount val="10"/>
                <c:pt idx="0">
                  <c:v>Dotations aux amortissements</c:v>
                </c:pt>
                <c:pt idx="1">
                  <c:v>Dépenses de personnel</c:v>
                </c:pt>
                <c:pt idx="2">
                  <c:v>Dépenses de fonctionnement</c:v>
                </c:pt>
                <c:pt idx="3">
                  <c:v>Dépenses de prise et maintenance de brevets</c:v>
                </c:pt>
                <c:pt idx="4">
                  <c:v>Dépenses de défense de brevets</c:v>
                </c:pt>
                <c:pt idx="5">
                  <c:v>Dotations aux amortissements des brevets</c:v>
                </c:pt>
                <c:pt idx="6">
                  <c:v>Dépenses de normalisation</c:v>
                </c:pt>
                <c:pt idx="7">
                  <c:v>Dépenses de primes et cotisations assurances brevets</c:v>
                </c:pt>
                <c:pt idx="8">
                  <c:v>Dépenses de veille technologique</c:v>
                </c:pt>
                <c:pt idx="9">
                  <c:v>Dépenses engagées auprès de prestataires externes privés ou publics français</c:v>
                </c:pt>
              </c:strCache>
            </c:strRef>
          </c:cat>
          <c:val>
            <c:numRef>
              <c:f>SYNTHESE!$C$5:$C$18</c:f>
              <c:numCache>
                <c:formatCode>_-* #\ ##0_-;\-* #\ ##0_-;_-* "-"??_-;_-@_-</c:formatCode>
                <c:ptCount val="10"/>
                <c:pt idx="0">
                  <c:v>0</c:v>
                </c:pt>
                <c:pt idx="1">
                  <c:v>191683.92696977462</c:v>
                </c:pt>
                <c:pt idx="2">
                  <c:v>77103.976337887623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52917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7025-47DA-B249-A38E4B8F3C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3245105745319489"/>
          <c:y val="0.14061374691703246"/>
          <c:w val="0.53509788509361023"/>
          <c:h val="0.73183438077113416"/>
        </c:manualLayout>
      </c:layout>
      <c:pieChart>
        <c:varyColors val="1"/>
        <c:ser>
          <c:idx val="0"/>
          <c:order val="0"/>
          <c:tx>
            <c:strRef>
              <c:f>SYNTHESE!$D$4</c:f>
              <c:strCache>
                <c:ptCount val="1"/>
                <c:pt idx="0">
                  <c:v> CII </c:v>
                </c:pt>
              </c:strCache>
            </c:strRef>
          </c:tx>
          <c:spPr>
            <a:solidFill>
              <a:srgbClr val="FF9999"/>
            </a:solidFill>
          </c:spPr>
          <c:dPt>
            <c:idx val="0"/>
            <c:bubble3D val="0"/>
            <c:spPr>
              <a:solidFill>
                <a:srgbClr val="89B6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6AB-4F0A-8A49-DC6151705B8C}"/>
              </c:ext>
            </c:extLst>
          </c:dPt>
          <c:dPt>
            <c:idx val="1"/>
            <c:bubble3D val="0"/>
            <c:spPr>
              <a:solidFill>
                <a:srgbClr val="29539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6AB-4F0A-8A49-DC6151705B8C}"/>
              </c:ext>
            </c:extLst>
          </c:dPt>
          <c:dPt>
            <c:idx val="2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6AB-4F0A-8A49-DC6151705B8C}"/>
              </c:ext>
            </c:extLst>
          </c:dPt>
          <c:dPt>
            <c:idx val="3"/>
            <c:bubble3D val="0"/>
            <c:spPr>
              <a:solidFill>
                <a:srgbClr val="0000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6AB-4F0A-8A49-DC6151705B8C}"/>
              </c:ext>
            </c:extLst>
          </c:dPt>
          <c:dPt>
            <c:idx val="4"/>
            <c:bubble3D val="0"/>
            <c:spPr>
              <a:solidFill>
                <a:srgbClr val="BDC4F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6AB-4F0A-8A49-DC6151705B8C}"/>
              </c:ext>
            </c:extLst>
          </c:dPt>
          <c:dLbls>
            <c:dLbl>
              <c:idx val="2"/>
              <c:layout>
                <c:manualLayout>
                  <c:x val="0.30823126531250145"/>
                  <c:y val="-9.580962851498651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258316440742628"/>
                      <c:h val="0.151372197165078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66AB-4F0A-8A49-DC6151705B8C}"/>
                </c:ext>
              </c:extLst>
            </c:dLbl>
            <c:dLbl>
              <c:idx val="4"/>
              <c:layout>
                <c:manualLayout>
                  <c:x val="-1.1675423234092236E-2"/>
                  <c:y val="4.151696084782110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508556614311129"/>
                      <c:h val="0.2222208531320536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66AB-4F0A-8A49-DC6151705B8C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(SYNTHESE!$B$5:$B$6,SYNTHESE!$B$9:$B$10,SYNTHESE!$B$15)</c:f>
              <c:strCache>
                <c:ptCount val="5"/>
                <c:pt idx="0">
                  <c:v>Dotations aux amortissements</c:v>
                </c:pt>
                <c:pt idx="1">
                  <c:v>Dépenses de personnel</c:v>
                </c:pt>
                <c:pt idx="2">
                  <c:v>Dépenses de prise et maintenance de brevets</c:v>
                </c:pt>
                <c:pt idx="3">
                  <c:v>Dépenses de défense de brevets</c:v>
                </c:pt>
                <c:pt idx="4">
                  <c:v>Dépenses engagées auprès de prestataires externes privés ou publics français</c:v>
                </c:pt>
              </c:strCache>
            </c:strRef>
          </c:cat>
          <c:val>
            <c:numRef>
              <c:f>(SYNTHESE!$D$5:$D$6,SYNTHESE!$D$9:$D$10,SYNTHESE!$D$15)</c:f>
            </c:numRef>
          </c:val>
          <c:extLst>
            <c:ext xmlns:c16="http://schemas.microsoft.com/office/drawing/2014/chart" uri="{C3380CC4-5D6E-409C-BE32-E72D297353CC}">
              <c16:uniqueId val="{0000000A-66AB-4F0A-8A49-DC6151705B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Répartition</a:t>
            </a:r>
            <a:r>
              <a:rPr lang="fr-FR" baseline="0"/>
              <a:t> des heures en fonction du statut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PPT!$S$29</c:f>
              <c:strCache>
                <c:ptCount val="1"/>
                <c:pt idx="0">
                  <c:v>Heures CIR</c:v>
                </c:pt>
              </c:strCache>
            </c:strRef>
          </c:tx>
          <c:dPt>
            <c:idx val="0"/>
            <c:bubble3D val="0"/>
            <c:spPr>
              <a:solidFill>
                <a:srgbClr val="0000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3C6-4E8B-AF8C-3D94126844AB}"/>
              </c:ext>
            </c:extLst>
          </c:dPt>
          <c:dPt>
            <c:idx val="1"/>
            <c:bubble3D val="0"/>
            <c:spPr>
              <a:solidFill>
                <a:srgbClr val="29539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C3C6-4E8B-AF8C-3D94126844AB}"/>
              </c:ext>
            </c:extLst>
          </c:dPt>
          <c:dPt>
            <c:idx val="2"/>
            <c:bubble3D val="0"/>
            <c:explosion val="1"/>
            <c:spPr>
              <a:solidFill>
                <a:srgbClr val="89B6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3C6-4E8B-AF8C-3D94126844AB}"/>
              </c:ext>
            </c:extLst>
          </c:dPt>
          <c:dPt>
            <c:idx val="3"/>
            <c:bubble3D val="0"/>
            <c:spPr>
              <a:solidFill>
                <a:srgbClr val="FCAA7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C3C6-4E8B-AF8C-3D94126844AB}"/>
              </c:ext>
            </c:extLst>
          </c:dPt>
          <c:dPt>
            <c:idx val="4"/>
            <c:bubble3D val="0"/>
            <c:spPr>
              <a:solidFill>
                <a:srgbClr val="648CF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C3C6-4E8B-AF8C-3D94126844AB}"/>
              </c:ext>
            </c:extLst>
          </c:dPt>
          <c:dPt>
            <c:idx val="5"/>
            <c:bubble3D val="0"/>
            <c:spPr>
              <a:solidFill>
                <a:srgbClr val="BDC4F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C3C6-4E8B-AF8C-3D94126844AB}"/>
              </c:ext>
            </c:extLst>
          </c:dPt>
          <c:dPt>
            <c:idx val="6"/>
            <c:bubble3D val="0"/>
            <c:spPr>
              <a:solidFill>
                <a:srgbClr val="192D4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C3C6-4E8B-AF8C-3D94126844AB}"/>
              </c:ext>
            </c:extLst>
          </c:dPt>
          <c:dPt>
            <c:idx val="7"/>
            <c:bubble3D val="0"/>
            <c:spPr>
              <a:solidFill>
                <a:srgbClr val="FD691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3C6-4E8B-AF8C-3D94126844AB}"/>
              </c:ext>
            </c:extLst>
          </c:dPt>
          <c:dPt>
            <c:idx val="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3C6-4E8B-AF8C-3D94126844AB}"/>
              </c:ext>
            </c:extLst>
          </c:dPt>
          <c:dLbls>
            <c:dLbl>
              <c:idx val="0"/>
              <c:layout>
                <c:manualLayout>
                  <c:x val="7.4737947343252953E-2"/>
                  <c:y val="1.837726706018133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3C6-4E8B-AF8C-3D94126844AB}"/>
                </c:ext>
              </c:extLst>
            </c:dLbl>
            <c:dLbl>
              <c:idx val="1"/>
              <c:layout>
                <c:manualLayout>
                  <c:x val="6.7505242761647835E-2"/>
                  <c:y val="4.410544094443524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3C6-4E8B-AF8C-3D94126844AB}"/>
                </c:ext>
              </c:extLst>
            </c:dLbl>
            <c:dLbl>
              <c:idx val="3"/>
              <c:layout>
                <c:manualLayout>
                  <c:x val="5.7861636652840998E-2"/>
                  <c:y val="0.1102636023610881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3C6-4E8B-AF8C-3D94126844AB}"/>
                </c:ext>
              </c:extLst>
            </c:dLbl>
            <c:dLbl>
              <c:idx val="5"/>
              <c:layout>
                <c:manualLayout>
                  <c:x val="4.8218030544034125E-2"/>
                  <c:y val="0.1212899625971969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3C6-4E8B-AF8C-3D94126844AB}"/>
                </c:ext>
              </c:extLst>
            </c:dLbl>
            <c:dLbl>
              <c:idx val="6"/>
              <c:layout>
                <c:manualLayout>
                  <c:x val="-6.9916144288849555E-2"/>
                  <c:y val="0.1212899625971969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3C6-4E8B-AF8C-3D94126844AB}"/>
                </c:ext>
              </c:extLst>
            </c:dLbl>
            <c:dLbl>
              <c:idx val="7"/>
              <c:layout>
                <c:manualLayout>
                  <c:x val="-9.4025159560866642E-2"/>
                  <c:y val="9.556178871294303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3C6-4E8B-AF8C-3D94126844AB}"/>
                </c:ext>
              </c:extLst>
            </c:dLbl>
            <c:dLbl>
              <c:idx val="8"/>
              <c:layout>
                <c:manualLayout>
                  <c:x val="-2.4109015272017129E-2"/>
                  <c:y val="3.307908070832642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3C6-4E8B-AF8C-3D94126844A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PPT!$R$30:$R$38</c:f>
              <c:strCache>
                <c:ptCount val="9"/>
                <c:pt idx="0">
                  <c:v>Chercheur</c:v>
                </c:pt>
                <c:pt idx="1">
                  <c:v>Technicien</c:v>
                </c:pt>
                <c:pt idx="2">
                  <c:v>Jeune docteur</c:v>
                </c:pt>
                <c:pt idx="3">
                  <c:v>Dirigeant</c:v>
                </c:pt>
                <c:pt idx="4">
                  <c:v>Contrat MAD / intérim</c:v>
                </c:pt>
                <c:pt idx="5">
                  <c:v>Thésard</c:v>
                </c:pt>
                <c:pt idx="6">
                  <c:v>Stagiaire/apprenti</c:v>
                </c:pt>
                <c:pt idx="7">
                  <c:v>Profil à risque (acheteur, qualité)</c:v>
                </c:pt>
                <c:pt idx="8">
                  <c:v>Profil très risqué (admin, financier)</c:v>
                </c:pt>
              </c:strCache>
            </c:strRef>
          </c:cat>
          <c:val>
            <c:numRef>
              <c:f>PPT!$S$30:$S$38</c:f>
              <c:numCache>
                <c:formatCode>_-* #\ ##0_-;\-* #\ ##0_-;_-* "-"??_-;_-@_-</c:formatCode>
                <c:ptCount val="9"/>
                <c:pt idx="0">
                  <c:v>0</c:v>
                </c:pt>
                <c:pt idx="1">
                  <c:v>1758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C6-4E8B-AF8C-3D94126844AB}"/>
            </c:ext>
          </c:extLst>
        </c:ser>
        <c:ser>
          <c:idx val="1"/>
          <c:order val="1"/>
          <c:tx>
            <c:strRef>
              <c:f>PPT!$T$29</c:f>
              <c:strCache>
                <c:ptCount val="1"/>
                <c:pt idx="0">
                  <c:v>Dépenses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89E5-4294-BA70-88B36F592AF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89E5-4294-BA70-88B36F592AF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89E5-4294-BA70-88B36F592AF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89E5-4294-BA70-88B36F592AF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89E5-4294-BA70-88B36F592AF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89E5-4294-BA70-88B36F592AF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89E5-4294-BA70-88B36F592AF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89E5-4294-BA70-88B36F592AF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89E5-4294-BA70-88B36F592AF2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PPT!$R$30:$R$38</c:f>
              <c:strCache>
                <c:ptCount val="9"/>
                <c:pt idx="0">
                  <c:v>Chercheur</c:v>
                </c:pt>
                <c:pt idx="1">
                  <c:v>Technicien</c:v>
                </c:pt>
                <c:pt idx="2">
                  <c:v>Jeune docteur</c:v>
                </c:pt>
                <c:pt idx="3">
                  <c:v>Dirigeant</c:v>
                </c:pt>
                <c:pt idx="4">
                  <c:v>Contrat MAD / intérim</c:v>
                </c:pt>
                <c:pt idx="5">
                  <c:v>Thésard</c:v>
                </c:pt>
                <c:pt idx="6">
                  <c:v>Stagiaire/apprenti</c:v>
                </c:pt>
                <c:pt idx="7">
                  <c:v>Profil à risque (acheteur, qualité)</c:v>
                </c:pt>
                <c:pt idx="8">
                  <c:v>Profil très risqué (admin, financier)</c:v>
                </c:pt>
              </c:strCache>
            </c:strRef>
          </c:cat>
          <c:val>
            <c:numRef>
              <c:f>PPT!$T$30:$T$38</c:f>
              <c:numCache>
                <c:formatCode>_-* #\ ##0_-;\-* #\ ##0_-;_-* "-"??_-;_-@_-</c:formatCode>
                <c:ptCount val="9"/>
                <c:pt idx="0">
                  <c:v>0</c:v>
                </c:pt>
                <c:pt idx="1">
                  <c:v>55792.496776139655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C6-4E8B-AF8C-3D9412684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Répartition</a:t>
            </a:r>
            <a:r>
              <a:rPr lang="fr-FR" baseline="0"/>
              <a:t> des heures en fonction du statut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PPT!$AE$29</c:f>
              <c:strCache>
                <c:ptCount val="1"/>
                <c:pt idx="0">
                  <c:v>Heures CII</c:v>
                </c:pt>
              </c:strCache>
            </c:strRef>
          </c:tx>
          <c:spPr>
            <a:solidFill>
              <a:srgbClr val="0000FF"/>
            </a:solidFill>
          </c:spPr>
          <c:dPt>
            <c:idx val="0"/>
            <c:bubble3D val="0"/>
            <c:spPr>
              <a:solidFill>
                <a:srgbClr val="0000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73-43D3-8AA3-5CC26836FD27}"/>
              </c:ext>
            </c:extLst>
          </c:dPt>
          <c:dPt>
            <c:idx val="1"/>
            <c:bubble3D val="0"/>
            <c:spPr>
              <a:solidFill>
                <a:srgbClr val="29539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73-43D3-8AA3-5CC26836FD27}"/>
              </c:ext>
            </c:extLst>
          </c:dPt>
          <c:dPt>
            <c:idx val="2"/>
            <c:bubble3D val="0"/>
            <c:spPr>
              <a:solidFill>
                <a:srgbClr val="89B6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73-43D3-8AA3-5CC26836FD27}"/>
              </c:ext>
            </c:extLst>
          </c:dPt>
          <c:dPt>
            <c:idx val="3"/>
            <c:bubble3D val="0"/>
            <c:spPr>
              <a:solidFill>
                <a:srgbClr val="FCAA7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73-43D3-8AA3-5CC26836FD27}"/>
              </c:ext>
            </c:extLst>
          </c:dPt>
          <c:dPt>
            <c:idx val="4"/>
            <c:bubble3D val="0"/>
            <c:spPr>
              <a:solidFill>
                <a:srgbClr val="648CF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573-43D3-8AA3-5CC26836FD27}"/>
              </c:ext>
            </c:extLst>
          </c:dPt>
          <c:dPt>
            <c:idx val="5"/>
            <c:bubble3D val="0"/>
            <c:spPr>
              <a:solidFill>
                <a:srgbClr val="BDC4F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573-43D3-8AA3-5CC26836FD27}"/>
              </c:ext>
            </c:extLst>
          </c:dPt>
          <c:dPt>
            <c:idx val="6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573-43D3-8AA3-5CC26836FD27}"/>
              </c:ext>
            </c:extLst>
          </c:dPt>
          <c:dPt>
            <c:idx val="7"/>
            <c:bubble3D val="0"/>
            <c:spPr>
              <a:solidFill>
                <a:srgbClr val="FD691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3573-43D3-8AA3-5CC26836FD27}"/>
              </c:ext>
            </c:extLst>
          </c:dPt>
          <c:dPt>
            <c:idx val="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3573-43D3-8AA3-5CC26836FD27}"/>
              </c:ext>
            </c:extLst>
          </c:dPt>
          <c:dLbls>
            <c:dLbl>
              <c:idx val="8"/>
              <c:layout>
                <c:manualLayout>
                  <c:x val="-8.1977094635322503E-2"/>
                  <c:y val="4.04299875323989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573-43D3-8AA3-5CC26836FD27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PPT!$AD$30:$AD$38</c:f>
              <c:strCache>
                <c:ptCount val="9"/>
                <c:pt idx="0">
                  <c:v>Chercheur</c:v>
                </c:pt>
                <c:pt idx="1">
                  <c:v>Technicien</c:v>
                </c:pt>
                <c:pt idx="2">
                  <c:v>Jeune docteur</c:v>
                </c:pt>
                <c:pt idx="3">
                  <c:v>Dirigeant</c:v>
                </c:pt>
                <c:pt idx="4">
                  <c:v>Contrat MAD / intérim</c:v>
                </c:pt>
                <c:pt idx="5">
                  <c:v>Thésard</c:v>
                </c:pt>
                <c:pt idx="6">
                  <c:v>Stagiaire/apprenti</c:v>
                </c:pt>
                <c:pt idx="7">
                  <c:v>Profil à risque (acheteur, qualité)</c:v>
                </c:pt>
                <c:pt idx="8">
                  <c:v>Profil très risqué (admin, financier)</c:v>
                </c:pt>
              </c:strCache>
            </c:strRef>
          </c:cat>
          <c:val>
            <c:numRef>
              <c:f>PPT!$AE$30:$AE$38</c:f>
              <c:numCache>
                <c:formatCode>_-* #\ ##0_-;\-* #\ ##0_-;_-* "-"??_-;_-@_-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573-43D3-8AA3-5CC26836FD27}"/>
            </c:ext>
          </c:extLst>
        </c:ser>
        <c:ser>
          <c:idx val="1"/>
          <c:order val="1"/>
          <c:tx>
            <c:strRef>
              <c:f>PPT!$AF$29</c:f>
              <c:strCache>
                <c:ptCount val="1"/>
                <c:pt idx="0">
                  <c:v>Dépenses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3573-43D3-8AA3-5CC26836FD2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3573-43D3-8AA3-5CC26836FD2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3573-43D3-8AA3-5CC26836FD2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3573-43D3-8AA3-5CC26836FD2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3573-43D3-8AA3-5CC26836FD2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3573-43D3-8AA3-5CC26836FD2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3573-43D3-8AA3-5CC26836FD2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3573-43D3-8AA3-5CC26836FD27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3573-43D3-8AA3-5CC26836FD27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PPT!$AD$30:$AD$38</c:f>
              <c:strCache>
                <c:ptCount val="9"/>
                <c:pt idx="0">
                  <c:v>Chercheur</c:v>
                </c:pt>
                <c:pt idx="1">
                  <c:v>Technicien</c:v>
                </c:pt>
                <c:pt idx="2">
                  <c:v>Jeune docteur</c:v>
                </c:pt>
                <c:pt idx="3">
                  <c:v>Dirigeant</c:v>
                </c:pt>
                <c:pt idx="4">
                  <c:v>Contrat MAD / intérim</c:v>
                </c:pt>
                <c:pt idx="5">
                  <c:v>Thésard</c:v>
                </c:pt>
                <c:pt idx="6">
                  <c:v>Stagiaire/apprenti</c:v>
                </c:pt>
                <c:pt idx="7">
                  <c:v>Profil à risque (acheteur, qualité)</c:v>
                </c:pt>
                <c:pt idx="8">
                  <c:v>Profil très risqué (admin, financier)</c:v>
                </c:pt>
              </c:strCache>
            </c:strRef>
          </c:cat>
          <c:val>
            <c:numRef>
              <c:f>PPT!$AF$30:$AF$38</c:f>
              <c:numCache>
                <c:formatCode>_-* #\ ##0_-;\-* #\ ##0_-;_-* "-"??_-;_-@_-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3573-43D3-8AA3-5CC26836F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762000</xdr:colOff>
      <xdr:row>3</xdr:row>
      <xdr:rowOff>13607</xdr:rowOff>
    </xdr:from>
    <xdr:to>
      <xdr:col>16</xdr:col>
      <xdr:colOff>758617</xdr:colOff>
      <xdr:row>23</xdr:row>
      <xdr:rowOff>38417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7A3E3DA5-BFC0-6E96-5054-522BF9BD9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525500" y="544286"/>
          <a:ext cx="8907118" cy="421635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15</xdr:row>
      <xdr:rowOff>153452</xdr:rowOff>
    </xdr:from>
    <xdr:to>
      <xdr:col>4</xdr:col>
      <xdr:colOff>773430</xdr:colOff>
      <xdr:row>17</xdr:row>
      <xdr:rowOff>148792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9EC744E3-9A65-B08C-DB45-4A8B8AA55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696877"/>
          <a:ext cx="7139940" cy="130026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819150</xdr:colOff>
          <xdr:row>0</xdr:row>
          <xdr:rowOff>9525</xdr:rowOff>
        </xdr:from>
        <xdr:to>
          <xdr:col>0</xdr:col>
          <xdr:colOff>2571750</xdr:colOff>
          <xdr:row>1</xdr:row>
          <xdr:rowOff>19050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5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FF0000"/>
                  </a:solidFill>
                  <a:latin typeface="Aptos Narrow"/>
                </a:rPr>
                <a:t>insérer une ligne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</xdr:row>
          <xdr:rowOff>161925</xdr:rowOff>
        </xdr:from>
        <xdr:to>
          <xdr:col>12</xdr:col>
          <xdr:colOff>571500</xdr:colOff>
          <xdr:row>4</xdr:row>
          <xdr:rowOff>133350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06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2069-A-SD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</xdr:colOff>
          <xdr:row>5</xdr:row>
          <xdr:rowOff>104775</xdr:rowOff>
        </xdr:from>
        <xdr:to>
          <xdr:col>12</xdr:col>
          <xdr:colOff>571500</xdr:colOff>
          <xdr:row>7</xdr:row>
          <xdr:rowOff>142875</xdr:rowOff>
        </xdr:to>
        <xdr:sp macro="" textlink="">
          <xdr:nvSpPr>
            <xdr:cNvPr id="100354" name="Button 2" hidden="1">
              <a:extLst>
                <a:ext uri="{63B3BB69-23CF-44E3-9099-C40C66FF867C}">
                  <a14:compatExt spid="_x0000_s100354"/>
                </a:ext>
                <a:ext uri="{FF2B5EF4-FFF2-40B4-BE49-F238E27FC236}">
                  <a16:creationId xmlns:a16="http://schemas.microsoft.com/office/drawing/2014/main" id="{00000000-0008-0000-0600-00000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2069-A2-SD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8</xdr:row>
          <xdr:rowOff>180975</xdr:rowOff>
        </xdr:from>
        <xdr:to>
          <xdr:col>12</xdr:col>
          <xdr:colOff>552450</xdr:colOff>
          <xdr:row>11</xdr:row>
          <xdr:rowOff>28575</xdr:rowOff>
        </xdr:to>
        <xdr:sp macro="" textlink="">
          <xdr:nvSpPr>
            <xdr:cNvPr id="100355" name="Button 3" hidden="1">
              <a:extLst>
                <a:ext uri="{63B3BB69-23CF-44E3-9099-C40C66FF867C}">
                  <a14:compatExt spid="_x0000_s100355"/>
                </a:ext>
                <a:ext uri="{FF2B5EF4-FFF2-40B4-BE49-F238E27FC236}">
                  <a16:creationId xmlns:a16="http://schemas.microsoft.com/office/drawing/2014/main" id="{00000000-0008-0000-0600-000003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Tableaux Synthétiques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1</xdr:row>
          <xdr:rowOff>161925</xdr:rowOff>
        </xdr:from>
        <xdr:to>
          <xdr:col>14</xdr:col>
          <xdr:colOff>571500</xdr:colOff>
          <xdr:row>4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2069-A-SD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5</xdr:row>
          <xdr:rowOff>104775</xdr:rowOff>
        </xdr:from>
        <xdr:to>
          <xdr:col>14</xdr:col>
          <xdr:colOff>571500</xdr:colOff>
          <xdr:row>7</xdr:row>
          <xdr:rowOff>142875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7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2069-A2-SD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8</xdr:row>
          <xdr:rowOff>180975</xdr:rowOff>
        </xdr:from>
        <xdr:to>
          <xdr:col>14</xdr:col>
          <xdr:colOff>552450</xdr:colOff>
          <xdr:row>11</xdr:row>
          <xdr:rowOff>28575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7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Tableaux Synthétiques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12</xdr:row>
          <xdr:rowOff>76200</xdr:rowOff>
        </xdr:from>
        <xdr:to>
          <xdr:col>14</xdr:col>
          <xdr:colOff>504825</xdr:colOff>
          <xdr:row>14</xdr:row>
          <xdr:rowOff>66675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7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masquer les 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15</xdr:row>
          <xdr:rowOff>76200</xdr:rowOff>
        </xdr:from>
        <xdr:to>
          <xdr:col>14</xdr:col>
          <xdr:colOff>457200</xdr:colOff>
          <xdr:row>17</xdr:row>
          <xdr:rowOff>95250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7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Afficher les 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1600200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9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00"/>
                  </a:solidFill>
                  <a:latin typeface="Aptos Narrow"/>
                </a:rPr>
                <a:t>insérer des colonnes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7</xdr:col>
          <xdr:colOff>781050</xdr:colOff>
          <xdr:row>1</xdr:row>
          <xdr:rowOff>200025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9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00"/>
                  </a:solidFill>
                  <a:latin typeface="Aptos Narrow"/>
                </a:rPr>
                <a:t>Etirer les formules à droite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333375</xdr:colOff>
          <xdr:row>1</xdr:row>
          <xdr:rowOff>9525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B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00"/>
                  </a:solidFill>
                  <a:latin typeface="Aptos Narrow"/>
                </a:rPr>
                <a:t>insérer une colonne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352425</xdr:colOff>
          <xdr:row>1</xdr:row>
          <xdr:rowOff>9525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B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00"/>
                  </a:solidFill>
                  <a:latin typeface="Aptos Narrow"/>
                </a:rPr>
                <a:t>Immo 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123825</xdr:rowOff>
        </xdr:from>
        <xdr:to>
          <xdr:col>5</xdr:col>
          <xdr:colOff>542925</xdr:colOff>
          <xdr:row>0</xdr:row>
          <xdr:rowOff>323850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B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FF0000"/>
                  </a:solidFill>
                  <a:latin typeface="Aptos Narrow"/>
                </a:rPr>
                <a:t>insérer une ligne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1047750</xdr:colOff>
          <xdr:row>1</xdr:row>
          <xdr:rowOff>19050</xdr:rowOff>
        </xdr:from>
        <xdr:to>
          <xdr:col>9</xdr:col>
          <xdr:colOff>742950</xdr:colOff>
          <xdr:row>2</xdr:row>
          <xdr:rowOff>0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10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00"/>
                  </a:solidFill>
                  <a:latin typeface="Aptos Narrow"/>
                </a:rPr>
                <a:t>insérer une colonne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1</xdr:row>
          <xdr:rowOff>0</xdr:rowOff>
        </xdr:from>
        <xdr:to>
          <xdr:col>6</xdr:col>
          <xdr:colOff>123825</xdr:colOff>
          <xdr:row>2</xdr:row>
          <xdr:rowOff>0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10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FF0000"/>
                  </a:solidFill>
                  <a:latin typeface="Aptos Narrow"/>
                </a:rPr>
                <a:t>insérer une ligne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4</xdr:col>
          <xdr:colOff>19050</xdr:colOff>
          <xdr:row>1</xdr:row>
          <xdr:rowOff>19050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14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FF0000"/>
                  </a:solidFill>
                  <a:latin typeface="Aptos Narrow"/>
                </a:rPr>
                <a:t>insérer une ligne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0</xdr:rowOff>
        </xdr:from>
        <xdr:to>
          <xdr:col>4</xdr:col>
          <xdr:colOff>19050</xdr:colOff>
          <xdr:row>1</xdr:row>
          <xdr:rowOff>19050</xdr:rowOff>
        </xdr:to>
        <xdr:sp macro="" textlink="">
          <xdr:nvSpPr>
            <xdr:cNvPr id="20488" name="Button 8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16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FF0000"/>
                  </a:solidFill>
                  <a:latin typeface="Aptos Narrow"/>
                </a:rPr>
                <a:t>insérer une ligne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0</xdr:rowOff>
        </xdr:from>
        <xdr:to>
          <xdr:col>7</xdr:col>
          <xdr:colOff>19050</xdr:colOff>
          <xdr:row>1</xdr:row>
          <xdr:rowOff>19050</xdr:rowOff>
        </xdr:to>
        <xdr:sp macro="" textlink="">
          <xdr:nvSpPr>
            <xdr:cNvPr id="20490" name="Button 10" hidden="1">
              <a:extLst>
                <a:ext uri="{63B3BB69-23CF-44E3-9099-C40C66FF867C}">
                  <a14:compatExt spid="_x0000_s20490"/>
                </a:ext>
                <a:ext uri="{FF2B5EF4-FFF2-40B4-BE49-F238E27FC236}">
                  <a16:creationId xmlns:a16="http://schemas.microsoft.com/office/drawing/2014/main" id="{00000000-0008-0000-1600-00000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FF0000"/>
                  </a:solidFill>
                  <a:latin typeface="Aptos Narrow"/>
                </a:rPr>
                <a:t>ST Q1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1</xdr:col>
          <xdr:colOff>19050</xdr:colOff>
          <xdr:row>1</xdr:row>
          <xdr:rowOff>19050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17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FF0000"/>
                  </a:solidFill>
                  <a:latin typeface="Aptos Narrow"/>
                </a:rPr>
                <a:t>insérer une ligne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3</xdr:col>
          <xdr:colOff>38100</xdr:colOff>
          <xdr:row>1</xdr:row>
          <xdr:rowOff>19050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18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FF0000"/>
                  </a:solidFill>
                  <a:latin typeface="Aptos Narrow"/>
                </a:rPr>
                <a:t>insérer une ligne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53974</xdr:colOff>
      <xdr:row>2</xdr:row>
      <xdr:rowOff>132556</xdr:rowOff>
    </xdr:from>
    <xdr:to>
      <xdr:col>13</xdr:col>
      <xdr:colOff>317499</xdr:colOff>
      <xdr:row>24</xdr:row>
      <xdr:rowOff>142875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841A5C17-E4F2-4FE4-9285-3214B1124B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28574</xdr:colOff>
      <xdr:row>26</xdr:row>
      <xdr:rowOff>11112</xdr:rowOff>
    </xdr:from>
    <xdr:to>
      <xdr:col>13</xdr:col>
      <xdr:colOff>349250</xdr:colOff>
      <xdr:row>50</xdr:row>
      <xdr:rowOff>95250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33066F64-02BD-6046-8188-27070DF8A5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744951</xdr:colOff>
      <xdr:row>39</xdr:row>
      <xdr:rowOff>143886</xdr:rowOff>
    </xdr:from>
    <xdr:to>
      <xdr:col>24</xdr:col>
      <xdr:colOff>189326</xdr:colOff>
      <xdr:row>57</xdr:row>
      <xdr:rowOff>170242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444AA474-D5F0-CFC0-55A8-7E97D3C770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28</xdr:col>
      <xdr:colOff>751568</xdr:colOff>
      <xdr:row>39</xdr:row>
      <xdr:rowOff>170997</xdr:rowOff>
    </xdr:from>
    <xdr:to>
      <xdr:col>35</xdr:col>
      <xdr:colOff>464911</xdr:colOff>
      <xdr:row>58</xdr:row>
      <xdr:rowOff>6853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17198004-0715-45FA-83B9-C11998B5B9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971550</xdr:colOff>
          <xdr:row>0</xdr:row>
          <xdr:rowOff>152400</xdr:rowOff>
        </xdr:from>
        <xdr:to>
          <xdr:col>2</xdr:col>
          <xdr:colOff>3838575</xdr:colOff>
          <xdr:row>1</xdr:row>
          <xdr:rowOff>304800</xdr:rowOff>
        </xdr:to>
        <xdr:sp macro="" textlink="">
          <xdr:nvSpPr>
            <xdr:cNvPr id="86025" name="Button 9" hidden="1">
              <a:extLst>
                <a:ext uri="{63B3BB69-23CF-44E3-9099-C40C66FF867C}">
                  <a14:compatExt spid="_x0000_s86025"/>
                </a:ext>
                <a:ext uri="{FF2B5EF4-FFF2-40B4-BE49-F238E27FC236}">
                  <a16:creationId xmlns:a16="http://schemas.microsoft.com/office/drawing/2014/main" id="{00000000-0008-0000-1F00-000009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Prévisionnel JEI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siserveur\DOCUMENTS%20METHODOLOGIE%20AUDIT\BUSINOVE%20-%20Dossier%20Unique%20de%20Mission_2012_v7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Account%20shares\Biotech\SYNTHELIS-BIOCELLIS\2025\2%20-%20Valorisation%20des%20D&#233;penses\0_FTRA\BILOCELLIS_2025_RECAP%20PAIES.xlsx" TargetMode="External"/><Relationship Id="rId1" Type="http://schemas.openxmlformats.org/officeDocument/2006/relationships/externalLinkPath" Target="0_FTRA/BILOCELLIS_2025_RECAP%20PAI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ro"/>
      <sheetName val="Sommaire"/>
      <sheetName val="Lot1 Société"/>
      <sheetName val="Lot2 Projets R&amp;D"/>
      <sheetName val="Lot3 Valorisation financière"/>
      <sheetName val="Lot4 Dossier Justificatif"/>
      <sheetName val="Lot5 Entretiens - Documents"/>
      <sheetName val="Lot6 Workflow mission"/>
      <sheetName val="Données Listes"/>
      <sheetName val="Projets Vierges"/>
      <sheetName val="Lot1_Société"/>
      <sheetName val="Lot2_Projets_R&amp;D"/>
      <sheetName val="Lot3_Valorisation_financière"/>
      <sheetName val="Lot4_Dossier_Justificatif"/>
      <sheetName val="Lot5_Entretiens_-_Documents"/>
      <sheetName val="Lot6_Workflow_mission"/>
      <sheetName val="Données_Listes"/>
      <sheetName val="Projets_Vierges"/>
      <sheetName val="Lot1_Société1"/>
      <sheetName val="Lot2_Projets_R&amp;D1"/>
      <sheetName val="Lot3_Valorisation_financière1"/>
      <sheetName val="Lot4_Dossier_Justificatif1"/>
      <sheetName val="Lot5_Entretiens_-_Documents1"/>
      <sheetName val="Lot6_Workflow_mission1"/>
      <sheetName val="Données_Listes1"/>
      <sheetName val="Projets_Vierges1"/>
      <sheetName val="Lot1_Société5"/>
      <sheetName val="Lot2_Projets_R&amp;D5"/>
      <sheetName val="Lot3_Valorisation_financière5"/>
      <sheetName val="Lot4_Dossier_Justificatif5"/>
      <sheetName val="Lot5_Entretiens_-_Documents5"/>
      <sheetName val="Lot6_Workflow_mission5"/>
      <sheetName val="Données_Listes5"/>
      <sheetName val="Projets_Vierges5"/>
      <sheetName val="Lot1_Société2"/>
      <sheetName val="Lot2_Projets_R&amp;D2"/>
      <sheetName val="Lot3_Valorisation_financière2"/>
      <sheetName val="Lot4_Dossier_Justificatif2"/>
      <sheetName val="Lot5_Entretiens_-_Documents2"/>
      <sheetName val="Lot6_Workflow_mission2"/>
      <sheetName val="Données_Listes2"/>
      <sheetName val="Projets_Vierges2"/>
      <sheetName val="Lot1_Société4"/>
      <sheetName val="Lot2_Projets_R&amp;D4"/>
      <sheetName val="Lot3_Valorisation_financière4"/>
      <sheetName val="Lot4_Dossier_Justificatif4"/>
      <sheetName val="Lot5_Entretiens_-_Documents4"/>
      <sheetName val="Lot6_Workflow_mission4"/>
      <sheetName val="Données_Listes4"/>
      <sheetName val="Projets_Vierges4"/>
      <sheetName val="Lot1_Société3"/>
      <sheetName val="Lot2_Projets_R&amp;D3"/>
      <sheetName val="Lot3_Valorisation_financière3"/>
      <sheetName val="Lot4_Dossier_Justificatif3"/>
      <sheetName val="Lot5_Entretiens_-_Documents3"/>
      <sheetName val="Lot6_Workflow_mission3"/>
      <sheetName val="Données_Listes3"/>
      <sheetName val="Projets_Vierges3"/>
      <sheetName val="Lot1_Société6"/>
      <sheetName val="Lot2_Projets_R&amp;D6"/>
      <sheetName val="Lot3_Valorisation_financière6"/>
      <sheetName val="Lot4_Dossier_Justificatif6"/>
      <sheetName val="Lot5_Entretiens_-_Documents6"/>
      <sheetName val="Lot6_Workflow_mission6"/>
      <sheetName val="Données_Listes6"/>
      <sheetName val="Projets_Vierges6"/>
      <sheetName val="Lot1_Société7"/>
      <sheetName val="Lot2_Projets_R&amp;D7"/>
      <sheetName val="Lot3_Valorisation_financière7"/>
      <sheetName val="Lot4_Dossier_Justificatif7"/>
      <sheetName val="Lot5_Entretiens_-_Documents7"/>
      <sheetName val="Lot6_Workflow_mission7"/>
      <sheetName val="Données_Listes7"/>
      <sheetName val="Projets_Vierges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">
          <cell r="B2" t="str">
            <v>-- Sélectionner --</v>
          </cell>
          <cell r="C2" t="str">
            <v>-- Sélectionner --</v>
          </cell>
          <cell r="D2" t="str">
            <v>-- Sélectionner --</v>
          </cell>
          <cell r="E2" t="str">
            <v>-- Sélectionner --</v>
          </cell>
          <cell r="F2" t="str">
            <v>-- Sélectionner --</v>
          </cell>
          <cell r="G2" t="str">
            <v>-- Sélectionner --</v>
          </cell>
          <cell r="H2" t="str">
            <v>-- Sélectionner --</v>
          </cell>
          <cell r="I2" t="str">
            <v>-- Sélectionner --</v>
          </cell>
        </row>
        <row r="3">
          <cell r="B3" t="str">
            <v>Janvier</v>
          </cell>
          <cell r="C3" t="str">
            <v>Administration</v>
          </cell>
          <cell r="D3" t="str">
            <v>cyclique</v>
          </cell>
          <cell r="E3" t="str">
            <v>A1 Automatique</v>
          </cell>
          <cell r="F3" t="str">
            <v>Gestion Interne</v>
          </cell>
          <cell r="G3" t="str">
            <v>1 - Analyses (chimiques, bactériologiques)</v>
          </cell>
          <cell r="H3" t="str">
            <v>1 - Analyses (chimiques, bactériologiques)</v>
          </cell>
          <cell r="I3" t="str">
            <v>Client - Oral</v>
          </cell>
        </row>
        <row r="4">
          <cell r="B4" t="str">
            <v>Février</v>
          </cell>
          <cell r="C4" t="str">
            <v>Association</v>
          </cell>
          <cell r="D4" t="str">
            <v>limité dans le temps</v>
          </cell>
          <cell r="E4" t="str">
            <v>A2 Electronique</v>
          </cell>
          <cell r="F4" t="str">
            <v>Prestataire Externe</v>
          </cell>
          <cell r="G4" t="str">
            <v>2 - Essais (mécaniques, de corrosion, d'endurance)</v>
          </cell>
          <cell r="H4" t="str">
            <v>2 - Essais (mécaniques, de corrosion, d'endurance)</v>
          </cell>
          <cell r="I4" t="str">
            <v>Client - Doc</v>
          </cell>
        </row>
        <row r="5">
          <cell r="B5" t="str">
            <v>Mars</v>
          </cell>
          <cell r="C5" t="str">
            <v xml:space="preserve">Auto-Entrepreneur </v>
          </cell>
          <cell r="D5" t="str">
            <v>permanent</v>
          </cell>
          <cell r="E5" t="str">
            <v>A3 Génie électronique</v>
          </cell>
          <cell r="F5" t="str">
            <v>Expert Comptable</v>
          </cell>
          <cell r="G5" t="str">
            <v>3 - Mesures et contrôles</v>
          </cell>
          <cell r="H5" t="str">
            <v>3 - Mesures et contrôles</v>
          </cell>
          <cell r="I5" t="str">
            <v>Web - Page</v>
          </cell>
        </row>
        <row r="6">
          <cell r="B6" t="str">
            <v>Avril</v>
          </cell>
          <cell r="C6" t="str">
            <v>EIRL</v>
          </cell>
          <cell r="D6" t="str">
            <v>Attente Client</v>
          </cell>
          <cell r="E6" t="str">
            <v>A4 Télécommunications</v>
          </cell>
          <cell r="F6" t="str">
            <v>Expert Fiscaliste</v>
          </cell>
          <cell r="G6" t="str">
            <v>4 - Certification</v>
          </cell>
          <cell r="H6" t="str">
            <v>4 - Certification</v>
          </cell>
          <cell r="I6" t="str">
            <v>Web - Fichier</v>
          </cell>
        </row>
        <row r="7">
          <cell r="B7" t="str">
            <v>Mai</v>
          </cell>
          <cell r="C7" t="str">
            <v>Entreprise Individuelle</v>
          </cell>
          <cell r="D7" t="str">
            <v>NA</v>
          </cell>
          <cell r="E7" t="str">
            <v>A5 Informatique</v>
          </cell>
          <cell r="F7" t="str">
            <v>Hors CIR</v>
          </cell>
          <cell r="G7" t="str">
            <v>5 - Assistance technique, conseil</v>
          </cell>
          <cell r="H7" t="str">
            <v>5 - Assistance technique, conseil</v>
          </cell>
          <cell r="I7" t="str">
            <v>Autre</v>
          </cell>
        </row>
        <row r="8">
          <cell r="B8" t="str">
            <v>Juin</v>
          </cell>
          <cell r="C8" t="str">
            <v>EURL</v>
          </cell>
          <cell r="E8" t="str">
            <v>A6 Optique</v>
          </cell>
          <cell r="F8" t="str">
            <v>Client</v>
          </cell>
          <cell r="G8" t="str">
            <v>6 - Recherches sur contrat</v>
          </cell>
          <cell r="H8" t="str">
            <v>6 - Recherches sur contrat</v>
          </cell>
          <cell r="I8" t="str">
            <v>Attente Client</v>
          </cell>
        </row>
        <row r="9">
          <cell r="B9" t="str">
            <v>Juillet</v>
          </cell>
          <cell r="C9" t="str">
            <v>Fondation</v>
          </cell>
          <cell r="E9" t="str">
            <v>B1 Biologie</v>
          </cell>
          <cell r="F9" t="str">
            <v>Attente Client</v>
          </cell>
          <cell r="G9" t="str">
            <v>7 - Formation</v>
          </cell>
          <cell r="H9" t="str">
            <v>7 - Formation</v>
          </cell>
          <cell r="I9" t="str">
            <v>NA</v>
          </cell>
        </row>
        <row r="10">
          <cell r="B10" t="str">
            <v>Août</v>
          </cell>
          <cell r="C10" t="str">
            <v>GIE</v>
          </cell>
          <cell r="E10" t="str">
            <v>B2 Botanique</v>
          </cell>
          <cell r="F10" t="str">
            <v>NA</v>
          </cell>
          <cell r="G10" t="str">
            <v>8 - Simulation, modélisation, calcul</v>
          </cell>
          <cell r="H10" t="str">
            <v>8 - Simulation, modélisation, calcul</v>
          </cell>
        </row>
        <row r="11">
          <cell r="B11" t="str">
            <v>Septembre</v>
          </cell>
          <cell r="C11" t="str">
            <v>SA</v>
          </cell>
          <cell r="E11" t="str">
            <v>C Chimie</v>
          </cell>
          <cell r="G11" t="str">
            <v>9 - Expertises, audit</v>
          </cell>
          <cell r="H11" t="str">
            <v>9 - Expertises, audit</v>
          </cell>
        </row>
        <row r="12">
          <cell r="B12" t="str">
            <v>Octobre</v>
          </cell>
          <cell r="C12" t="str">
            <v>SARL</v>
          </cell>
          <cell r="E12" t="str">
            <v>E Economie, Sciences de la Gestion</v>
          </cell>
          <cell r="G12" t="str">
            <v>10 - Commercial</v>
          </cell>
          <cell r="H12" t="str">
            <v>10 - Commercial</v>
          </cell>
        </row>
        <row r="13">
          <cell r="B13" t="str">
            <v>Novembre</v>
          </cell>
          <cell r="C13" t="str">
            <v xml:space="preserve">SARL à capital variable </v>
          </cell>
          <cell r="E13" t="str">
            <v>G1 Génie des matériaux</v>
          </cell>
          <cell r="G13" t="str">
            <v>11 - Essais cliniques non précisés</v>
          </cell>
          <cell r="H13" t="str">
            <v>11 - Essais cliniques non précisés</v>
          </cell>
        </row>
        <row r="14">
          <cell r="B14" t="str">
            <v>Décembre</v>
          </cell>
          <cell r="C14" t="str">
            <v>SAS</v>
          </cell>
          <cell r="E14" t="str">
            <v>G2 Génie civil</v>
          </cell>
          <cell r="G14" t="str">
            <v>12 - Essais cliniques Ph I à IIIb</v>
          </cell>
          <cell r="H14" t="str">
            <v>12 - Essais cliniques Ph I à IIIb</v>
          </cell>
        </row>
        <row r="15">
          <cell r="B15" t="str">
            <v>Attente Client</v>
          </cell>
          <cell r="C15" t="str">
            <v>SASU</v>
          </cell>
          <cell r="E15" t="str">
            <v>G3 Mécanique</v>
          </cell>
          <cell r="G15" t="str">
            <v>13 - Essais cliniques Ph IV</v>
          </cell>
          <cell r="H15" t="str">
            <v>13 - Essais cliniques Ph IV</v>
          </cell>
        </row>
        <row r="16">
          <cell r="B16" t="str">
            <v>NA</v>
          </cell>
          <cell r="C16" t="str">
            <v>SCI</v>
          </cell>
          <cell r="E16" t="str">
            <v>G4 Acoustique</v>
          </cell>
          <cell r="G16" t="str">
            <v>14 - Essais cliniques vétérinaires préAMM</v>
          </cell>
          <cell r="H16" t="str">
            <v>14 - Essais cliniques vétérinaires préAMM</v>
          </cell>
        </row>
        <row r="17">
          <cell r="C17" t="str">
            <v>SCOP</v>
          </cell>
          <cell r="E17" t="str">
            <v>H1 Sciences médicales</v>
          </cell>
          <cell r="G17" t="str">
            <v>Attente Client</v>
          </cell>
          <cell r="H17" t="str">
            <v>Attente Client</v>
          </cell>
        </row>
        <row r="18">
          <cell r="C18" t="str">
            <v>SNC</v>
          </cell>
          <cell r="E18" t="str">
            <v>H2 Sciences pharmacologiques</v>
          </cell>
          <cell r="G18" t="str">
            <v>NA</v>
          </cell>
          <cell r="H18" t="str">
            <v>NA</v>
          </cell>
        </row>
        <row r="19">
          <cell r="C19" t="str">
            <v>Attente Client</v>
          </cell>
          <cell r="E19" t="str">
            <v>J Sciences juridiques, Sciences politiques</v>
          </cell>
        </row>
        <row r="20">
          <cell r="C20" t="str">
            <v>NA</v>
          </cell>
          <cell r="E20" t="str">
            <v>K Sciences agronomiques et alimentaires</v>
          </cell>
        </row>
        <row r="21">
          <cell r="E21" t="str">
            <v>L Littérature, Langues, Linguistique, Sciences de l'art, Histoire, Archéologie</v>
          </cell>
        </row>
        <row r="22">
          <cell r="E22" t="str">
            <v>O Océan, Atmosphère, Terre, Environnement naturel</v>
          </cell>
        </row>
        <row r="23">
          <cell r="E23" t="str">
            <v>M Mathématiques</v>
          </cell>
        </row>
        <row r="24">
          <cell r="E24" t="str">
            <v>P Physique fondamentale</v>
          </cell>
        </row>
        <row r="25">
          <cell r="E25" t="str">
            <v>R Philosophie, Psychologie, Sciences de l'éducation, Information et Communication</v>
          </cell>
        </row>
        <row r="26">
          <cell r="E26" t="str">
            <v>S Sociologie, Démographie, Ethnologie, Anthropologie, Géographie, Aménagement de l'espace</v>
          </cell>
        </row>
        <row r="27">
          <cell r="E27" t="str">
            <v>T1 Thermique</v>
          </cell>
        </row>
        <row r="28">
          <cell r="E28" t="str">
            <v>T2 Energétique</v>
          </cell>
        </row>
        <row r="29">
          <cell r="E29" t="str">
            <v>T3 Génie des procédés</v>
          </cell>
        </row>
        <row r="30">
          <cell r="E30" t="str">
            <v>Z Etudes pluridisciplinaires particulières sur un pays, un continent</v>
          </cell>
        </row>
        <row r="31">
          <cell r="E31" t="str">
            <v>Attente Client</v>
          </cell>
        </row>
        <row r="32">
          <cell r="E32" t="str">
            <v>NA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>
        <row r="2">
          <cell r="B2" t="str">
            <v>-- Sélectionner --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>
        <row r="2">
          <cell r="B2" t="str">
            <v>-- Sélectionner --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>
        <row r="2">
          <cell r="B2" t="str">
            <v>-- Sélectionner --</v>
          </cell>
        </row>
      </sheetData>
      <sheetData sheetId="33"/>
      <sheetData sheetId="34"/>
      <sheetData sheetId="35"/>
      <sheetData sheetId="36"/>
      <sheetData sheetId="37"/>
      <sheetData sheetId="38"/>
      <sheetData sheetId="39"/>
      <sheetData sheetId="40">
        <row r="2">
          <cell r="B2" t="str">
            <v>-- Sélectionner --</v>
          </cell>
        </row>
      </sheetData>
      <sheetData sheetId="41"/>
      <sheetData sheetId="42"/>
      <sheetData sheetId="43"/>
      <sheetData sheetId="44"/>
      <sheetData sheetId="45"/>
      <sheetData sheetId="46"/>
      <sheetData sheetId="47"/>
      <sheetData sheetId="48">
        <row r="2">
          <cell r="B2" t="str">
            <v>-- Sélectionner --</v>
          </cell>
        </row>
      </sheetData>
      <sheetData sheetId="49"/>
      <sheetData sheetId="50"/>
      <sheetData sheetId="51"/>
      <sheetData sheetId="52"/>
      <sheetData sheetId="53"/>
      <sheetData sheetId="54"/>
      <sheetData sheetId="55"/>
      <sheetData sheetId="56">
        <row r="2">
          <cell r="B2" t="str">
            <v>-- Sélectionner --</v>
          </cell>
        </row>
      </sheetData>
      <sheetData sheetId="57"/>
      <sheetData sheetId="58"/>
      <sheetData sheetId="59"/>
      <sheetData sheetId="60"/>
      <sheetData sheetId="61"/>
      <sheetData sheetId="62"/>
      <sheetData sheetId="63"/>
      <sheetData sheetId="64">
        <row r="2">
          <cell r="B2" t="str">
            <v>-- Sélectionner --</v>
          </cell>
        </row>
      </sheetData>
      <sheetData sheetId="65"/>
      <sheetData sheetId="66"/>
      <sheetData sheetId="67"/>
      <sheetData sheetId="68"/>
      <sheetData sheetId="69"/>
      <sheetData sheetId="70"/>
      <sheetData sheetId="71"/>
      <sheetData sheetId="72">
        <row r="2">
          <cell r="B2" t="str">
            <v>-- Sélectionner --</v>
          </cell>
        </row>
      </sheetData>
      <sheetData sheetId="7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ource"/>
      <sheetName val="BDD"/>
      <sheetName val="Analyse"/>
      <sheetName val="Fiche pour valo"/>
    </sheetNames>
    <sheetDataSet>
      <sheetData sheetId="0" refreshError="1"/>
      <sheetData sheetId="1" refreshError="1"/>
      <sheetData sheetId="2">
        <row r="1">
          <cell r="R1" t="str">
            <v>Projet</v>
          </cell>
          <cell r="S1" t="str">
            <v xml:space="preserve">
Base S.</v>
          </cell>
        </row>
        <row r="3">
          <cell r="R3" t="str">
            <v>Somme de Valeur</v>
          </cell>
          <cell r="U3" t="str">
            <v>Typologie</v>
          </cell>
        </row>
        <row r="4">
          <cell r="R4" t="str">
            <v>Matricule</v>
          </cell>
          <cell r="S4" t="str">
            <v>Nom</v>
          </cell>
          <cell r="T4" t="str">
            <v>Prenom</v>
          </cell>
          <cell r="U4" t="str">
            <v>HTRAV-</v>
          </cell>
          <cell r="V4" t="str">
            <v>JTRAV-</v>
          </cell>
          <cell r="W4" t="str">
            <v>JTRAV-RTT</v>
          </cell>
          <cell r="X4" t="str">
            <v>HTRAV</v>
          </cell>
          <cell r="Y4" t="str">
            <v>JTRAV</v>
          </cell>
          <cell r="Z4" t="str">
            <v>Total général</v>
          </cell>
          <cell r="AA4" t="str">
            <v>HTRAV</v>
          </cell>
        </row>
        <row r="5">
          <cell r="R5">
            <v>1</v>
          </cell>
          <cell r="S5" t="str">
            <v>CIEREN</v>
          </cell>
          <cell r="T5" t="str">
            <v>Marion</v>
          </cell>
          <cell r="U5">
            <v>-28</v>
          </cell>
          <cell r="V5">
            <v>-19.5</v>
          </cell>
          <cell r="W5">
            <v>-8</v>
          </cell>
          <cell r="Y5">
            <v>127.39</v>
          </cell>
          <cell r="Z5">
            <v>71.89</v>
          </cell>
          <cell r="AA5">
            <v>1019.12</v>
          </cell>
        </row>
        <row r="6">
          <cell r="R6">
            <v>2</v>
          </cell>
          <cell r="S6" t="str">
            <v>DELFOSSE</v>
          </cell>
          <cell r="T6" t="str">
            <v>Mylene</v>
          </cell>
          <cell r="U6">
            <v>-17.5</v>
          </cell>
          <cell r="V6">
            <v>-15</v>
          </cell>
          <cell r="W6">
            <v>-6</v>
          </cell>
          <cell r="X6">
            <v>1629.87</v>
          </cell>
          <cell r="Z6">
            <v>1591.37</v>
          </cell>
          <cell r="AA6">
            <v>1507.37</v>
          </cell>
        </row>
        <row r="7">
          <cell r="R7">
            <v>3</v>
          </cell>
          <cell r="S7" t="str">
            <v>JONDOT</v>
          </cell>
          <cell r="T7" t="str">
            <v>Keita</v>
          </cell>
          <cell r="V7">
            <v>-20</v>
          </cell>
          <cell r="W7">
            <v>-8</v>
          </cell>
          <cell r="Y7">
            <v>181</v>
          </cell>
          <cell r="Z7">
            <v>153</v>
          </cell>
          <cell r="AA7">
            <v>1448</v>
          </cell>
        </row>
        <row r="8">
          <cell r="R8">
            <v>4</v>
          </cell>
          <cell r="S8" t="str">
            <v>POHER</v>
          </cell>
          <cell r="T8" t="str">
            <v>Vincent</v>
          </cell>
          <cell r="X8">
            <v>1365.03</v>
          </cell>
          <cell r="Z8">
            <v>1365.03</v>
          </cell>
          <cell r="AA8">
            <v>1365.03</v>
          </cell>
        </row>
        <row r="9">
          <cell r="R9">
            <v>5</v>
          </cell>
          <cell r="S9" t="str">
            <v>SPIACZKA</v>
          </cell>
          <cell r="T9" t="str">
            <v>Johanna</v>
          </cell>
          <cell r="V9">
            <v>-4</v>
          </cell>
          <cell r="W9">
            <v>-5.5</v>
          </cell>
          <cell r="Y9">
            <v>175.79</v>
          </cell>
          <cell r="Z9">
            <v>166.29</v>
          </cell>
          <cell r="AA9">
            <v>1406.32</v>
          </cell>
        </row>
        <row r="10">
          <cell r="R10">
            <v>6</v>
          </cell>
          <cell r="S10" t="str">
            <v>ROBLIN</v>
          </cell>
          <cell r="T10" t="str">
            <v>Tom</v>
          </cell>
          <cell r="W10">
            <v>-2</v>
          </cell>
          <cell r="Y10">
            <v>60</v>
          </cell>
          <cell r="Z10">
            <v>58</v>
          </cell>
          <cell r="AA10">
            <v>480</v>
          </cell>
        </row>
        <row r="11">
          <cell r="R11">
            <v>7</v>
          </cell>
          <cell r="S11" t="str">
            <v>PERROT</v>
          </cell>
          <cell r="T11" t="str">
            <v>Salomé</v>
          </cell>
          <cell r="V11">
            <v>-1</v>
          </cell>
          <cell r="W11">
            <v>-1</v>
          </cell>
          <cell r="X11">
            <v>221.67</v>
          </cell>
          <cell r="Z11">
            <v>219.67</v>
          </cell>
          <cell r="AA11">
            <v>214.67</v>
          </cell>
        </row>
        <row r="12">
          <cell r="R12">
            <v>8</v>
          </cell>
          <cell r="S12" t="str">
            <v>GRACIETTE</v>
          </cell>
          <cell r="T12" t="str">
            <v>Adrien</v>
          </cell>
          <cell r="W12">
            <v>-1</v>
          </cell>
          <cell r="X12">
            <v>186.67</v>
          </cell>
          <cell r="Z12">
            <v>185.67</v>
          </cell>
          <cell r="AA12">
            <v>186.67</v>
          </cell>
        </row>
        <row r="13">
          <cell r="R13">
            <v>9</v>
          </cell>
          <cell r="S13" t="str">
            <v>JACQUOT</v>
          </cell>
          <cell r="T13" t="str">
            <v>Damien</v>
          </cell>
          <cell r="U13">
            <v>-0.5</v>
          </cell>
          <cell r="W13">
            <v>-0.5</v>
          </cell>
          <cell r="X13">
            <v>151.66999999999999</v>
          </cell>
          <cell r="Z13">
            <v>150.66999999999999</v>
          </cell>
          <cell r="AA13">
            <v>151.16999999999999</v>
          </cell>
        </row>
        <row r="14">
          <cell r="R14" t="str">
            <v>TOTAL</v>
          </cell>
          <cell r="S14" t="str">
            <v>(vide)</v>
          </cell>
          <cell r="T14" t="str">
            <v>(vide)</v>
          </cell>
          <cell r="U14">
            <v>-46</v>
          </cell>
          <cell r="V14">
            <v>-59.5</v>
          </cell>
          <cell r="W14">
            <v>-32</v>
          </cell>
          <cell r="X14">
            <v>3554.91</v>
          </cell>
          <cell r="Y14">
            <v>544.17999999999995</v>
          </cell>
          <cell r="Z14">
            <v>3961.5899999999997</v>
          </cell>
          <cell r="AA14">
            <v>4353.4399999999996</v>
          </cell>
        </row>
        <row r="15">
          <cell r="R15" t="str">
            <v>Total général</v>
          </cell>
          <cell r="U15">
            <v>-92</v>
          </cell>
          <cell r="V15">
            <v>-119</v>
          </cell>
          <cell r="W15">
            <v>-64</v>
          </cell>
          <cell r="X15">
            <v>7109.82</v>
          </cell>
          <cell r="Y15">
            <v>1088.3599999999999</v>
          </cell>
          <cell r="Z15">
            <v>7923.18</v>
          </cell>
          <cell r="AA15">
            <v>12131.789999999999</v>
          </cell>
        </row>
      </sheetData>
      <sheetData sheetId="3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Axel Lopez" id="{8A14008D-280F-4885-A0E1-5DCECC99CC53}" userId="S::a.lopez@businove.com::705db035-9bc7-4c77-a828-aa073053c159" providerId="AD"/>
  <person displayName="Aglaé SAUDRAIS" id="{4C5E0A47-8BAB-4B48-93BF-699FDB757C57}" userId="S::a.saudrais@businove.com::9f0ab32f-3e85-4180-a088-aff834477247" providerId="AD"/>
  <person displayName="Jules LeHouedec" id="{96B9FA46-3D79-4ACB-8AFA-579B23196C89}" userId="S::j.lehouedec@businove.com::50960f6b-87fd-480c-89a0-b1c81c2c8524" providerId="AD"/>
</personList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0_FTRA/BILOCELLIS_2025_RECAP%20PAIES.xlsx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tilisateur" refreshedDate="46045.376753356482" createdVersion="8" refreshedVersion="8" minRefreshableVersion="3" recordCount="956" xr:uid="{7A4E130F-75B8-44C9-A6FD-FEC7DBEAA9CE}">
  <cacheSource type="worksheet">
    <worksheetSource ref="A1:H1048576" sheet="BDD" r:id="rId2"/>
  </cacheSource>
  <cacheFields count="8">
    <cacheField name="Matricule" numFmtId="0">
      <sharedItems containsBlank="1" containsMixedTypes="1" containsNumber="1" containsInteger="1" minValue="1" maxValue="9" count="11">
        <n v="1"/>
        <n v="2"/>
        <n v="8"/>
        <n v="9"/>
        <n v="3"/>
        <n v="7"/>
        <n v="4"/>
        <n v="6"/>
        <n v="5"/>
        <s v="TOTAL"/>
        <m/>
      </sharedItems>
    </cacheField>
    <cacheField name="Nom" numFmtId="0">
      <sharedItems containsBlank="1" count="10">
        <s v="CIEREN"/>
        <s v="DELFOSSE"/>
        <s v="GRACIETTE"/>
        <s v="JACQUOT"/>
        <s v="JONDOT"/>
        <s v="PERROT"/>
        <s v="POHER"/>
        <s v="ROBLIN"/>
        <s v="SPIACZKA"/>
        <m/>
      </sharedItems>
    </cacheField>
    <cacheField name="Prenom" numFmtId="0">
      <sharedItems containsBlank="1" count="10">
        <s v="Marion"/>
        <s v="Mylene"/>
        <s v="Adrien"/>
        <s v="Damien"/>
        <s v="Keita"/>
        <s v="Salomé"/>
        <s v="Vincent"/>
        <s v="Tom"/>
        <s v="Johanna"/>
        <m/>
      </sharedItems>
    </cacheField>
    <cacheField name="Libellé" numFmtId="0">
      <sharedItems containsBlank="1" count="103">
        <s v="Salaire de base"/>
        <s v="Sous-total Salaire de base"/>
        <s v="Maladie non professionnelle (T)"/>
        <s v="  Delta tassage absences"/>
        <s v="Maladie non professionnelle "/>
        <s v="Absence événement familial (sans retenue) "/>
        <s v="Absence rémunérée "/>
        <s v="Congé sans solde "/>
        <s v="Annulation absence "/>
        <s v="Maintien absence maladie 100%"/>
        <s v="Absence pour entrée"/>
        <s v="Sous-total Absences"/>
        <s v="Annulation absence"/>
        <s v="Congé sans solde"/>
        <s v="Temps partiel thérapeutique (MNP)"/>
        <s v="Maladie non professionnelle"/>
        <s v="IJSS brutes absence maladie 50%"/>
        <s v="Absence pour entrée/sortie"/>
        <s v="Maladie enfant"/>
        <s v="Maintien absence maladie enfant 100%"/>
        <s v="Sous-total Absences (Forfait Jours)"/>
        <s v="Congés payés pris (j)"/>
        <s v="Congés payés acquis (j)"/>
        <s v="Congés payés"/>
        <s v="Indemnités de congés payés"/>
        <s v="RTT pris (j)"/>
        <s v="RTT acquis (j)"/>
        <s v="RTT et autres repos"/>
        <s v="Jours de congés acquis par fractionnement"/>
        <s v="Prime exceptionnelle"/>
        <s v="Rappel sur salaire de base (03/2025)"/>
        <s v="Jours de congés parentalité acquis"/>
        <s v="Sous-total Primes"/>
        <s v="Jours travaillés (forfait jour)"/>
        <s v="Heures normales travaillées"/>
        <s v="Total heures travaillées"/>
        <s v="Ajustement du net"/>
        <s v="Brut recalculé **********"/>
        <s v="Salaire Brut"/>
        <s v="Brut AL Avec RS"/>
        <s v="  Plafond SS"/>
        <s v="  Plafond GMP"/>
        <s v="  Tranche A"/>
        <s v="  Tranche B"/>
        <s v="Maladie - maternité - invalidité - décès"/>
        <s v="Contribution Solidarité Autonomie"/>
        <s v="Contribution Solidarité Autonomie  JEI  non exo"/>
        <s v="Vieillesse déplafonnée"/>
        <s v="Vieillesse déplafonnée JEI 100%"/>
        <s v="Vieillesse plafonnée"/>
        <s v="Vieillesse plafonnée JEI 100%"/>
        <s v="Allocations familiales"/>
        <s v="Accident du travail"/>
        <s v="Accident du travail JEI  non exo"/>
        <s v="FNAL plafonné"/>
        <s v="CSG déductible"/>
        <s v="CSG non déductible et CRDS"/>
        <s v="Contribution au dialogue social"/>
        <s v="Assurance chômage TrA+TrB"/>
        <s v="AGS"/>
        <s v="APEC TrA"/>
        <s v="APEC TrB"/>
        <s v="Retraite TU1"/>
        <s v="Retraite TU2"/>
        <s v="Contribution d'Equilibre Général TU1"/>
        <s v="Contribution d'Equilibre Général TU2"/>
        <s v="Contribution d'Equilibre Technique TU1"/>
        <s v="Contribution d'Equilibre Technique TU2"/>
        <s v="Prévoyance supplémentaire TrA"/>
        <s v="Prévoyance supplémentaire TrB"/>
        <s v="Frais de santé Isolé régul novembre"/>
        <s v="Frais de santé Duo"/>
        <s v="Frais de santé Isolé regul novembre 2025"/>
        <s v="Frais de santé Isolé"/>
        <s v="Frais de santé Famille"/>
        <s v="Contribution formation prof. (légal)"/>
        <s v="Contribution CPF-CDD"/>
        <s v="Taxe d'apprentissage "/>
        <s v="Taxe d'apprentissage (Libératoire)"/>
        <s v="Total des retenues déductibles"/>
        <s v="Total des retenues non déductibles"/>
        <s v="Total des retenues"/>
        <s v="Net imposable"/>
        <s v="IJSS nettes"/>
        <s v="Réintégration fiscale"/>
        <s v="Remboursement de frais professionnels"/>
        <s v="Impôt sur le revenu prélevé à la source - PAS"/>
        <s v="Net à payer avant impôt sur le revenu"/>
        <s v="Rémunération Nette Fiscale"/>
        <s v="Montant net social"/>
        <s v="Remboursement abonnement transport"/>
        <s v="Forfait mensuel NAVIGO Toutes Zones"/>
        <s v="Net à payer"/>
        <s v="Total indemnités coût global"/>
        <s v="Coût global"/>
        <s v="Net à payer - GLOBAL"/>
        <s v="Base CSG bulletin"/>
        <s v="Brut"/>
        <s v="Abattement"/>
        <s v="Base CSG abattue (1.75%)"/>
        <s v="Réintégration CSG"/>
        <s v="Base CSG recalculée"/>
        <m/>
      </sharedItems>
    </cacheField>
    <cacheField name="Projet" numFmtId="0">
      <sharedItems containsBlank="1" count="4">
        <s v="_x000a__x000a__x000a_Salarial"/>
        <s v="_x000a__x000a__x000a_Base S."/>
        <s v="_x000a__x000a__x000a_Patronal"/>
        <m/>
      </sharedItems>
    </cacheField>
    <cacheField name="Valeur" numFmtId="0">
      <sharedItems containsString="0" containsBlank="1" containsNumber="1" minValue="-19618.759999999998" maxValue="325293.34999999998"/>
    </cacheField>
    <cacheField name="Typologie" numFmtId="0">
      <sharedItems containsBlank="1" count="12">
        <m/>
        <s v="Contrôle Brut"/>
        <s v="HTRAV-"/>
        <s v="JTRAV-"/>
        <s v="JTRAV-RTT"/>
        <s v="JTRAV"/>
        <s v="HTRAV"/>
        <s v="Salaire Brut"/>
        <s v="CSPO"/>
        <s v="Contrôle CSPO"/>
        <s v="Acc à la remu"/>
        <s v="NE"/>
      </sharedItems>
    </cacheField>
    <cacheField name="Eligibilité" numFmtId="0">
      <sharedItems containsBlank="1" count="3">
        <m/>
        <s v="Oui"/>
        <s v="No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usinove" refreshedDate="46125.432434374998" createdVersion="8" refreshedVersion="8" minRefreshableVersion="3" recordCount="1" xr:uid="{23EF642B-9FD3-406A-8753-A008F2A082D5}">
  <cacheSource type="worksheet">
    <worksheetSource ref="I4:AE5" sheet="VALO_ST"/>
  </cacheSource>
  <cacheFields count="23">
    <cacheField name="N° SIREN" numFmtId="164">
      <sharedItems containsSemiMixedTypes="0" containsString="0" containsNumber="1" containsInteger="1" minValue="180089013" maxValue="775684897" count="6">
        <n v="775684897"/>
        <n v="180089013" u="1"/>
        <n v="193113842" u="1"/>
        <n v="692015266" u="1"/>
        <n v="197619042" u="1"/>
        <n v="513504399" u="1"/>
      </sharedItems>
    </cacheField>
    <cacheField name="Organisme" numFmtId="164">
      <sharedItems containsBlank="1" count="7">
        <s v="Institut Pasteur"/>
        <m u="1"/>
        <s v="CNRS" u="1"/>
        <s v="Université Paul Sabatier" u="1"/>
        <s v="LIS France" u="1"/>
        <s v="Université de Rouen" u="1"/>
        <s v="Upscience" u="1"/>
      </sharedItems>
    </cacheField>
    <cacheField name="rattachement projet" numFmtId="164">
      <sharedItems containsNonDate="0" containsString="0" containsBlank="1"/>
    </cacheField>
    <cacheField name="Résumé des travaux" numFmtId="164">
      <sharedItems/>
    </cacheField>
    <cacheField name="Type de travaux" numFmtId="164">
      <sharedItems containsNonDate="0" containsString="0" containsBlank="1"/>
    </cacheField>
    <cacheField name="Adresse " numFmtId="164">
      <sharedItems containsBlank="1" count="7">
        <s v="28, Rue du Docteur Roux_x000a_75724 PARIS CEDEX 15_x000a_France"/>
        <m u="1"/>
        <s v="3 rue Michel Ange, 75016 Paris" u="1"/>
        <s v="118 route de Narbonne, 31400 Toulouse" u="1"/>
        <s v="67 rue de la gare, 50510 Cerences" u="1"/>
        <s v="1 rue Thomas Becket, 76130 Mont-Saint-Aignan" u="1"/>
        <s v="Talhouët, 56250 Saint Nolff" u="1"/>
      </sharedItems>
    </cacheField>
    <cacheField name="Nationalité" numFmtId="164">
      <sharedItems/>
    </cacheField>
    <cacheField name="Lien de dépendance" numFmtId="164">
      <sharedItems/>
    </cacheField>
    <cacheField name="Agrément" numFmtId="164">
      <sharedItems containsBlank="1" count="2">
        <s v="CIR"/>
        <m u="1"/>
      </sharedItems>
    </cacheField>
    <cacheField name="Début Agrément" numFmtId="164">
      <sharedItems containsSemiMixedTypes="0" containsString="0" containsNumber="1" containsInteger="1" minValue="2022" maxValue="2022"/>
    </cacheField>
    <cacheField name="Fin Agrément" numFmtId="164">
      <sharedItems containsSemiMixedTypes="0" containsString="0" containsNumber="1" containsInteger="1" minValue="2026" maxValue="2026"/>
    </cacheField>
    <cacheField name="Montant HT" numFmtId="164">
      <sharedItems containsSemiMixedTypes="0" containsString="0" containsNumber="1" containsInteger="1" minValue="52917" maxValue="52917"/>
    </cacheField>
    <cacheField name="Eligibilité" numFmtId="164">
      <sharedItems/>
    </cacheField>
    <cacheField name="Montant CIR" numFmtId="164">
      <sharedItems containsSemiMixedTypes="0" containsString="0" containsNumber="1" containsInteger="1" minValue="52917" maxValue="52917"/>
    </cacheField>
    <cacheField name="x" numFmtId="164">
      <sharedItems containsNonDate="0" containsString="0" containsBlank="1"/>
    </cacheField>
    <cacheField name="Montant CII" numFmtId="164">
      <sharedItems containsSemiMixedTypes="0" containsString="0" containsNumber="1" containsInteger="1" minValue="0" maxValue="0"/>
    </cacheField>
    <cacheField name="x2" numFmtId="164">
      <sharedItems containsNonDate="0" containsString="0" containsBlank="1"/>
    </cacheField>
    <cacheField name="Montant   CIC" numFmtId="164">
      <sharedItems containsSemiMixedTypes="0" containsString="0" containsNumber="1" containsInteger="1" minValue="0" maxValue="0"/>
    </cacheField>
    <cacheField name="x3" numFmtId="164">
      <sharedItems containsNonDate="0" containsString="0" containsBlank="1"/>
    </cacheField>
    <cacheField name="Montant  CICO" numFmtId="164">
      <sharedItems containsSemiMixedTypes="0" containsString="0" containsNumber="1" containsInteger="1" minValue="0" maxValue="0"/>
    </cacheField>
    <cacheField name="x4" numFmtId="0">
      <sharedItems containsNonDate="0" containsString="0" containsBlank="1"/>
    </cacheField>
    <cacheField name="Ligne 2069-AS-D" numFmtId="0">
      <sharedItems count="2">
        <s v="16a"/>
        <s v="" u="1"/>
      </sharedItems>
    </cacheField>
    <cacheField name="montant" numFmtId="164">
      <sharedItems containsSemiMixedTypes="0" containsString="0" containsNumber="1" containsInteger="1" minValue="52917" maxValue="529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6">
  <r>
    <x v="0"/>
    <x v="0"/>
    <x v="0"/>
    <x v="0"/>
    <x v="0"/>
    <n v="40333.370000000003"/>
    <x v="0"/>
    <x v="0"/>
  </r>
  <r>
    <x v="1"/>
    <x v="1"/>
    <x v="1"/>
    <x v="0"/>
    <x v="1"/>
    <n v="1668.37"/>
    <x v="0"/>
    <x v="0"/>
  </r>
  <r>
    <x v="1"/>
    <x v="1"/>
    <x v="1"/>
    <x v="0"/>
    <x v="0"/>
    <n v="36666.74"/>
    <x v="0"/>
    <x v="0"/>
  </r>
  <r>
    <x v="2"/>
    <x v="2"/>
    <x v="2"/>
    <x v="0"/>
    <x v="1"/>
    <n v="303.33999999999997"/>
    <x v="0"/>
    <x v="0"/>
  </r>
  <r>
    <x v="2"/>
    <x v="2"/>
    <x v="2"/>
    <x v="0"/>
    <x v="0"/>
    <n v="6800"/>
    <x v="0"/>
    <x v="0"/>
  </r>
  <r>
    <x v="3"/>
    <x v="3"/>
    <x v="3"/>
    <x v="0"/>
    <x v="1"/>
    <n v="151.66999999999999"/>
    <x v="0"/>
    <x v="0"/>
  </r>
  <r>
    <x v="3"/>
    <x v="3"/>
    <x v="3"/>
    <x v="0"/>
    <x v="0"/>
    <n v="2916"/>
    <x v="0"/>
    <x v="0"/>
  </r>
  <r>
    <x v="4"/>
    <x v="4"/>
    <x v="4"/>
    <x v="0"/>
    <x v="0"/>
    <n v="30533.34"/>
    <x v="0"/>
    <x v="0"/>
  </r>
  <r>
    <x v="5"/>
    <x v="5"/>
    <x v="5"/>
    <x v="0"/>
    <x v="1"/>
    <n v="303.33999999999997"/>
    <x v="0"/>
    <x v="0"/>
  </r>
  <r>
    <x v="5"/>
    <x v="5"/>
    <x v="5"/>
    <x v="0"/>
    <x v="0"/>
    <n v="4666"/>
    <x v="0"/>
    <x v="0"/>
  </r>
  <r>
    <x v="6"/>
    <x v="6"/>
    <x v="6"/>
    <x v="0"/>
    <x v="1"/>
    <n v="1365.03"/>
    <x v="0"/>
    <x v="0"/>
  </r>
  <r>
    <x v="6"/>
    <x v="6"/>
    <x v="6"/>
    <x v="0"/>
    <x v="0"/>
    <n v="88000"/>
    <x v="0"/>
    <x v="0"/>
  </r>
  <r>
    <x v="7"/>
    <x v="7"/>
    <x v="7"/>
    <x v="0"/>
    <x v="0"/>
    <n v="9000"/>
    <x v="0"/>
    <x v="0"/>
  </r>
  <r>
    <x v="8"/>
    <x v="8"/>
    <x v="8"/>
    <x v="0"/>
    <x v="0"/>
    <n v="62500"/>
    <x v="0"/>
    <x v="0"/>
  </r>
  <r>
    <x v="9"/>
    <x v="9"/>
    <x v="9"/>
    <x v="0"/>
    <x v="1"/>
    <n v="3791.75"/>
    <x v="0"/>
    <x v="0"/>
  </r>
  <r>
    <x v="9"/>
    <x v="9"/>
    <x v="9"/>
    <x v="0"/>
    <x v="0"/>
    <n v="281415.45"/>
    <x v="0"/>
    <x v="0"/>
  </r>
  <r>
    <x v="0"/>
    <x v="0"/>
    <x v="0"/>
    <x v="1"/>
    <x v="0"/>
    <n v="40333.370000000003"/>
    <x v="1"/>
    <x v="1"/>
  </r>
  <r>
    <x v="1"/>
    <x v="1"/>
    <x v="1"/>
    <x v="1"/>
    <x v="1"/>
    <n v="1668.37"/>
    <x v="0"/>
    <x v="0"/>
  </r>
  <r>
    <x v="1"/>
    <x v="1"/>
    <x v="1"/>
    <x v="1"/>
    <x v="0"/>
    <n v="36666.74"/>
    <x v="1"/>
    <x v="1"/>
  </r>
  <r>
    <x v="2"/>
    <x v="2"/>
    <x v="2"/>
    <x v="1"/>
    <x v="1"/>
    <n v="303.33999999999997"/>
    <x v="0"/>
    <x v="0"/>
  </r>
  <r>
    <x v="2"/>
    <x v="2"/>
    <x v="2"/>
    <x v="1"/>
    <x v="0"/>
    <n v="6800"/>
    <x v="1"/>
    <x v="1"/>
  </r>
  <r>
    <x v="3"/>
    <x v="3"/>
    <x v="3"/>
    <x v="1"/>
    <x v="1"/>
    <n v="151.66999999999999"/>
    <x v="0"/>
    <x v="0"/>
  </r>
  <r>
    <x v="3"/>
    <x v="3"/>
    <x v="3"/>
    <x v="1"/>
    <x v="0"/>
    <n v="2916"/>
    <x v="1"/>
    <x v="1"/>
  </r>
  <r>
    <x v="4"/>
    <x v="4"/>
    <x v="4"/>
    <x v="1"/>
    <x v="0"/>
    <n v="30533.34"/>
    <x v="1"/>
    <x v="1"/>
  </r>
  <r>
    <x v="5"/>
    <x v="5"/>
    <x v="5"/>
    <x v="1"/>
    <x v="1"/>
    <n v="303.33999999999997"/>
    <x v="0"/>
    <x v="0"/>
  </r>
  <r>
    <x v="5"/>
    <x v="5"/>
    <x v="5"/>
    <x v="1"/>
    <x v="0"/>
    <n v="4666"/>
    <x v="1"/>
    <x v="1"/>
  </r>
  <r>
    <x v="6"/>
    <x v="6"/>
    <x v="6"/>
    <x v="1"/>
    <x v="1"/>
    <n v="1365.03"/>
    <x v="0"/>
    <x v="0"/>
  </r>
  <r>
    <x v="6"/>
    <x v="6"/>
    <x v="6"/>
    <x v="1"/>
    <x v="0"/>
    <n v="88000"/>
    <x v="1"/>
    <x v="1"/>
  </r>
  <r>
    <x v="7"/>
    <x v="7"/>
    <x v="7"/>
    <x v="1"/>
    <x v="0"/>
    <n v="9000"/>
    <x v="1"/>
    <x v="1"/>
  </r>
  <r>
    <x v="8"/>
    <x v="8"/>
    <x v="8"/>
    <x v="1"/>
    <x v="0"/>
    <n v="62500"/>
    <x v="1"/>
    <x v="1"/>
  </r>
  <r>
    <x v="9"/>
    <x v="9"/>
    <x v="9"/>
    <x v="1"/>
    <x v="1"/>
    <n v="3791.75"/>
    <x v="0"/>
    <x v="0"/>
  </r>
  <r>
    <x v="9"/>
    <x v="9"/>
    <x v="9"/>
    <x v="1"/>
    <x v="0"/>
    <n v="281415.45"/>
    <x v="1"/>
    <x v="1"/>
  </r>
  <r>
    <x v="0"/>
    <x v="0"/>
    <x v="0"/>
    <x v="2"/>
    <x v="0"/>
    <n v="-4174.28"/>
    <x v="0"/>
    <x v="0"/>
  </r>
  <r>
    <x v="9"/>
    <x v="9"/>
    <x v="9"/>
    <x v="2"/>
    <x v="0"/>
    <n v="-4174.28"/>
    <x v="0"/>
    <x v="0"/>
  </r>
  <r>
    <x v="0"/>
    <x v="0"/>
    <x v="0"/>
    <x v="3"/>
    <x v="0"/>
    <n v="507.61"/>
    <x v="0"/>
    <x v="0"/>
  </r>
  <r>
    <x v="9"/>
    <x v="9"/>
    <x v="9"/>
    <x v="3"/>
    <x v="0"/>
    <n v="507.61"/>
    <x v="0"/>
    <x v="0"/>
  </r>
  <r>
    <x v="1"/>
    <x v="1"/>
    <x v="1"/>
    <x v="4"/>
    <x v="1"/>
    <n v="-21"/>
    <x v="0"/>
    <x v="0"/>
  </r>
  <r>
    <x v="1"/>
    <x v="1"/>
    <x v="1"/>
    <x v="4"/>
    <x v="0"/>
    <n v="-461.53"/>
    <x v="0"/>
    <x v="0"/>
  </r>
  <r>
    <x v="9"/>
    <x v="9"/>
    <x v="9"/>
    <x v="4"/>
    <x v="1"/>
    <n v="-21"/>
    <x v="0"/>
    <x v="0"/>
  </r>
  <r>
    <x v="9"/>
    <x v="9"/>
    <x v="9"/>
    <x v="4"/>
    <x v="0"/>
    <n v="-461.53"/>
    <x v="0"/>
    <x v="0"/>
  </r>
  <r>
    <x v="1"/>
    <x v="1"/>
    <x v="1"/>
    <x v="5"/>
    <x v="1"/>
    <n v="-7"/>
    <x v="2"/>
    <x v="0"/>
  </r>
  <r>
    <x v="9"/>
    <x v="9"/>
    <x v="9"/>
    <x v="5"/>
    <x v="1"/>
    <n v="-7"/>
    <x v="2"/>
    <x v="0"/>
  </r>
  <r>
    <x v="1"/>
    <x v="1"/>
    <x v="1"/>
    <x v="6"/>
    <x v="1"/>
    <n v="-7"/>
    <x v="2"/>
    <x v="0"/>
  </r>
  <r>
    <x v="3"/>
    <x v="3"/>
    <x v="3"/>
    <x v="6"/>
    <x v="1"/>
    <n v="-0.5"/>
    <x v="2"/>
    <x v="0"/>
  </r>
  <r>
    <x v="9"/>
    <x v="9"/>
    <x v="9"/>
    <x v="6"/>
    <x v="1"/>
    <n v="-7.5"/>
    <x v="2"/>
    <x v="0"/>
  </r>
  <r>
    <x v="1"/>
    <x v="1"/>
    <x v="1"/>
    <x v="7"/>
    <x v="1"/>
    <n v="-17.5"/>
    <x v="0"/>
    <x v="0"/>
  </r>
  <r>
    <x v="1"/>
    <x v="1"/>
    <x v="1"/>
    <x v="7"/>
    <x v="0"/>
    <n v="-384.6"/>
    <x v="0"/>
    <x v="0"/>
  </r>
  <r>
    <x v="9"/>
    <x v="9"/>
    <x v="9"/>
    <x v="7"/>
    <x v="1"/>
    <n v="-17.5"/>
    <x v="0"/>
    <x v="0"/>
  </r>
  <r>
    <x v="9"/>
    <x v="9"/>
    <x v="9"/>
    <x v="7"/>
    <x v="0"/>
    <n v="-384.6"/>
    <x v="0"/>
    <x v="0"/>
  </r>
  <r>
    <x v="1"/>
    <x v="1"/>
    <x v="1"/>
    <x v="8"/>
    <x v="1"/>
    <n v="-3.5"/>
    <x v="2"/>
    <x v="0"/>
  </r>
  <r>
    <x v="9"/>
    <x v="9"/>
    <x v="9"/>
    <x v="8"/>
    <x v="1"/>
    <n v="-3.5"/>
    <x v="2"/>
    <x v="0"/>
  </r>
  <r>
    <x v="1"/>
    <x v="1"/>
    <x v="1"/>
    <x v="9"/>
    <x v="1"/>
    <n v="461.53"/>
    <x v="0"/>
    <x v="0"/>
  </r>
  <r>
    <x v="1"/>
    <x v="1"/>
    <x v="1"/>
    <x v="9"/>
    <x v="0"/>
    <n v="461.53"/>
    <x v="0"/>
    <x v="0"/>
  </r>
  <r>
    <x v="9"/>
    <x v="9"/>
    <x v="9"/>
    <x v="9"/>
    <x v="1"/>
    <n v="461.53"/>
    <x v="0"/>
    <x v="0"/>
  </r>
  <r>
    <x v="9"/>
    <x v="9"/>
    <x v="9"/>
    <x v="9"/>
    <x v="0"/>
    <n v="461.53"/>
    <x v="0"/>
    <x v="0"/>
  </r>
  <r>
    <x v="2"/>
    <x v="2"/>
    <x v="2"/>
    <x v="10"/>
    <x v="1"/>
    <n v="-116.67"/>
    <x v="0"/>
    <x v="0"/>
  </r>
  <r>
    <x v="2"/>
    <x v="2"/>
    <x v="2"/>
    <x v="10"/>
    <x v="0"/>
    <n v="-2615.4"/>
    <x v="0"/>
    <x v="0"/>
  </r>
  <r>
    <x v="5"/>
    <x v="5"/>
    <x v="5"/>
    <x v="10"/>
    <x v="1"/>
    <n v="-81.67"/>
    <x v="0"/>
    <x v="0"/>
  </r>
  <r>
    <x v="5"/>
    <x v="5"/>
    <x v="5"/>
    <x v="10"/>
    <x v="0"/>
    <n v="-1256.26"/>
    <x v="0"/>
    <x v="0"/>
  </r>
  <r>
    <x v="9"/>
    <x v="9"/>
    <x v="9"/>
    <x v="10"/>
    <x v="1"/>
    <n v="-198.34"/>
    <x v="0"/>
    <x v="0"/>
  </r>
  <r>
    <x v="9"/>
    <x v="9"/>
    <x v="9"/>
    <x v="10"/>
    <x v="0"/>
    <n v="-3871.66"/>
    <x v="0"/>
    <x v="0"/>
  </r>
  <r>
    <x v="0"/>
    <x v="0"/>
    <x v="0"/>
    <x v="11"/>
    <x v="0"/>
    <n v="-3666.67"/>
    <x v="1"/>
    <x v="1"/>
  </r>
  <r>
    <x v="1"/>
    <x v="1"/>
    <x v="1"/>
    <x v="11"/>
    <x v="1"/>
    <n v="-52.5"/>
    <x v="0"/>
    <x v="0"/>
  </r>
  <r>
    <x v="1"/>
    <x v="1"/>
    <x v="1"/>
    <x v="11"/>
    <x v="0"/>
    <n v="-384.6"/>
    <x v="1"/>
    <x v="1"/>
  </r>
  <r>
    <x v="2"/>
    <x v="2"/>
    <x v="2"/>
    <x v="11"/>
    <x v="1"/>
    <n v="-116.67"/>
    <x v="0"/>
    <x v="0"/>
  </r>
  <r>
    <x v="2"/>
    <x v="2"/>
    <x v="2"/>
    <x v="11"/>
    <x v="0"/>
    <n v="-2615.4"/>
    <x v="1"/>
    <x v="1"/>
  </r>
  <r>
    <x v="3"/>
    <x v="3"/>
    <x v="3"/>
    <x v="11"/>
    <x v="1"/>
    <n v="-0.5"/>
    <x v="0"/>
    <x v="0"/>
  </r>
  <r>
    <x v="5"/>
    <x v="5"/>
    <x v="5"/>
    <x v="11"/>
    <x v="1"/>
    <n v="-81.67"/>
    <x v="0"/>
    <x v="0"/>
  </r>
  <r>
    <x v="5"/>
    <x v="5"/>
    <x v="5"/>
    <x v="11"/>
    <x v="0"/>
    <n v="-1256.26"/>
    <x v="1"/>
    <x v="1"/>
  </r>
  <r>
    <x v="9"/>
    <x v="9"/>
    <x v="9"/>
    <x v="11"/>
    <x v="1"/>
    <n v="-251.34"/>
    <x v="0"/>
    <x v="0"/>
  </r>
  <r>
    <x v="9"/>
    <x v="9"/>
    <x v="9"/>
    <x v="11"/>
    <x v="0"/>
    <n v="-7922.93"/>
    <x v="1"/>
    <x v="1"/>
  </r>
  <r>
    <x v="0"/>
    <x v="0"/>
    <x v="0"/>
    <x v="12"/>
    <x v="1"/>
    <n v="-28"/>
    <x v="2"/>
    <x v="0"/>
  </r>
  <r>
    <x v="9"/>
    <x v="9"/>
    <x v="9"/>
    <x v="12"/>
    <x v="1"/>
    <n v="-28"/>
    <x v="2"/>
    <x v="0"/>
  </r>
  <r>
    <x v="0"/>
    <x v="0"/>
    <x v="0"/>
    <x v="13"/>
    <x v="1"/>
    <n v="-3.71"/>
    <x v="0"/>
    <x v="0"/>
  </r>
  <r>
    <x v="0"/>
    <x v="0"/>
    <x v="0"/>
    <x v="13"/>
    <x v="0"/>
    <n v="-627.75"/>
    <x v="0"/>
    <x v="0"/>
  </r>
  <r>
    <x v="8"/>
    <x v="8"/>
    <x v="8"/>
    <x v="13"/>
    <x v="1"/>
    <n v="-13.14"/>
    <x v="0"/>
    <x v="0"/>
  </r>
  <r>
    <x v="8"/>
    <x v="8"/>
    <x v="8"/>
    <x v="13"/>
    <x v="0"/>
    <n v="-3789.81"/>
    <x v="0"/>
    <x v="0"/>
  </r>
  <r>
    <x v="9"/>
    <x v="9"/>
    <x v="9"/>
    <x v="13"/>
    <x v="1"/>
    <n v="-16.850000000000001"/>
    <x v="0"/>
    <x v="0"/>
  </r>
  <r>
    <x v="9"/>
    <x v="9"/>
    <x v="9"/>
    <x v="13"/>
    <x v="0"/>
    <n v="-4417.5600000000004"/>
    <x v="0"/>
    <x v="0"/>
  </r>
  <r>
    <x v="0"/>
    <x v="0"/>
    <x v="0"/>
    <x v="14"/>
    <x v="1"/>
    <n v="-19"/>
    <x v="0"/>
    <x v="0"/>
  </r>
  <r>
    <x v="0"/>
    <x v="0"/>
    <x v="0"/>
    <x v="14"/>
    <x v="0"/>
    <n v="-3220.3"/>
    <x v="0"/>
    <x v="0"/>
  </r>
  <r>
    <x v="9"/>
    <x v="9"/>
    <x v="9"/>
    <x v="14"/>
    <x v="1"/>
    <n v="-19"/>
    <x v="0"/>
    <x v="0"/>
  </r>
  <r>
    <x v="9"/>
    <x v="9"/>
    <x v="9"/>
    <x v="14"/>
    <x v="0"/>
    <n v="-3220.3"/>
    <x v="0"/>
    <x v="0"/>
  </r>
  <r>
    <x v="0"/>
    <x v="0"/>
    <x v="0"/>
    <x v="15"/>
    <x v="1"/>
    <n v="-27"/>
    <x v="0"/>
    <x v="0"/>
  </r>
  <r>
    <x v="0"/>
    <x v="0"/>
    <x v="0"/>
    <x v="15"/>
    <x v="0"/>
    <n v="-4568.5200000000004"/>
    <x v="0"/>
    <x v="0"/>
  </r>
  <r>
    <x v="4"/>
    <x v="4"/>
    <x v="4"/>
    <x v="15"/>
    <x v="1"/>
    <n v="-22"/>
    <x v="0"/>
    <x v="0"/>
  </r>
  <r>
    <x v="4"/>
    <x v="4"/>
    <x v="4"/>
    <x v="15"/>
    <x v="0"/>
    <n v="-2842.63"/>
    <x v="0"/>
    <x v="0"/>
  </r>
  <r>
    <x v="9"/>
    <x v="9"/>
    <x v="9"/>
    <x v="15"/>
    <x v="1"/>
    <n v="-49"/>
    <x v="0"/>
    <x v="0"/>
  </r>
  <r>
    <x v="9"/>
    <x v="9"/>
    <x v="9"/>
    <x v="15"/>
    <x v="0"/>
    <n v="-7411.15"/>
    <x v="0"/>
    <x v="0"/>
  </r>
  <r>
    <x v="0"/>
    <x v="0"/>
    <x v="0"/>
    <x v="16"/>
    <x v="1"/>
    <n v="-2482.27"/>
    <x v="0"/>
    <x v="0"/>
  </r>
  <r>
    <x v="0"/>
    <x v="0"/>
    <x v="0"/>
    <x v="16"/>
    <x v="0"/>
    <n v="-2482.27"/>
    <x v="0"/>
    <x v="0"/>
  </r>
  <r>
    <x v="4"/>
    <x v="4"/>
    <x v="4"/>
    <x v="16"/>
    <x v="1"/>
    <n v="-787.93"/>
    <x v="0"/>
    <x v="0"/>
  </r>
  <r>
    <x v="4"/>
    <x v="4"/>
    <x v="4"/>
    <x v="16"/>
    <x v="0"/>
    <n v="-787.93"/>
    <x v="0"/>
    <x v="0"/>
  </r>
  <r>
    <x v="9"/>
    <x v="9"/>
    <x v="9"/>
    <x v="16"/>
    <x v="1"/>
    <n v="-3270.2"/>
    <x v="0"/>
    <x v="0"/>
  </r>
  <r>
    <x v="9"/>
    <x v="9"/>
    <x v="9"/>
    <x v="16"/>
    <x v="0"/>
    <n v="-3270.2"/>
    <x v="0"/>
    <x v="0"/>
  </r>
  <r>
    <x v="0"/>
    <x v="0"/>
    <x v="0"/>
    <x v="9"/>
    <x v="1"/>
    <n v="8235.19"/>
    <x v="0"/>
    <x v="0"/>
  </r>
  <r>
    <x v="0"/>
    <x v="0"/>
    <x v="0"/>
    <x v="9"/>
    <x v="0"/>
    <n v="8235.19"/>
    <x v="0"/>
    <x v="0"/>
  </r>
  <r>
    <x v="4"/>
    <x v="4"/>
    <x v="4"/>
    <x v="9"/>
    <x v="1"/>
    <n v="2842.63"/>
    <x v="0"/>
    <x v="0"/>
  </r>
  <r>
    <x v="4"/>
    <x v="4"/>
    <x v="4"/>
    <x v="9"/>
    <x v="0"/>
    <n v="2842.63"/>
    <x v="0"/>
    <x v="0"/>
  </r>
  <r>
    <x v="9"/>
    <x v="9"/>
    <x v="9"/>
    <x v="9"/>
    <x v="1"/>
    <n v="11077.82"/>
    <x v="0"/>
    <x v="0"/>
  </r>
  <r>
    <x v="9"/>
    <x v="9"/>
    <x v="9"/>
    <x v="9"/>
    <x v="0"/>
    <n v="11077.82"/>
    <x v="0"/>
    <x v="0"/>
  </r>
  <r>
    <x v="7"/>
    <x v="7"/>
    <x v="7"/>
    <x v="17"/>
    <x v="1"/>
    <n v="-0.67"/>
    <x v="0"/>
    <x v="0"/>
  </r>
  <r>
    <x v="7"/>
    <x v="7"/>
    <x v="7"/>
    <x v="17"/>
    <x v="0"/>
    <n v="-92.75"/>
    <x v="0"/>
    <x v="0"/>
  </r>
  <r>
    <x v="8"/>
    <x v="8"/>
    <x v="8"/>
    <x v="17"/>
    <x v="1"/>
    <n v="-10.67"/>
    <x v="0"/>
    <x v="0"/>
  </r>
  <r>
    <x v="8"/>
    <x v="8"/>
    <x v="8"/>
    <x v="17"/>
    <x v="0"/>
    <n v="-3077.41"/>
    <x v="0"/>
    <x v="0"/>
  </r>
  <r>
    <x v="9"/>
    <x v="9"/>
    <x v="9"/>
    <x v="17"/>
    <x v="1"/>
    <n v="-11.34"/>
    <x v="0"/>
    <x v="0"/>
  </r>
  <r>
    <x v="9"/>
    <x v="9"/>
    <x v="9"/>
    <x v="17"/>
    <x v="0"/>
    <n v="-3170.16"/>
    <x v="0"/>
    <x v="0"/>
  </r>
  <r>
    <x v="8"/>
    <x v="8"/>
    <x v="8"/>
    <x v="18"/>
    <x v="1"/>
    <n v="-1.57"/>
    <x v="0"/>
    <x v="0"/>
  </r>
  <r>
    <x v="8"/>
    <x v="8"/>
    <x v="8"/>
    <x v="18"/>
    <x v="0"/>
    <n v="-452.82"/>
    <x v="0"/>
    <x v="0"/>
  </r>
  <r>
    <x v="9"/>
    <x v="9"/>
    <x v="9"/>
    <x v="18"/>
    <x v="1"/>
    <n v="-1.57"/>
    <x v="0"/>
    <x v="0"/>
  </r>
  <r>
    <x v="9"/>
    <x v="9"/>
    <x v="9"/>
    <x v="18"/>
    <x v="0"/>
    <n v="-452.82"/>
    <x v="0"/>
    <x v="0"/>
  </r>
  <r>
    <x v="8"/>
    <x v="8"/>
    <x v="8"/>
    <x v="19"/>
    <x v="1"/>
    <n v="452.82"/>
    <x v="0"/>
    <x v="0"/>
  </r>
  <r>
    <x v="8"/>
    <x v="8"/>
    <x v="8"/>
    <x v="19"/>
    <x v="0"/>
    <n v="452.82"/>
    <x v="0"/>
    <x v="0"/>
  </r>
  <r>
    <x v="9"/>
    <x v="9"/>
    <x v="9"/>
    <x v="19"/>
    <x v="1"/>
    <n v="452.82"/>
    <x v="0"/>
    <x v="0"/>
  </r>
  <r>
    <x v="9"/>
    <x v="9"/>
    <x v="9"/>
    <x v="19"/>
    <x v="0"/>
    <n v="452.82"/>
    <x v="0"/>
    <x v="0"/>
  </r>
  <r>
    <x v="0"/>
    <x v="0"/>
    <x v="0"/>
    <x v="20"/>
    <x v="1"/>
    <n v="-49.71"/>
    <x v="0"/>
    <x v="0"/>
  </r>
  <r>
    <x v="0"/>
    <x v="0"/>
    <x v="0"/>
    <x v="20"/>
    <x v="0"/>
    <n v="-2663.65"/>
    <x v="1"/>
    <x v="1"/>
  </r>
  <r>
    <x v="4"/>
    <x v="4"/>
    <x v="4"/>
    <x v="20"/>
    <x v="1"/>
    <n v="-22"/>
    <x v="0"/>
    <x v="0"/>
  </r>
  <r>
    <x v="4"/>
    <x v="4"/>
    <x v="4"/>
    <x v="20"/>
    <x v="0"/>
    <n v="-787.93"/>
    <x v="1"/>
    <x v="1"/>
  </r>
  <r>
    <x v="7"/>
    <x v="7"/>
    <x v="7"/>
    <x v="20"/>
    <x v="1"/>
    <n v="-0.67"/>
    <x v="0"/>
    <x v="0"/>
  </r>
  <r>
    <x v="7"/>
    <x v="7"/>
    <x v="7"/>
    <x v="20"/>
    <x v="0"/>
    <n v="-92.75"/>
    <x v="1"/>
    <x v="1"/>
  </r>
  <r>
    <x v="8"/>
    <x v="8"/>
    <x v="8"/>
    <x v="20"/>
    <x v="1"/>
    <n v="-25.38"/>
    <x v="0"/>
    <x v="0"/>
  </r>
  <r>
    <x v="8"/>
    <x v="8"/>
    <x v="8"/>
    <x v="20"/>
    <x v="0"/>
    <n v="-6867.22"/>
    <x v="1"/>
    <x v="1"/>
  </r>
  <r>
    <x v="9"/>
    <x v="9"/>
    <x v="9"/>
    <x v="20"/>
    <x v="1"/>
    <n v="-97.76"/>
    <x v="0"/>
    <x v="0"/>
  </r>
  <r>
    <x v="9"/>
    <x v="9"/>
    <x v="9"/>
    <x v="20"/>
    <x v="0"/>
    <n v="-10411.549999999999"/>
    <x v="1"/>
    <x v="1"/>
  </r>
  <r>
    <x v="0"/>
    <x v="0"/>
    <x v="0"/>
    <x v="21"/>
    <x v="1"/>
    <n v="40.5"/>
    <x v="0"/>
    <x v="0"/>
  </r>
  <r>
    <x v="1"/>
    <x v="1"/>
    <x v="1"/>
    <x v="21"/>
    <x v="1"/>
    <n v="20"/>
    <x v="0"/>
    <x v="0"/>
  </r>
  <r>
    <x v="4"/>
    <x v="4"/>
    <x v="4"/>
    <x v="21"/>
    <x v="1"/>
    <n v="42"/>
    <x v="0"/>
    <x v="0"/>
  </r>
  <r>
    <x v="5"/>
    <x v="5"/>
    <x v="5"/>
    <x v="21"/>
    <x v="1"/>
    <n v="1"/>
    <x v="0"/>
    <x v="0"/>
  </r>
  <r>
    <x v="8"/>
    <x v="8"/>
    <x v="8"/>
    <x v="21"/>
    <x v="1"/>
    <n v="4"/>
    <x v="0"/>
    <x v="0"/>
  </r>
  <r>
    <x v="9"/>
    <x v="9"/>
    <x v="9"/>
    <x v="21"/>
    <x v="1"/>
    <n v="107.5"/>
    <x v="0"/>
    <x v="0"/>
  </r>
  <r>
    <x v="0"/>
    <x v="0"/>
    <x v="0"/>
    <x v="22"/>
    <x v="1"/>
    <n v="39.49"/>
    <x v="0"/>
    <x v="0"/>
  </r>
  <r>
    <x v="1"/>
    <x v="1"/>
    <x v="1"/>
    <x v="22"/>
    <x v="1"/>
    <n v="39.31"/>
    <x v="0"/>
    <x v="0"/>
  </r>
  <r>
    <x v="2"/>
    <x v="2"/>
    <x v="2"/>
    <x v="22"/>
    <x v="1"/>
    <n v="2.57"/>
    <x v="0"/>
    <x v="0"/>
  </r>
  <r>
    <x v="3"/>
    <x v="3"/>
    <x v="3"/>
    <x v="22"/>
    <x v="1"/>
    <n v="2.08"/>
    <x v="0"/>
    <x v="0"/>
  </r>
  <r>
    <x v="4"/>
    <x v="4"/>
    <x v="4"/>
    <x v="22"/>
    <x v="1"/>
    <n v="39.57"/>
    <x v="0"/>
    <x v="0"/>
  </r>
  <r>
    <x v="5"/>
    <x v="5"/>
    <x v="5"/>
    <x v="22"/>
    <x v="1"/>
    <n v="3.05"/>
    <x v="0"/>
    <x v="0"/>
  </r>
  <r>
    <x v="7"/>
    <x v="7"/>
    <x v="7"/>
    <x v="22"/>
    <x v="1"/>
    <n v="6.18"/>
    <x v="0"/>
    <x v="0"/>
  </r>
  <r>
    <x v="8"/>
    <x v="8"/>
    <x v="8"/>
    <x v="22"/>
    <x v="1"/>
    <n v="22.04"/>
    <x v="0"/>
    <x v="0"/>
  </r>
  <r>
    <x v="9"/>
    <x v="9"/>
    <x v="9"/>
    <x v="22"/>
    <x v="1"/>
    <n v="154.29"/>
    <x v="0"/>
    <x v="0"/>
  </r>
  <r>
    <x v="0"/>
    <x v="0"/>
    <x v="0"/>
    <x v="23"/>
    <x v="1"/>
    <n v="-19.5"/>
    <x v="3"/>
    <x v="0"/>
  </r>
  <r>
    <x v="0"/>
    <x v="0"/>
    <x v="0"/>
    <x v="23"/>
    <x v="0"/>
    <n v="-3299.47"/>
    <x v="1"/>
    <x v="1"/>
  </r>
  <r>
    <x v="1"/>
    <x v="1"/>
    <x v="1"/>
    <x v="23"/>
    <x v="1"/>
    <n v="-15"/>
    <x v="3"/>
    <x v="0"/>
  </r>
  <r>
    <x v="1"/>
    <x v="1"/>
    <x v="1"/>
    <x v="23"/>
    <x v="0"/>
    <n v="-2307.31"/>
    <x v="1"/>
    <x v="1"/>
  </r>
  <r>
    <x v="4"/>
    <x v="4"/>
    <x v="4"/>
    <x v="23"/>
    <x v="1"/>
    <n v="-20"/>
    <x v="3"/>
    <x v="0"/>
  </r>
  <r>
    <x v="4"/>
    <x v="4"/>
    <x v="4"/>
    <x v="23"/>
    <x v="0"/>
    <n v="-2584.1999999999998"/>
    <x v="1"/>
    <x v="1"/>
  </r>
  <r>
    <x v="5"/>
    <x v="5"/>
    <x v="5"/>
    <x v="23"/>
    <x v="1"/>
    <n v="-1"/>
    <x v="3"/>
    <x v="0"/>
  </r>
  <r>
    <x v="5"/>
    <x v="5"/>
    <x v="5"/>
    <x v="23"/>
    <x v="0"/>
    <n v="-107.66"/>
    <x v="1"/>
    <x v="1"/>
  </r>
  <r>
    <x v="8"/>
    <x v="8"/>
    <x v="8"/>
    <x v="23"/>
    <x v="1"/>
    <n v="-4"/>
    <x v="3"/>
    <x v="0"/>
  </r>
  <r>
    <x v="8"/>
    <x v="8"/>
    <x v="8"/>
    <x v="23"/>
    <x v="0"/>
    <n v="-1153.67"/>
    <x v="1"/>
    <x v="1"/>
  </r>
  <r>
    <x v="9"/>
    <x v="9"/>
    <x v="9"/>
    <x v="23"/>
    <x v="1"/>
    <n v="-59.5"/>
    <x v="3"/>
    <x v="0"/>
  </r>
  <r>
    <x v="9"/>
    <x v="9"/>
    <x v="9"/>
    <x v="23"/>
    <x v="0"/>
    <n v="-9452.31"/>
    <x v="1"/>
    <x v="1"/>
  </r>
  <r>
    <x v="0"/>
    <x v="0"/>
    <x v="0"/>
    <x v="24"/>
    <x v="1"/>
    <n v="3397.7"/>
    <x v="0"/>
    <x v="0"/>
  </r>
  <r>
    <x v="0"/>
    <x v="0"/>
    <x v="0"/>
    <x v="24"/>
    <x v="0"/>
    <n v="3397.7"/>
    <x v="1"/>
    <x v="1"/>
  </r>
  <r>
    <x v="1"/>
    <x v="1"/>
    <x v="1"/>
    <x v="24"/>
    <x v="1"/>
    <n v="2307.5500000000002"/>
    <x v="0"/>
    <x v="0"/>
  </r>
  <r>
    <x v="1"/>
    <x v="1"/>
    <x v="1"/>
    <x v="24"/>
    <x v="0"/>
    <n v="2307.5500000000002"/>
    <x v="1"/>
    <x v="1"/>
  </r>
  <r>
    <x v="4"/>
    <x v="4"/>
    <x v="4"/>
    <x v="24"/>
    <x v="1"/>
    <n v="2649.3"/>
    <x v="0"/>
    <x v="0"/>
  </r>
  <r>
    <x v="4"/>
    <x v="4"/>
    <x v="4"/>
    <x v="24"/>
    <x v="0"/>
    <n v="2649.3"/>
    <x v="1"/>
    <x v="1"/>
  </r>
  <r>
    <x v="5"/>
    <x v="5"/>
    <x v="5"/>
    <x v="24"/>
    <x v="1"/>
    <n v="107.66"/>
    <x v="0"/>
    <x v="0"/>
  </r>
  <r>
    <x v="5"/>
    <x v="5"/>
    <x v="5"/>
    <x v="24"/>
    <x v="0"/>
    <n v="107.66"/>
    <x v="1"/>
    <x v="1"/>
  </r>
  <r>
    <x v="8"/>
    <x v="8"/>
    <x v="8"/>
    <x v="24"/>
    <x v="1"/>
    <n v="1153.67"/>
    <x v="0"/>
    <x v="0"/>
  </r>
  <r>
    <x v="8"/>
    <x v="8"/>
    <x v="8"/>
    <x v="24"/>
    <x v="0"/>
    <n v="1153.67"/>
    <x v="1"/>
    <x v="1"/>
  </r>
  <r>
    <x v="9"/>
    <x v="9"/>
    <x v="9"/>
    <x v="24"/>
    <x v="1"/>
    <n v="9615.8799999999992"/>
    <x v="0"/>
    <x v="0"/>
  </r>
  <r>
    <x v="9"/>
    <x v="9"/>
    <x v="9"/>
    <x v="24"/>
    <x v="0"/>
    <n v="9615.8799999999992"/>
    <x v="1"/>
    <x v="1"/>
  </r>
  <r>
    <x v="0"/>
    <x v="0"/>
    <x v="0"/>
    <x v="25"/>
    <x v="1"/>
    <n v="8"/>
    <x v="0"/>
    <x v="0"/>
  </r>
  <r>
    <x v="1"/>
    <x v="1"/>
    <x v="1"/>
    <x v="25"/>
    <x v="1"/>
    <n v="6"/>
    <x v="0"/>
    <x v="0"/>
  </r>
  <r>
    <x v="2"/>
    <x v="2"/>
    <x v="2"/>
    <x v="25"/>
    <x v="1"/>
    <n v="1"/>
    <x v="0"/>
    <x v="0"/>
  </r>
  <r>
    <x v="3"/>
    <x v="3"/>
    <x v="3"/>
    <x v="25"/>
    <x v="1"/>
    <n v="0.5"/>
    <x v="0"/>
    <x v="0"/>
  </r>
  <r>
    <x v="4"/>
    <x v="4"/>
    <x v="4"/>
    <x v="25"/>
    <x v="1"/>
    <n v="8"/>
    <x v="0"/>
    <x v="0"/>
  </r>
  <r>
    <x v="5"/>
    <x v="5"/>
    <x v="5"/>
    <x v="25"/>
    <x v="1"/>
    <n v="1"/>
    <x v="0"/>
    <x v="0"/>
  </r>
  <r>
    <x v="7"/>
    <x v="7"/>
    <x v="7"/>
    <x v="25"/>
    <x v="1"/>
    <n v="2"/>
    <x v="0"/>
    <x v="0"/>
  </r>
  <r>
    <x v="8"/>
    <x v="8"/>
    <x v="8"/>
    <x v="25"/>
    <x v="1"/>
    <n v="5.5"/>
    <x v="0"/>
    <x v="0"/>
  </r>
  <r>
    <x v="9"/>
    <x v="9"/>
    <x v="9"/>
    <x v="25"/>
    <x v="1"/>
    <n v="32"/>
    <x v="0"/>
    <x v="0"/>
  </r>
  <r>
    <x v="0"/>
    <x v="0"/>
    <x v="0"/>
    <x v="26"/>
    <x v="1"/>
    <n v="8"/>
    <x v="0"/>
    <x v="0"/>
  </r>
  <r>
    <x v="1"/>
    <x v="1"/>
    <x v="1"/>
    <x v="26"/>
    <x v="1"/>
    <n v="6"/>
    <x v="0"/>
    <x v="0"/>
  </r>
  <r>
    <x v="2"/>
    <x v="2"/>
    <x v="2"/>
    <x v="26"/>
    <x v="1"/>
    <n v="1"/>
    <x v="0"/>
    <x v="0"/>
  </r>
  <r>
    <x v="3"/>
    <x v="3"/>
    <x v="3"/>
    <x v="26"/>
    <x v="1"/>
    <n v="0.5"/>
    <x v="0"/>
    <x v="0"/>
  </r>
  <r>
    <x v="4"/>
    <x v="4"/>
    <x v="4"/>
    <x v="26"/>
    <x v="1"/>
    <n v="8"/>
    <x v="0"/>
    <x v="0"/>
  </r>
  <r>
    <x v="5"/>
    <x v="5"/>
    <x v="5"/>
    <x v="26"/>
    <x v="1"/>
    <n v="0.73"/>
    <x v="0"/>
    <x v="0"/>
  </r>
  <r>
    <x v="7"/>
    <x v="7"/>
    <x v="7"/>
    <x v="26"/>
    <x v="1"/>
    <n v="1.96"/>
    <x v="0"/>
    <x v="0"/>
  </r>
  <r>
    <x v="8"/>
    <x v="8"/>
    <x v="8"/>
    <x v="26"/>
    <x v="1"/>
    <n v="5.54"/>
    <x v="0"/>
    <x v="0"/>
  </r>
  <r>
    <x v="9"/>
    <x v="9"/>
    <x v="9"/>
    <x v="26"/>
    <x v="1"/>
    <n v="31.73"/>
    <x v="0"/>
    <x v="0"/>
  </r>
  <r>
    <x v="0"/>
    <x v="0"/>
    <x v="0"/>
    <x v="27"/>
    <x v="1"/>
    <n v="-8"/>
    <x v="4"/>
    <x v="0"/>
  </r>
  <r>
    <x v="1"/>
    <x v="1"/>
    <x v="1"/>
    <x v="27"/>
    <x v="1"/>
    <n v="-6"/>
    <x v="4"/>
    <x v="0"/>
  </r>
  <r>
    <x v="2"/>
    <x v="2"/>
    <x v="2"/>
    <x v="27"/>
    <x v="1"/>
    <n v="-1"/>
    <x v="4"/>
    <x v="0"/>
  </r>
  <r>
    <x v="3"/>
    <x v="3"/>
    <x v="3"/>
    <x v="27"/>
    <x v="1"/>
    <n v="-0.5"/>
    <x v="4"/>
    <x v="0"/>
  </r>
  <r>
    <x v="4"/>
    <x v="4"/>
    <x v="4"/>
    <x v="27"/>
    <x v="1"/>
    <n v="-8"/>
    <x v="4"/>
    <x v="0"/>
  </r>
  <r>
    <x v="5"/>
    <x v="5"/>
    <x v="5"/>
    <x v="27"/>
    <x v="1"/>
    <n v="-1"/>
    <x v="4"/>
    <x v="0"/>
  </r>
  <r>
    <x v="7"/>
    <x v="7"/>
    <x v="7"/>
    <x v="27"/>
    <x v="1"/>
    <n v="-2"/>
    <x v="4"/>
    <x v="0"/>
  </r>
  <r>
    <x v="8"/>
    <x v="8"/>
    <x v="8"/>
    <x v="27"/>
    <x v="1"/>
    <n v="-5.5"/>
    <x v="4"/>
    <x v="0"/>
  </r>
  <r>
    <x v="9"/>
    <x v="9"/>
    <x v="9"/>
    <x v="27"/>
    <x v="1"/>
    <n v="-32"/>
    <x v="4"/>
    <x v="0"/>
  </r>
  <r>
    <x v="0"/>
    <x v="0"/>
    <x v="0"/>
    <x v="28"/>
    <x v="1"/>
    <n v="2"/>
    <x v="0"/>
    <x v="0"/>
  </r>
  <r>
    <x v="9"/>
    <x v="9"/>
    <x v="9"/>
    <x v="28"/>
    <x v="1"/>
    <n v="2"/>
    <x v="0"/>
    <x v="0"/>
  </r>
  <r>
    <x v="0"/>
    <x v="0"/>
    <x v="0"/>
    <x v="29"/>
    <x v="0"/>
    <n v="1696"/>
    <x v="0"/>
    <x v="0"/>
  </r>
  <r>
    <x v="9"/>
    <x v="9"/>
    <x v="9"/>
    <x v="29"/>
    <x v="0"/>
    <n v="1696"/>
    <x v="0"/>
    <x v="0"/>
  </r>
  <r>
    <x v="4"/>
    <x v="4"/>
    <x v="4"/>
    <x v="30"/>
    <x v="0"/>
    <n v="133.33000000000001"/>
    <x v="0"/>
    <x v="0"/>
  </r>
  <r>
    <x v="9"/>
    <x v="9"/>
    <x v="9"/>
    <x v="30"/>
    <x v="0"/>
    <n v="133.33000000000001"/>
    <x v="0"/>
    <x v="0"/>
  </r>
  <r>
    <x v="8"/>
    <x v="8"/>
    <x v="8"/>
    <x v="31"/>
    <x v="1"/>
    <n v="3"/>
    <x v="0"/>
    <x v="0"/>
  </r>
  <r>
    <x v="9"/>
    <x v="9"/>
    <x v="9"/>
    <x v="31"/>
    <x v="1"/>
    <n v="3"/>
    <x v="0"/>
    <x v="0"/>
  </r>
  <r>
    <x v="0"/>
    <x v="0"/>
    <x v="0"/>
    <x v="32"/>
    <x v="0"/>
    <n v="1696"/>
    <x v="1"/>
    <x v="1"/>
  </r>
  <r>
    <x v="4"/>
    <x v="4"/>
    <x v="4"/>
    <x v="32"/>
    <x v="0"/>
    <n v="133.33000000000001"/>
    <x v="1"/>
    <x v="1"/>
  </r>
  <r>
    <x v="9"/>
    <x v="9"/>
    <x v="9"/>
    <x v="32"/>
    <x v="0"/>
    <n v="1829.33"/>
    <x v="1"/>
    <x v="1"/>
  </r>
  <r>
    <x v="0"/>
    <x v="0"/>
    <x v="0"/>
    <x v="33"/>
    <x v="1"/>
    <n v="127.39"/>
    <x v="5"/>
    <x v="0"/>
  </r>
  <r>
    <x v="4"/>
    <x v="4"/>
    <x v="4"/>
    <x v="33"/>
    <x v="1"/>
    <n v="181"/>
    <x v="5"/>
    <x v="0"/>
  </r>
  <r>
    <x v="7"/>
    <x v="7"/>
    <x v="7"/>
    <x v="33"/>
    <x v="1"/>
    <n v="60"/>
    <x v="5"/>
    <x v="0"/>
  </r>
  <r>
    <x v="8"/>
    <x v="8"/>
    <x v="8"/>
    <x v="33"/>
    <x v="1"/>
    <n v="175.79"/>
    <x v="5"/>
    <x v="0"/>
  </r>
  <r>
    <x v="9"/>
    <x v="9"/>
    <x v="9"/>
    <x v="33"/>
    <x v="1"/>
    <n v="544.17999999999995"/>
    <x v="5"/>
    <x v="0"/>
  </r>
  <r>
    <x v="1"/>
    <x v="1"/>
    <x v="1"/>
    <x v="34"/>
    <x v="1"/>
    <n v="1629.87"/>
    <x v="0"/>
    <x v="0"/>
  </r>
  <r>
    <x v="2"/>
    <x v="2"/>
    <x v="2"/>
    <x v="34"/>
    <x v="1"/>
    <n v="186.67"/>
    <x v="0"/>
    <x v="0"/>
  </r>
  <r>
    <x v="3"/>
    <x v="3"/>
    <x v="3"/>
    <x v="34"/>
    <x v="1"/>
    <n v="151.66999999999999"/>
    <x v="0"/>
    <x v="0"/>
  </r>
  <r>
    <x v="5"/>
    <x v="5"/>
    <x v="5"/>
    <x v="34"/>
    <x v="1"/>
    <n v="221.67"/>
    <x v="0"/>
    <x v="0"/>
  </r>
  <r>
    <x v="6"/>
    <x v="6"/>
    <x v="6"/>
    <x v="34"/>
    <x v="1"/>
    <n v="1365.03"/>
    <x v="0"/>
    <x v="0"/>
  </r>
  <r>
    <x v="9"/>
    <x v="9"/>
    <x v="9"/>
    <x v="34"/>
    <x v="1"/>
    <n v="3554.91"/>
    <x v="0"/>
    <x v="0"/>
  </r>
  <r>
    <x v="1"/>
    <x v="1"/>
    <x v="1"/>
    <x v="35"/>
    <x v="1"/>
    <n v="1629.87"/>
    <x v="6"/>
    <x v="0"/>
  </r>
  <r>
    <x v="2"/>
    <x v="2"/>
    <x v="2"/>
    <x v="35"/>
    <x v="1"/>
    <n v="186.67"/>
    <x v="6"/>
    <x v="0"/>
  </r>
  <r>
    <x v="3"/>
    <x v="3"/>
    <x v="3"/>
    <x v="35"/>
    <x v="1"/>
    <n v="151.66999999999999"/>
    <x v="6"/>
    <x v="0"/>
  </r>
  <r>
    <x v="5"/>
    <x v="5"/>
    <x v="5"/>
    <x v="35"/>
    <x v="1"/>
    <n v="221.67"/>
    <x v="6"/>
    <x v="0"/>
  </r>
  <r>
    <x v="6"/>
    <x v="6"/>
    <x v="6"/>
    <x v="35"/>
    <x v="1"/>
    <n v="1365.03"/>
    <x v="6"/>
    <x v="0"/>
  </r>
  <r>
    <x v="9"/>
    <x v="9"/>
    <x v="9"/>
    <x v="35"/>
    <x v="1"/>
    <n v="3554.91"/>
    <x v="6"/>
    <x v="0"/>
  </r>
  <r>
    <x v="0"/>
    <x v="0"/>
    <x v="0"/>
    <x v="36"/>
    <x v="1"/>
    <n v="-452.07"/>
    <x v="0"/>
    <x v="0"/>
  </r>
  <r>
    <x v="0"/>
    <x v="0"/>
    <x v="0"/>
    <x v="36"/>
    <x v="0"/>
    <n v="-452.07"/>
    <x v="1"/>
    <x v="1"/>
  </r>
  <r>
    <x v="4"/>
    <x v="4"/>
    <x v="4"/>
    <x v="36"/>
    <x v="1"/>
    <n v="-143.51"/>
    <x v="0"/>
    <x v="0"/>
  </r>
  <r>
    <x v="4"/>
    <x v="4"/>
    <x v="4"/>
    <x v="36"/>
    <x v="0"/>
    <n v="-143.51"/>
    <x v="1"/>
    <x v="1"/>
  </r>
  <r>
    <x v="9"/>
    <x v="9"/>
    <x v="9"/>
    <x v="36"/>
    <x v="1"/>
    <n v="-595.58000000000004"/>
    <x v="0"/>
    <x v="0"/>
  </r>
  <r>
    <x v="9"/>
    <x v="9"/>
    <x v="9"/>
    <x v="36"/>
    <x v="0"/>
    <n v="-595.58000000000004"/>
    <x v="1"/>
    <x v="1"/>
  </r>
  <r>
    <x v="0"/>
    <x v="0"/>
    <x v="0"/>
    <x v="37"/>
    <x v="0"/>
    <n v="35797.279999999999"/>
    <x v="0"/>
    <x v="0"/>
  </r>
  <r>
    <x v="4"/>
    <x v="4"/>
    <x v="4"/>
    <x v="37"/>
    <x v="0"/>
    <n v="29943.84"/>
    <x v="0"/>
    <x v="0"/>
  </r>
  <r>
    <x v="9"/>
    <x v="9"/>
    <x v="9"/>
    <x v="37"/>
    <x v="0"/>
    <n v="65741.119999999995"/>
    <x v="0"/>
    <x v="0"/>
  </r>
  <r>
    <x v="0"/>
    <x v="0"/>
    <x v="0"/>
    <x v="38"/>
    <x v="0"/>
    <n v="35345.21"/>
    <x v="7"/>
    <x v="1"/>
  </r>
  <r>
    <x v="1"/>
    <x v="1"/>
    <x v="1"/>
    <x v="38"/>
    <x v="0"/>
    <n v="36282.379999999997"/>
    <x v="7"/>
    <x v="1"/>
  </r>
  <r>
    <x v="2"/>
    <x v="2"/>
    <x v="2"/>
    <x v="38"/>
    <x v="0"/>
    <n v="4184.6000000000004"/>
    <x v="7"/>
    <x v="1"/>
  </r>
  <r>
    <x v="3"/>
    <x v="3"/>
    <x v="3"/>
    <x v="38"/>
    <x v="0"/>
    <n v="2916"/>
    <x v="7"/>
    <x v="1"/>
  </r>
  <r>
    <x v="4"/>
    <x v="4"/>
    <x v="4"/>
    <x v="38"/>
    <x v="0"/>
    <n v="29800.33"/>
    <x v="7"/>
    <x v="1"/>
  </r>
  <r>
    <x v="5"/>
    <x v="5"/>
    <x v="5"/>
    <x v="38"/>
    <x v="0"/>
    <n v="3409.74"/>
    <x v="7"/>
    <x v="1"/>
  </r>
  <r>
    <x v="6"/>
    <x v="6"/>
    <x v="6"/>
    <x v="38"/>
    <x v="0"/>
    <n v="88000"/>
    <x v="7"/>
    <x v="1"/>
  </r>
  <r>
    <x v="7"/>
    <x v="7"/>
    <x v="7"/>
    <x v="38"/>
    <x v="0"/>
    <n v="8907.25"/>
    <x v="7"/>
    <x v="1"/>
  </r>
  <r>
    <x v="8"/>
    <x v="8"/>
    <x v="8"/>
    <x v="38"/>
    <x v="0"/>
    <n v="55632.78"/>
    <x v="7"/>
    <x v="1"/>
  </r>
  <r>
    <x v="9"/>
    <x v="9"/>
    <x v="9"/>
    <x v="38"/>
    <x v="0"/>
    <n v="264478.28999999998"/>
    <x v="7"/>
    <x v="1"/>
  </r>
  <r>
    <x v="0"/>
    <x v="0"/>
    <x v="0"/>
    <x v="39"/>
    <x v="0"/>
    <n v="35345.21"/>
    <x v="0"/>
    <x v="0"/>
  </r>
  <r>
    <x v="1"/>
    <x v="1"/>
    <x v="1"/>
    <x v="39"/>
    <x v="0"/>
    <n v="36282.379999999997"/>
    <x v="0"/>
    <x v="0"/>
  </r>
  <r>
    <x v="2"/>
    <x v="2"/>
    <x v="2"/>
    <x v="39"/>
    <x v="0"/>
    <n v="4184.6000000000004"/>
    <x v="0"/>
    <x v="0"/>
  </r>
  <r>
    <x v="3"/>
    <x v="3"/>
    <x v="3"/>
    <x v="39"/>
    <x v="0"/>
    <n v="2916"/>
    <x v="0"/>
    <x v="0"/>
  </r>
  <r>
    <x v="4"/>
    <x v="4"/>
    <x v="4"/>
    <x v="39"/>
    <x v="0"/>
    <n v="29800.33"/>
    <x v="0"/>
    <x v="0"/>
  </r>
  <r>
    <x v="5"/>
    <x v="5"/>
    <x v="5"/>
    <x v="39"/>
    <x v="0"/>
    <n v="3409.74"/>
    <x v="0"/>
    <x v="0"/>
  </r>
  <r>
    <x v="6"/>
    <x v="6"/>
    <x v="6"/>
    <x v="39"/>
    <x v="0"/>
    <n v="88000"/>
    <x v="0"/>
    <x v="0"/>
  </r>
  <r>
    <x v="7"/>
    <x v="7"/>
    <x v="7"/>
    <x v="39"/>
    <x v="0"/>
    <n v="8907.25"/>
    <x v="0"/>
    <x v="0"/>
  </r>
  <r>
    <x v="8"/>
    <x v="8"/>
    <x v="8"/>
    <x v="39"/>
    <x v="0"/>
    <n v="55632.78"/>
    <x v="0"/>
    <x v="0"/>
  </r>
  <r>
    <x v="9"/>
    <x v="9"/>
    <x v="9"/>
    <x v="39"/>
    <x v="0"/>
    <n v="264478.28999999998"/>
    <x v="0"/>
    <x v="0"/>
  </r>
  <r>
    <x v="0"/>
    <x v="0"/>
    <x v="0"/>
    <x v="40"/>
    <x v="0"/>
    <n v="40809.870000000003"/>
    <x v="0"/>
    <x v="0"/>
  </r>
  <r>
    <x v="1"/>
    <x v="1"/>
    <x v="1"/>
    <x v="40"/>
    <x v="0"/>
    <n v="42668.55"/>
    <x v="0"/>
    <x v="0"/>
  </r>
  <r>
    <x v="2"/>
    <x v="2"/>
    <x v="2"/>
    <x v="40"/>
    <x v="0"/>
    <n v="4840.83"/>
    <x v="0"/>
    <x v="0"/>
  </r>
  <r>
    <x v="3"/>
    <x v="3"/>
    <x v="3"/>
    <x v="40"/>
    <x v="0"/>
    <n v="3925"/>
    <x v="0"/>
    <x v="0"/>
  </r>
  <r>
    <x v="4"/>
    <x v="4"/>
    <x v="4"/>
    <x v="40"/>
    <x v="0"/>
    <n v="43175"/>
    <x v="0"/>
    <x v="0"/>
  </r>
  <r>
    <x v="5"/>
    <x v="5"/>
    <x v="5"/>
    <x v="40"/>
    <x v="0"/>
    <n v="5756.67"/>
    <x v="0"/>
    <x v="0"/>
  </r>
  <r>
    <x v="6"/>
    <x v="6"/>
    <x v="6"/>
    <x v="40"/>
    <x v="0"/>
    <n v="43175"/>
    <x v="0"/>
    <x v="0"/>
  </r>
  <r>
    <x v="7"/>
    <x v="7"/>
    <x v="7"/>
    <x v="40"/>
    <x v="0"/>
    <n v="11521.77"/>
    <x v="0"/>
    <x v="0"/>
  </r>
  <r>
    <x v="8"/>
    <x v="8"/>
    <x v="8"/>
    <x v="40"/>
    <x v="0"/>
    <n v="35426.29"/>
    <x v="0"/>
    <x v="0"/>
  </r>
  <r>
    <x v="9"/>
    <x v="9"/>
    <x v="9"/>
    <x v="40"/>
    <x v="0"/>
    <n v="231298.98"/>
    <x v="0"/>
    <x v="0"/>
  </r>
  <r>
    <x v="0"/>
    <x v="0"/>
    <x v="0"/>
    <x v="41"/>
    <x v="0"/>
    <n v="38104.67"/>
    <x v="0"/>
    <x v="0"/>
  </r>
  <r>
    <x v="1"/>
    <x v="1"/>
    <x v="1"/>
    <x v="41"/>
    <x v="0"/>
    <n v="39840.14"/>
    <x v="0"/>
    <x v="0"/>
  </r>
  <r>
    <x v="2"/>
    <x v="2"/>
    <x v="2"/>
    <x v="41"/>
    <x v="0"/>
    <n v="4519.9399999999996"/>
    <x v="0"/>
    <x v="0"/>
  </r>
  <r>
    <x v="3"/>
    <x v="3"/>
    <x v="3"/>
    <x v="41"/>
    <x v="0"/>
    <n v="3664.82"/>
    <x v="0"/>
    <x v="0"/>
  </r>
  <r>
    <x v="4"/>
    <x v="4"/>
    <x v="4"/>
    <x v="41"/>
    <x v="0"/>
    <n v="40313.019999999997"/>
    <x v="0"/>
    <x v="0"/>
  </r>
  <r>
    <x v="5"/>
    <x v="5"/>
    <x v="5"/>
    <x v="41"/>
    <x v="0"/>
    <n v="5375.07"/>
    <x v="0"/>
    <x v="0"/>
  </r>
  <r>
    <x v="6"/>
    <x v="6"/>
    <x v="6"/>
    <x v="41"/>
    <x v="0"/>
    <n v="40313.019999999997"/>
    <x v="0"/>
    <x v="0"/>
  </r>
  <r>
    <x v="7"/>
    <x v="7"/>
    <x v="7"/>
    <x v="41"/>
    <x v="0"/>
    <n v="10758.02"/>
    <x v="0"/>
    <x v="0"/>
  </r>
  <r>
    <x v="8"/>
    <x v="8"/>
    <x v="8"/>
    <x v="41"/>
    <x v="0"/>
    <n v="33077.96"/>
    <x v="0"/>
    <x v="0"/>
  </r>
  <r>
    <x v="9"/>
    <x v="9"/>
    <x v="9"/>
    <x v="41"/>
    <x v="0"/>
    <n v="215966.66"/>
    <x v="0"/>
    <x v="0"/>
  </r>
  <r>
    <x v="0"/>
    <x v="0"/>
    <x v="0"/>
    <x v="42"/>
    <x v="0"/>
    <n v="35345.21"/>
    <x v="0"/>
    <x v="0"/>
  </r>
  <r>
    <x v="1"/>
    <x v="1"/>
    <x v="1"/>
    <x v="42"/>
    <x v="0"/>
    <n v="36282.379999999997"/>
    <x v="0"/>
    <x v="0"/>
  </r>
  <r>
    <x v="2"/>
    <x v="2"/>
    <x v="2"/>
    <x v="42"/>
    <x v="0"/>
    <n v="4184.6000000000004"/>
    <x v="0"/>
    <x v="0"/>
  </r>
  <r>
    <x v="3"/>
    <x v="3"/>
    <x v="3"/>
    <x v="42"/>
    <x v="0"/>
    <n v="2916"/>
    <x v="0"/>
    <x v="0"/>
  </r>
  <r>
    <x v="4"/>
    <x v="4"/>
    <x v="4"/>
    <x v="42"/>
    <x v="0"/>
    <n v="29800.33"/>
    <x v="0"/>
    <x v="0"/>
  </r>
  <r>
    <x v="5"/>
    <x v="5"/>
    <x v="5"/>
    <x v="42"/>
    <x v="0"/>
    <n v="3409.74"/>
    <x v="0"/>
    <x v="0"/>
  </r>
  <r>
    <x v="6"/>
    <x v="6"/>
    <x v="6"/>
    <x v="42"/>
    <x v="0"/>
    <n v="43175"/>
    <x v="0"/>
    <x v="0"/>
  </r>
  <r>
    <x v="7"/>
    <x v="7"/>
    <x v="7"/>
    <x v="42"/>
    <x v="0"/>
    <n v="8907.25"/>
    <x v="0"/>
    <x v="0"/>
  </r>
  <r>
    <x v="8"/>
    <x v="8"/>
    <x v="8"/>
    <x v="42"/>
    <x v="0"/>
    <n v="35426.29"/>
    <x v="0"/>
    <x v="0"/>
  </r>
  <r>
    <x v="9"/>
    <x v="9"/>
    <x v="9"/>
    <x v="42"/>
    <x v="0"/>
    <n v="199446.8"/>
    <x v="0"/>
    <x v="0"/>
  </r>
  <r>
    <x v="6"/>
    <x v="6"/>
    <x v="6"/>
    <x v="43"/>
    <x v="0"/>
    <n v="44825"/>
    <x v="0"/>
    <x v="0"/>
  </r>
  <r>
    <x v="8"/>
    <x v="8"/>
    <x v="8"/>
    <x v="43"/>
    <x v="0"/>
    <n v="20206.490000000002"/>
    <x v="0"/>
    <x v="0"/>
  </r>
  <r>
    <x v="9"/>
    <x v="9"/>
    <x v="9"/>
    <x v="43"/>
    <x v="0"/>
    <n v="65031.49"/>
    <x v="0"/>
    <x v="0"/>
  </r>
  <r>
    <x v="1"/>
    <x v="1"/>
    <x v="1"/>
    <x v="44"/>
    <x v="1"/>
    <n v="36282.379999999997"/>
    <x v="0"/>
    <x v="0"/>
  </r>
  <r>
    <x v="1"/>
    <x v="1"/>
    <x v="1"/>
    <x v="44"/>
    <x v="2"/>
    <n v="2539.75"/>
    <x v="8"/>
    <x v="1"/>
  </r>
  <r>
    <x v="3"/>
    <x v="3"/>
    <x v="3"/>
    <x v="44"/>
    <x v="1"/>
    <n v="2916"/>
    <x v="0"/>
    <x v="0"/>
  </r>
  <r>
    <x v="3"/>
    <x v="3"/>
    <x v="3"/>
    <x v="44"/>
    <x v="2"/>
    <n v="204.12"/>
    <x v="8"/>
    <x v="1"/>
  </r>
  <r>
    <x v="7"/>
    <x v="7"/>
    <x v="7"/>
    <x v="44"/>
    <x v="1"/>
    <n v="8907.25"/>
    <x v="0"/>
    <x v="0"/>
  </r>
  <r>
    <x v="7"/>
    <x v="7"/>
    <x v="7"/>
    <x v="44"/>
    <x v="2"/>
    <n v="623.51"/>
    <x v="8"/>
    <x v="1"/>
  </r>
  <r>
    <x v="9"/>
    <x v="9"/>
    <x v="9"/>
    <x v="44"/>
    <x v="1"/>
    <n v="48105.63"/>
    <x v="0"/>
    <x v="0"/>
  </r>
  <r>
    <x v="9"/>
    <x v="9"/>
    <x v="9"/>
    <x v="44"/>
    <x v="2"/>
    <n v="3367.38"/>
    <x v="8"/>
    <x v="1"/>
  </r>
  <r>
    <x v="1"/>
    <x v="1"/>
    <x v="1"/>
    <x v="45"/>
    <x v="1"/>
    <n v="36282.379999999997"/>
    <x v="0"/>
    <x v="0"/>
  </r>
  <r>
    <x v="1"/>
    <x v="1"/>
    <x v="1"/>
    <x v="45"/>
    <x v="2"/>
    <n v="108.85"/>
    <x v="8"/>
    <x v="2"/>
  </r>
  <r>
    <x v="3"/>
    <x v="3"/>
    <x v="3"/>
    <x v="45"/>
    <x v="1"/>
    <n v="2916"/>
    <x v="0"/>
    <x v="0"/>
  </r>
  <r>
    <x v="3"/>
    <x v="3"/>
    <x v="3"/>
    <x v="45"/>
    <x v="2"/>
    <n v="8.75"/>
    <x v="8"/>
    <x v="2"/>
  </r>
  <r>
    <x v="7"/>
    <x v="7"/>
    <x v="7"/>
    <x v="45"/>
    <x v="1"/>
    <n v="8907.25"/>
    <x v="0"/>
    <x v="0"/>
  </r>
  <r>
    <x v="7"/>
    <x v="7"/>
    <x v="7"/>
    <x v="45"/>
    <x v="2"/>
    <n v="26.72"/>
    <x v="8"/>
    <x v="2"/>
  </r>
  <r>
    <x v="9"/>
    <x v="9"/>
    <x v="9"/>
    <x v="45"/>
    <x v="1"/>
    <n v="48105.63"/>
    <x v="0"/>
    <x v="0"/>
  </r>
  <r>
    <x v="9"/>
    <x v="9"/>
    <x v="9"/>
    <x v="45"/>
    <x v="2"/>
    <n v="144.32"/>
    <x v="8"/>
    <x v="2"/>
  </r>
  <r>
    <x v="0"/>
    <x v="0"/>
    <x v="0"/>
    <x v="46"/>
    <x v="1"/>
    <n v="35345.21"/>
    <x v="0"/>
    <x v="0"/>
  </r>
  <r>
    <x v="0"/>
    <x v="0"/>
    <x v="0"/>
    <x v="46"/>
    <x v="2"/>
    <n v="106.03"/>
    <x v="8"/>
    <x v="2"/>
  </r>
  <r>
    <x v="2"/>
    <x v="2"/>
    <x v="2"/>
    <x v="46"/>
    <x v="1"/>
    <n v="4184.6000000000004"/>
    <x v="0"/>
    <x v="0"/>
  </r>
  <r>
    <x v="2"/>
    <x v="2"/>
    <x v="2"/>
    <x v="46"/>
    <x v="2"/>
    <n v="12.55"/>
    <x v="8"/>
    <x v="2"/>
  </r>
  <r>
    <x v="4"/>
    <x v="4"/>
    <x v="4"/>
    <x v="46"/>
    <x v="1"/>
    <n v="29800.33"/>
    <x v="0"/>
    <x v="0"/>
  </r>
  <r>
    <x v="4"/>
    <x v="4"/>
    <x v="4"/>
    <x v="46"/>
    <x v="2"/>
    <n v="89.41"/>
    <x v="8"/>
    <x v="2"/>
  </r>
  <r>
    <x v="5"/>
    <x v="5"/>
    <x v="5"/>
    <x v="46"/>
    <x v="1"/>
    <n v="3409.74"/>
    <x v="0"/>
    <x v="0"/>
  </r>
  <r>
    <x v="5"/>
    <x v="5"/>
    <x v="5"/>
    <x v="46"/>
    <x v="2"/>
    <n v="10.23"/>
    <x v="8"/>
    <x v="2"/>
  </r>
  <r>
    <x v="6"/>
    <x v="6"/>
    <x v="6"/>
    <x v="46"/>
    <x v="1"/>
    <n v="88000"/>
    <x v="0"/>
    <x v="0"/>
  </r>
  <r>
    <x v="6"/>
    <x v="6"/>
    <x v="6"/>
    <x v="46"/>
    <x v="2"/>
    <n v="264"/>
    <x v="8"/>
    <x v="2"/>
  </r>
  <r>
    <x v="8"/>
    <x v="8"/>
    <x v="8"/>
    <x v="46"/>
    <x v="1"/>
    <n v="55632.78"/>
    <x v="0"/>
    <x v="0"/>
  </r>
  <r>
    <x v="8"/>
    <x v="8"/>
    <x v="8"/>
    <x v="46"/>
    <x v="2"/>
    <n v="166.91"/>
    <x v="8"/>
    <x v="2"/>
  </r>
  <r>
    <x v="9"/>
    <x v="9"/>
    <x v="9"/>
    <x v="46"/>
    <x v="1"/>
    <n v="216372.66"/>
    <x v="0"/>
    <x v="0"/>
  </r>
  <r>
    <x v="9"/>
    <x v="9"/>
    <x v="9"/>
    <x v="46"/>
    <x v="2"/>
    <n v="649.13"/>
    <x v="8"/>
    <x v="2"/>
  </r>
  <r>
    <x v="1"/>
    <x v="1"/>
    <x v="1"/>
    <x v="47"/>
    <x v="1"/>
    <n v="36282.379999999997"/>
    <x v="0"/>
    <x v="0"/>
  </r>
  <r>
    <x v="1"/>
    <x v="1"/>
    <x v="1"/>
    <x v="47"/>
    <x v="0"/>
    <n v="145.1"/>
    <x v="0"/>
    <x v="0"/>
  </r>
  <r>
    <x v="1"/>
    <x v="1"/>
    <x v="1"/>
    <x v="47"/>
    <x v="2"/>
    <n v="732.89"/>
    <x v="8"/>
    <x v="1"/>
  </r>
  <r>
    <x v="3"/>
    <x v="3"/>
    <x v="3"/>
    <x v="47"/>
    <x v="1"/>
    <n v="2916"/>
    <x v="0"/>
    <x v="0"/>
  </r>
  <r>
    <x v="3"/>
    <x v="3"/>
    <x v="3"/>
    <x v="47"/>
    <x v="0"/>
    <n v="11.66"/>
    <x v="0"/>
    <x v="0"/>
  </r>
  <r>
    <x v="3"/>
    <x v="3"/>
    <x v="3"/>
    <x v="47"/>
    <x v="2"/>
    <n v="58.9"/>
    <x v="8"/>
    <x v="1"/>
  </r>
  <r>
    <x v="7"/>
    <x v="7"/>
    <x v="7"/>
    <x v="47"/>
    <x v="1"/>
    <n v="8907.25"/>
    <x v="0"/>
    <x v="0"/>
  </r>
  <r>
    <x v="7"/>
    <x v="7"/>
    <x v="7"/>
    <x v="47"/>
    <x v="0"/>
    <n v="35.630000000000003"/>
    <x v="0"/>
    <x v="0"/>
  </r>
  <r>
    <x v="7"/>
    <x v="7"/>
    <x v="7"/>
    <x v="47"/>
    <x v="2"/>
    <n v="179.93"/>
    <x v="8"/>
    <x v="1"/>
  </r>
  <r>
    <x v="9"/>
    <x v="9"/>
    <x v="9"/>
    <x v="47"/>
    <x v="1"/>
    <n v="48105.63"/>
    <x v="0"/>
    <x v="0"/>
  </r>
  <r>
    <x v="9"/>
    <x v="9"/>
    <x v="9"/>
    <x v="47"/>
    <x v="0"/>
    <n v="192.39"/>
    <x v="0"/>
    <x v="0"/>
  </r>
  <r>
    <x v="9"/>
    <x v="9"/>
    <x v="9"/>
    <x v="47"/>
    <x v="2"/>
    <n v="971.72"/>
    <x v="8"/>
    <x v="1"/>
  </r>
  <r>
    <x v="0"/>
    <x v="0"/>
    <x v="0"/>
    <x v="48"/>
    <x v="1"/>
    <n v="35345.21"/>
    <x v="0"/>
    <x v="0"/>
  </r>
  <r>
    <x v="0"/>
    <x v="0"/>
    <x v="0"/>
    <x v="48"/>
    <x v="0"/>
    <n v="141.38999999999999"/>
    <x v="0"/>
    <x v="0"/>
  </r>
  <r>
    <x v="2"/>
    <x v="2"/>
    <x v="2"/>
    <x v="48"/>
    <x v="1"/>
    <n v="4184.6000000000004"/>
    <x v="0"/>
    <x v="0"/>
  </r>
  <r>
    <x v="2"/>
    <x v="2"/>
    <x v="2"/>
    <x v="48"/>
    <x v="0"/>
    <n v="16.739999999999998"/>
    <x v="0"/>
    <x v="0"/>
  </r>
  <r>
    <x v="4"/>
    <x v="4"/>
    <x v="4"/>
    <x v="48"/>
    <x v="1"/>
    <n v="29800.33"/>
    <x v="0"/>
    <x v="0"/>
  </r>
  <r>
    <x v="4"/>
    <x v="4"/>
    <x v="4"/>
    <x v="48"/>
    <x v="0"/>
    <n v="119.21"/>
    <x v="0"/>
    <x v="0"/>
  </r>
  <r>
    <x v="5"/>
    <x v="5"/>
    <x v="5"/>
    <x v="48"/>
    <x v="1"/>
    <n v="3409.74"/>
    <x v="0"/>
    <x v="0"/>
  </r>
  <r>
    <x v="5"/>
    <x v="5"/>
    <x v="5"/>
    <x v="48"/>
    <x v="0"/>
    <n v="13.64"/>
    <x v="0"/>
    <x v="0"/>
  </r>
  <r>
    <x v="6"/>
    <x v="6"/>
    <x v="6"/>
    <x v="48"/>
    <x v="1"/>
    <n v="88000"/>
    <x v="0"/>
    <x v="0"/>
  </r>
  <r>
    <x v="6"/>
    <x v="6"/>
    <x v="6"/>
    <x v="48"/>
    <x v="0"/>
    <n v="352"/>
    <x v="0"/>
    <x v="0"/>
  </r>
  <r>
    <x v="8"/>
    <x v="8"/>
    <x v="8"/>
    <x v="48"/>
    <x v="1"/>
    <n v="55632.78"/>
    <x v="0"/>
    <x v="0"/>
  </r>
  <r>
    <x v="8"/>
    <x v="8"/>
    <x v="8"/>
    <x v="48"/>
    <x v="0"/>
    <n v="222.54"/>
    <x v="0"/>
    <x v="0"/>
  </r>
  <r>
    <x v="9"/>
    <x v="9"/>
    <x v="9"/>
    <x v="48"/>
    <x v="1"/>
    <n v="216372.66"/>
    <x v="0"/>
    <x v="0"/>
  </r>
  <r>
    <x v="9"/>
    <x v="9"/>
    <x v="9"/>
    <x v="48"/>
    <x v="0"/>
    <n v="865.52"/>
    <x v="0"/>
    <x v="0"/>
  </r>
  <r>
    <x v="1"/>
    <x v="1"/>
    <x v="1"/>
    <x v="49"/>
    <x v="1"/>
    <n v="36282.379999999997"/>
    <x v="0"/>
    <x v="0"/>
  </r>
  <r>
    <x v="1"/>
    <x v="1"/>
    <x v="1"/>
    <x v="49"/>
    <x v="0"/>
    <n v="2503.48"/>
    <x v="0"/>
    <x v="0"/>
  </r>
  <r>
    <x v="1"/>
    <x v="1"/>
    <x v="1"/>
    <x v="49"/>
    <x v="2"/>
    <n v="3102.13"/>
    <x v="8"/>
    <x v="1"/>
  </r>
  <r>
    <x v="3"/>
    <x v="3"/>
    <x v="3"/>
    <x v="49"/>
    <x v="1"/>
    <n v="2916"/>
    <x v="0"/>
    <x v="0"/>
  </r>
  <r>
    <x v="3"/>
    <x v="3"/>
    <x v="3"/>
    <x v="49"/>
    <x v="0"/>
    <n v="201.2"/>
    <x v="0"/>
    <x v="0"/>
  </r>
  <r>
    <x v="3"/>
    <x v="3"/>
    <x v="3"/>
    <x v="49"/>
    <x v="2"/>
    <n v="249.32"/>
    <x v="8"/>
    <x v="1"/>
  </r>
  <r>
    <x v="7"/>
    <x v="7"/>
    <x v="7"/>
    <x v="49"/>
    <x v="1"/>
    <n v="8907.25"/>
    <x v="0"/>
    <x v="0"/>
  </r>
  <r>
    <x v="7"/>
    <x v="7"/>
    <x v="7"/>
    <x v="49"/>
    <x v="0"/>
    <n v="614.6"/>
    <x v="0"/>
    <x v="0"/>
  </r>
  <r>
    <x v="7"/>
    <x v="7"/>
    <x v="7"/>
    <x v="49"/>
    <x v="2"/>
    <n v="761.57"/>
    <x v="8"/>
    <x v="1"/>
  </r>
  <r>
    <x v="9"/>
    <x v="9"/>
    <x v="9"/>
    <x v="49"/>
    <x v="1"/>
    <n v="48105.63"/>
    <x v="0"/>
    <x v="0"/>
  </r>
  <r>
    <x v="9"/>
    <x v="9"/>
    <x v="9"/>
    <x v="49"/>
    <x v="0"/>
    <n v="3319.28"/>
    <x v="0"/>
    <x v="0"/>
  </r>
  <r>
    <x v="9"/>
    <x v="9"/>
    <x v="9"/>
    <x v="49"/>
    <x v="2"/>
    <n v="4113.0200000000004"/>
    <x v="8"/>
    <x v="1"/>
  </r>
  <r>
    <x v="0"/>
    <x v="0"/>
    <x v="0"/>
    <x v="50"/>
    <x v="1"/>
    <n v="35345.21"/>
    <x v="0"/>
    <x v="0"/>
  </r>
  <r>
    <x v="0"/>
    <x v="0"/>
    <x v="0"/>
    <x v="50"/>
    <x v="0"/>
    <n v="2438.81"/>
    <x v="0"/>
    <x v="0"/>
  </r>
  <r>
    <x v="2"/>
    <x v="2"/>
    <x v="2"/>
    <x v="50"/>
    <x v="1"/>
    <n v="4184.6000000000004"/>
    <x v="0"/>
    <x v="0"/>
  </r>
  <r>
    <x v="2"/>
    <x v="2"/>
    <x v="2"/>
    <x v="50"/>
    <x v="0"/>
    <n v="288.74"/>
    <x v="0"/>
    <x v="0"/>
  </r>
  <r>
    <x v="4"/>
    <x v="4"/>
    <x v="4"/>
    <x v="50"/>
    <x v="1"/>
    <n v="29800.33"/>
    <x v="0"/>
    <x v="0"/>
  </r>
  <r>
    <x v="4"/>
    <x v="4"/>
    <x v="4"/>
    <x v="50"/>
    <x v="0"/>
    <n v="2056.23"/>
    <x v="0"/>
    <x v="0"/>
  </r>
  <r>
    <x v="5"/>
    <x v="5"/>
    <x v="5"/>
    <x v="50"/>
    <x v="1"/>
    <n v="3409.74"/>
    <x v="0"/>
    <x v="0"/>
  </r>
  <r>
    <x v="5"/>
    <x v="5"/>
    <x v="5"/>
    <x v="50"/>
    <x v="0"/>
    <n v="235.28"/>
    <x v="0"/>
    <x v="0"/>
  </r>
  <r>
    <x v="6"/>
    <x v="6"/>
    <x v="6"/>
    <x v="50"/>
    <x v="1"/>
    <n v="43175"/>
    <x v="0"/>
    <x v="0"/>
  </r>
  <r>
    <x v="6"/>
    <x v="6"/>
    <x v="6"/>
    <x v="50"/>
    <x v="0"/>
    <n v="2979.13"/>
    <x v="0"/>
    <x v="0"/>
  </r>
  <r>
    <x v="8"/>
    <x v="8"/>
    <x v="8"/>
    <x v="50"/>
    <x v="1"/>
    <n v="35426.29"/>
    <x v="0"/>
    <x v="0"/>
  </r>
  <r>
    <x v="8"/>
    <x v="8"/>
    <x v="8"/>
    <x v="50"/>
    <x v="0"/>
    <n v="2444.44"/>
    <x v="0"/>
    <x v="0"/>
  </r>
  <r>
    <x v="9"/>
    <x v="9"/>
    <x v="9"/>
    <x v="50"/>
    <x v="1"/>
    <n v="151341.17000000001"/>
    <x v="0"/>
    <x v="0"/>
  </r>
  <r>
    <x v="9"/>
    <x v="9"/>
    <x v="9"/>
    <x v="50"/>
    <x v="0"/>
    <n v="10442.629999999999"/>
    <x v="0"/>
    <x v="0"/>
  </r>
  <r>
    <x v="1"/>
    <x v="1"/>
    <x v="1"/>
    <x v="51"/>
    <x v="1"/>
    <n v="36282.379999999997"/>
    <x v="0"/>
    <x v="0"/>
  </r>
  <r>
    <x v="1"/>
    <x v="1"/>
    <x v="1"/>
    <x v="51"/>
    <x v="2"/>
    <n v="1251.74"/>
    <x v="8"/>
    <x v="1"/>
  </r>
  <r>
    <x v="3"/>
    <x v="3"/>
    <x v="3"/>
    <x v="51"/>
    <x v="1"/>
    <n v="2916"/>
    <x v="0"/>
    <x v="0"/>
  </r>
  <r>
    <x v="3"/>
    <x v="3"/>
    <x v="3"/>
    <x v="51"/>
    <x v="2"/>
    <n v="100.6"/>
    <x v="8"/>
    <x v="1"/>
  </r>
  <r>
    <x v="7"/>
    <x v="7"/>
    <x v="7"/>
    <x v="51"/>
    <x v="1"/>
    <n v="8907.25"/>
    <x v="0"/>
    <x v="0"/>
  </r>
  <r>
    <x v="7"/>
    <x v="7"/>
    <x v="7"/>
    <x v="51"/>
    <x v="2"/>
    <n v="307.3"/>
    <x v="8"/>
    <x v="1"/>
  </r>
  <r>
    <x v="9"/>
    <x v="9"/>
    <x v="9"/>
    <x v="51"/>
    <x v="1"/>
    <n v="48105.63"/>
    <x v="0"/>
    <x v="0"/>
  </r>
  <r>
    <x v="9"/>
    <x v="9"/>
    <x v="9"/>
    <x v="51"/>
    <x v="2"/>
    <n v="1659.64"/>
    <x v="8"/>
    <x v="1"/>
  </r>
  <r>
    <x v="1"/>
    <x v="1"/>
    <x v="1"/>
    <x v="52"/>
    <x v="1"/>
    <n v="36282.379999999997"/>
    <x v="0"/>
    <x v="0"/>
  </r>
  <r>
    <x v="1"/>
    <x v="1"/>
    <x v="1"/>
    <x v="52"/>
    <x v="2"/>
    <n v="502.76"/>
    <x v="8"/>
    <x v="1"/>
  </r>
  <r>
    <x v="3"/>
    <x v="3"/>
    <x v="3"/>
    <x v="52"/>
    <x v="1"/>
    <n v="2916"/>
    <x v="0"/>
    <x v="0"/>
  </r>
  <r>
    <x v="3"/>
    <x v="3"/>
    <x v="3"/>
    <x v="52"/>
    <x v="2"/>
    <n v="39.659999999999997"/>
    <x v="8"/>
    <x v="1"/>
  </r>
  <r>
    <x v="7"/>
    <x v="7"/>
    <x v="7"/>
    <x v="52"/>
    <x v="1"/>
    <n v="8907.25"/>
    <x v="0"/>
    <x v="0"/>
  </r>
  <r>
    <x v="7"/>
    <x v="7"/>
    <x v="7"/>
    <x v="52"/>
    <x v="2"/>
    <n v="121.14"/>
    <x v="8"/>
    <x v="1"/>
  </r>
  <r>
    <x v="9"/>
    <x v="9"/>
    <x v="9"/>
    <x v="52"/>
    <x v="1"/>
    <n v="48105.63"/>
    <x v="0"/>
    <x v="0"/>
  </r>
  <r>
    <x v="9"/>
    <x v="9"/>
    <x v="9"/>
    <x v="52"/>
    <x v="2"/>
    <n v="663.56"/>
    <x v="8"/>
    <x v="1"/>
  </r>
  <r>
    <x v="0"/>
    <x v="0"/>
    <x v="0"/>
    <x v="53"/>
    <x v="1"/>
    <n v="35345.21"/>
    <x v="0"/>
    <x v="0"/>
  </r>
  <r>
    <x v="0"/>
    <x v="0"/>
    <x v="0"/>
    <x v="53"/>
    <x v="2"/>
    <n v="490.96"/>
    <x v="8"/>
    <x v="1"/>
  </r>
  <r>
    <x v="2"/>
    <x v="2"/>
    <x v="2"/>
    <x v="53"/>
    <x v="1"/>
    <n v="4184.6000000000004"/>
    <x v="0"/>
    <x v="0"/>
  </r>
  <r>
    <x v="2"/>
    <x v="2"/>
    <x v="2"/>
    <x v="53"/>
    <x v="2"/>
    <n v="56.91"/>
    <x v="8"/>
    <x v="1"/>
  </r>
  <r>
    <x v="4"/>
    <x v="4"/>
    <x v="4"/>
    <x v="53"/>
    <x v="1"/>
    <n v="29800.33"/>
    <x v="0"/>
    <x v="0"/>
  </r>
  <r>
    <x v="4"/>
    <x v="4"/>
    <x v="4"/>
    <x v="53"/>
    <x v="2"/>
    <n v="412.8"/>
    <x v="8"/>
    <x v="1"/>
  </r>
  <r>
    <x v="5"/>
    <x v="5"/>
    <x v="5"/>
    <x v="53"/>
    <x v="1"/>
    <n v="3409.74"/>
    <x v="0"/>
    <x v="0"/>
  </r>
  <r>
    <x v="5"/>
    <x v="5"/>
    <x v="5"/>
    <x v="53"/>
    <x v="2"/>
    <n v="46.37"/>
    <x v="8"/>
    <x v="1"/>
  </r>
  <r>
    <x v="6"/>
    <x v="6"/>
    <x v="6"/>
    <x v="53"/>
    <x v="1"/>
    <n v="88000"/>
    <x v="0"/>
    <x v="0"/>
  </r>
  <r>
    <x v="6"/>
    <x v="6"/>
    <x v="6"/>
    <x v="53"/>
    <x v="2"/>
    <n v="1219.2"/>
    <x v="8"/>
    <x v="1"/>
  </r>
  <r>
    <x v="8"/>
    <x v="8"/>
    <x v="8"/>
    <x v="53"/>
    <x v="1"/>
    <n v="55632.78"/>
    <x v="0"/>
    <x v="0"/>
  </r>
  <r>
    <x v="8"/>
    <x v="8"/>
    <x v="8"/>
    <x v="53"/>
    <x v="2"/>
    <n v="765.36"/>
    <x v="8"/>
    <x v="1"/>
  </r>
  <r>
    <x v="9"/>
    <x v="9"/>
    <x v="9"/>
    <x v="53"/>
    <x v="1"/>
    <n v="216372.66"/>
    <x v="0"/>
    <x v="0"/>
  </r>
  <r>
    <x v="9"/>
    <x v="9"/>
    <x v="9"/>
    <x v="53"/>
    <x v="2"/>
    <n v="2991.6"/>
    <x v="8"/>
    <x v="1"/>
  </r>
  <r>
    <x v="0"/>
    <x v="0"/>
    <x v="0"/>
    <x v="54"/>
    <x v="1"/>
    <n v="35345.21"/>
    <x v="0"/>
    <x v="0"/>
  </r>
  <r>
    <x v="0"/>
    <x v="0"/>
    <x v="0"/>
    <x v="54"/>
    <x v="2"/>
    <n v="35.36"/>
    <x v="8"/>
    <x v="2"/>
  </r>
  <r>
    <x v="1"/>
    <x v="1"/>
    <x v="1"/>
    <x v="54"/>
    <x v="1"/>
    <n v="36282.379999999997"/>
    <x v="0"/>
    <x v="0"/>
  </r>
  <r>
    <x v="1"/>
    <x v="1"/>
    <x v="1"/>
    <x v="54"/>
    <x v="2"/>
    <n v="36.26"/>
    <x v="8"/>
    <x v="2"/>
  </r>
  <r>
    <x v="2"/>
    <x v="2"/>
    <x v="2"/>
    <x v="54"/>
    <x v="1"/>
    <n v="4184.6000000000004"/>
    <x v="0"/>
    <x v="0"/>
  </r>
  <r>
    <x v="2"/>
    <x v="2"/>
    <x v="2"/>
    <x v="54"/>
    <x v="2"/>
    <n v="4.18"/>
    <x v="8"/>
    <x v="2"/>
  </r>
  <r>
    <x v="3"/>
    <x v="3"/>
    <x v="3"/>
    <x v="54"/>
    <x v="1"/>
    <n v="2916"/>
    <x v="0"/>
    <x v="0"/>
  </r>
  <r>
    <x v="3"/>
    <x v="3"/>
    <x v="3"/>
    <x v="54"/>
    <x v="2"/>
    <n v="2.92"/>
    <x v="8"/>
    <x v="2"/>
  </r>
  <r>
    <x v="4"/>
    <x v="4"/>
    <x v="4"/>
    <x v="54"/>
    <x v="1"/>
    <n v="29800.33"/>
    <x v="0"/>
    <x v="0"/>
  </r>
  <r>
    <x v="4"/>
    <x v="4"/>
    <x v="4"/>
    <x v="54"/>
    <x v="2"/>
    <n v="29.8"/>
    <x v="8"/>
    <x v="2"/>
  </r>
  <r>
    <x v="5"/>
    <x v="5"/>
    <x v="5"/>
    <x v="54"/>
    <x v="1"/>
    <n v="3409.74"/>
    <x v="0"/>
    <x v="0"/>
  </r>
  <r>
    <x v="5"/>
    <x v="5"/>
    <x v="5"/>
    <x v="54"/>
    <x v="2"/>
    <n v="3.41"/>
    <x v="8"/>
    <x v="2"/>
  </r>
  <r>
    <x v="6"/>
    <x v="6"/>
    <x v="6"/>
    <x v="54"/>
    <x v="1"/>
    <n v="43175"/>
    <x v="0"/>
    <x v="0"/>
  </r>
  <r>
    <x v="6"/>
    <x v="6"/>
    <x v="6"/>
    <x v="54"/>
    <x v="2"/>
    <n v="43.23"/>
    <x v="8"/>
    <x v="2"/>
  </r>
  <r>
    <x v="7"/>
    <x v="7"/>
    <x v="7"/>
    <x v="54"/>
    <x v="1"/>
    <n v="8907.25"/>
    <x v="0"/>
    <x v="0"/>
  </r>
  <r>
    <x v="7"/>
    <x v="7"/>
    <x v="7"/>
    <x v="54"/>
    <x v="2"/>
    <n v="8.91"/>
    <x v="8"/>
    <x v="2"/>
  </r>
  <r>
    <x v="8"/>
    <x v="8"/>
    <x v="8"/>
    <x v="54"/>
    <x v="1"/>
    <n v="35426.29"/>
    <x v="0"/>
    <x v="0"/>
  </r>
  <r>
    <x v="8"/>
    <x v="8"/>
    <x v="8"/>
    <x v="54"/>
    <x v="2"/>
    <n v="35.46"/>
    <x v="8"/>
    <x v="2"/>
  </r>
  <r>
    <x v="9"/>
    <x v="9"/>
    <x v="9"/>
    <x v="54"/>
    <x v="1"/>
    <n v="199446.8"/>
    <x v="0"/>
    <x v="0"/>
  </r>
  <r>
    <x v="9"/>
    <x v="9"/>
    <x v="9"/>
    <x v="54"/>
    <x v="2"/>
    <n v="199.53"/>
    <x v="8"/>
    <x v="2"/>
  </r>
  <r>
    <x v="0"/>
    <x v="0"/>
    <x v="0"/>
    <x v="55"/>
    <x v="1"/>
    <n v="36704.75"/>
    <x v="0"/>
    <x v="0"/>
  </r>
  <r>
    <x v="0"/>
    <x v="0"/>
    <x v="0"/>
    <x v="55"/>
    <x v="0"/>
    <n v="2495.9299999999998"/>
    <x v="0"/>
    <x v="0"/>
  </r>
  <r>
    <x v="1"/>
    <x v="1"/>
    <x v="1"/>
    <x v="55"/>
    <x v="1"/>
    <n v="37574.43"/>
    <x v="0"/>
    <x v="0"/>
  </r>
  <r>
    <x v="1"/>
    <x v="1"/>
    <x v="1"/>
    <x v="55"/>
    <x v="0"/>
    <n v="2555.08"/>
    <x v="0"/>
    <x v="0"/>
  </r>
  <r>
    <x v="2"/>
    <x v="2"/>
    <x v="2"/>
    <x v="55"/>
    <x v="1"/>
    <n v="4279.5"/>
    <x v="0"/>
    <x v="0"/>
  </r>
  <r>
    <x v="2"/>
    <x v="2"/>
    <x v="2"/>
    <x v="55"/>
    <x v="0"/>
    <n v="291.01"/>
    <x v="0"/>
    <x v="0"/>
  </r>
  <r>
    <x v="3"/>
    <x v="3"/>
    <x v="3"/>
    <x v="55"/>
    <x v="1"/>
    <n v="2966.91"/>
    <x v="0"/>
    <x v="0"/>
  </r>
  <r>
    <x v="3"/>
    <x v="3"/>
    <x v="3"/>
    <x v="55"/>
    <x v="0"/>
    <n v="201.75"/>
    <x v="0"/>
    <x v="0"/>
  </r>
  <r>
    <x v="4"/>
    <x v="4"/>
    <x v="4"/>
    <x v="55"/>
    <x v="1"/>
    <n v="30754.44"/>
    <x v="0"/>
    <x v="0"/>
  </r>
  <r>
    <x v="4"/>
    <x v="4"/>
    <x v="4"/>
    <x v="55"/>
    <x v="0"/>
    <n v="2091.3000000000002"/>
    <x v="0"/>
    <x v="0"/>
  </r>
  <r>
    <x v="5"/>
    <x v="5"/>
    <x v="5"/>
    <x v="55"/>
    <x v="1"/>
    <n v="3501.39"/>
    <x v="0"/>
    <x v="0"/>
  </r>
  <r>
    <x v="5"/>
    <x v="5"/>
    <x v="5"/>
    <x v="55"/>
    <x v="0"/>
    <n v="238.1"/>
    <x v="0"/>
    <x v="0"/>
  </r>
  <r>
    <x v="6"/>
    <x v="6"/>
    <x v="6"/>
    <x v="55"/>
    <x v="1"/>
    <n v="90002"/>
    <x v="0"/>
    <x v="0"/>
  </r>
  <r>
    <x v="6"/>
    <x v="6"/>
    <x v="6"/>
    <x v="55"/>
    <x v="0"/>
    <n v="6120.18"/>
    <x v="0"/>
    <x v="0"/>
  </r>
  <r>
    <x v="7"/>
    <x v="7"/>
    <x v="7"/>
    <x v="55"/>
    <x v="1"/>
    <n v="9060.64"/>
    <x v="0"/>
    <x v="0"/>
  </r>
  <r>
    <x v="7"/>
    <x v="7"/>
    <x v="7"/>
    <x v="55"/>
    <x v="0"/>
    <n v="616.13"/>
    <x v="0"/>
    <x v="0"/>
  </r>
  <r>
    <x v="8"/>
    <x v="8"/>
    <x v="8"/>
    <x v="55"/>
    <x v="1"/>
    <n v="57157.32"/>
    <x v="0"/>
    <x v="0"/>
  </r>
  <r>
    <x v="8"/>
    <x v="8"/>
    <x v="8"/>
    <x v="55"/>
    <x v="0"/>
    <n v="3886.7"/>
    <x v="0"/>
    <x v="0"/>
  </r>
  <r>
    <x v="9"/>
    <x v="9"/>
    <x v="9"/>
    <x v="55"/>
    <x v="1"/>
    <n v="272001.38"/>
    <x v="0"/>
    <x v="0"/>
  </r>
  <r>
    <x v="9"/>
    <x v="9"/>
    <x v="9"/>
    <x v="55"/>
    <x v="0"/>
    <n v="18496.18"/>
    <x v="0"/>
    <x v="0"/>
  </r>
  <r>
    <x v="0"/>
    <x v="0"/>
    <x v="0"/>
    <x v="56"/>
    <x v="1"/>
    <n v="36704.75"/>
    <x v="0"/>
    <x v="0"/>
  </r>
  <r>
    <x v="0"/>
    <x v="0"/>
    <x v="0"/>
    <x v="56"/>
    <x v="0"/>
    <n v="1064.45"/>
    <x v="0"/>
    <x v="0"/>
  </r>
  <r>
    <x v="1"/>
    <x v="1"/>
    <x v="1"/>
    <x v="56"/>
    <x v="1"/>
    <n v="37574.43"/>
    <x v="0"/>
    <x v="0"/>
  </r>
  <r>
    <x v="1"/>
    <x v="1"/>
    <x v="1"/>
    <x v="56"/>
    <x v="0"/>
    <n v="1089.69"/>
    <x v="0"/>
    <x v="0"/>
  </r>
  <r>
    <x v="2"/>
    <x v="2"/>
    <x v="2"/>
    <x v="56"/>
    <x v="1"/>
    <n v="4279.5"/>
    <x v="0"/>
    <x v="0"/>
  </r>
  <r>
    <x v="2"/>
    <x v="2"/>
    <x v="2"/>
    <x v="56"/>
    <x v="0"/>
    <n v="124.11"/>
    <x v="0"/>
    <x v="0"/>
  </r>
  <r>
    <x v="3"/>
    <x v="3"/>
    <x v="3"/>
    <x v="56"/>
    <x v="1"/>
    <n v="2966.91"/>
    <x v="0"/>
    <x v="0"/>
  </r>
  <r>
    <x v="3"/>
    <x v="3"/>
    <x v="3"/>
    <x v="56"/>
    <x v="0"/>
    <n v="86.04"/>
    <x v="0"/>
    <x v="0"/>
  </r>
  <r>
    <x v="4"/>
    <x v="4"/>
    <x v="4"/>
    <x v="56"/>
    <x v="1"/>
    <n v="30754.44"/>
    <x v="0"/>
    <x v="0"/>
  </r>
  <r>
    <x v="4"/>
    <x v="4"/>
    <x v="4"/>
    <x v="56"/>
    <x v="0"/>
    <n v="891.9"/>
    <x v="0"/>
    <x v="0"/>
  </r>
  <r>
    <x v="5"/>
    <x v="5"/>
    <x v="5"/>
    <x v="56"/>
    <x v="1"/>
    <n v="3501.39"/>
    <x v="0"/>
    <x v="0"/>
  </r>
  <r>
    <x v="5"/>
    <x v="5"/>
    <x v="5"/>
    <x v="56"/>
    <x v="0"/>
    <n v="101.54"/>
    <x v="0"/>
    <x v="0"/>
  </r>
  <r>
    <x v="6"/>
    <x v="6"/>
    <x v="6"/>
    <x v="56"/>
    <x v="1"/>
    <n v="90002"/>
    <x v="0"/>
    <x v="0"/>
  </r>
  <r>
    <x v="6"/>
    <x v="6"/>
    <x v="6"/>
    <x v="56"/>
    <x v="0"/>
    <n v="2610.08"/>
    <x v="0"/>
    <x v="0"/>
  </r>
  <r>
    <x v="7"/>
    <x v="7"/>
    <x v="7"/>
    <x v="56"/>
    <x v="1"/>
    <n v="9060.64"/>
    <x v="0"/>
    <x v="0"/>
  </r>
  <r>
    <x v="7"/>
    <x v="7"/>
    <x v="7"/>
    <x v="56"/>
    <x v="0"/>
    <n v="262.77"/>
    <x v="0"/>
    <x v="0"/>
  </r>
  <r>
    <x v="8"/>
    <x v="8"/>
    <x v="8"/>
    <x v="56"/>
    <x v="1"/>
    <n v="57157.32"/>
    <x v="0"/>
    <x v="0"/>
  </r>
  <r>
    <x v="8"/>
    <x v="8"/>
    <x v="8"/>
    <x v="56"/>
    <x v="0"/>
    <n v="1657.57"/>
    <x v="0"/>
    <x v="0"/>
  </r>
  <r>
    <x v="9"/>
    <x v="9"/>
    <x v="9"/>
    <x v="56"/>
    <x v="1"/>
    <n v="272001.38"/>
    <x v="0"/>
    <x v="0"/>
  </r>
  <r>
    <x v="9"/>
    <x v="9"/>
    <x v="9"/>
    <x v="56"/>
    <x v="0"/>
    <n v="7888.15"/>
    <x v="0"/>
    <x v="0"/>
  </r>
  <r>
    <x v="0"/>
    <x v="0"/>
    <x v="0"/>
    <x v="57"/>
    <x v="1"/>
    <n v="35345.21"/>
    <x v="0"/>
    <x v="0"/>
  </r>
  <r>
    <x v="0"/>
    <x v="0"/>
    <x v="0"/>
    <x v="57"/>
    <x v="2"/>
    <n v="5.66"/>
    <x v="8"/>
    <x v="2"/>
  </r>
  <r>
    <x v="1"/>
    <x v="1"/>
    <x v="1"/>
    <x v="57"/>
    <x v="1"/>
    <n v="36282.379999999997"/>
    <x v="0"/>
    <x v="0"/>
  </r>
  <r>
    <x v="1"/>
    <x v="1"/>
    <x v="1"/>
    <x v="57"/>
    <x v="2"/>
    <n v="5.78"/>
    <x v="8"/>
    <x v="2"/>
  </r>
  <r>
    <x v="2"/>
    <x v="2"/>
    <x v="2"/>
    <x v="57"/>
    <x v="1"/>
    <n v="4184.6000000000004"/>
    <x v="0"/>
    <x v="0"/>
  </r>
  <r>
    <x v="2"/>
    <x v="2"/>
    <x v="2"/>
    <x v="57"/>
    <x v="2"/>
    <n v="0.67"/>
    <x v="8"/>
    <x v="2"/>
  </r>
  <r>
    <x v="3"/>
    <x v="3"/>
    <x v="3"/>
    <x v="57"/>
    <x v="1"/>
    <n v="2916"/>
    <x v="0"/>
    <x v="0"/>
  </r>
  <r>
    <x v="3"/>
    <x v="3"/>
    <x v="3"/>
    <x v="57"/>
    <x v="2"/>
    <n v="0.47"/>
    <x v="8"/>
    <x v="2"/>
  </r>
  <r>
    <x v="4"/>
    <x v="4"/>
    <x v="4"/>
    <x v="57"/>
    <x v="1"/>
    <n v="29800.33"/>
    <x v="0"/>
    <x v="0"/>
  </r>
  <r>
    <x v="4"/>
    <x v="4"/>
    <x v="4"/>
    <x v="57"/>
    <x v="2"/>
    <n v="4.7699999999999996"/>
    <x v="8"/>
    <x v="2"/>
  </r>
  <r>
    <x v="5"/>
    <x v="5"/>
    <x v="5"/>
    <x v="57"/>
    <x v="1"/>
    <n v="3409.74"/>
    <x v="0"/>
    <x v="0"/>
  </r>
  <r>
    <x v="5"/>
    <x v="5"/>
    <x v="5"/>
    <x v="57"/>
    <x v="2"/>
    <n v="0.54"/>
    <x v="8"/>
    <x v="2"/>
  </r>
  <r>
    <x v="7"/>
    <x v="7"/>
    <x v="7"/>
    <x v="57"/>
    <x v="1"/>
    <n v="8907.25"/>
    <x v="0"/>
    <x v="0"/>
  </r>
  <r>
    <x v="7"/>
    <x v="7"/>
    <x v="7"/>
    <x v="57"/>
    <x v="2"/>
    <n v="1.43"/>
    <x v="8"/>
    <x v="2"/>
  </r>
  <r>
    <x v="8"/>
    <x v="8"/>
    <x v="8"/>
    <x v="57"/>
    <x v="1"/>
    <n v="55632.78"/>
    <x v="0"/>
    <x v="0"/>
  </r>
  <r>
    <x v="8"/>
    <x v="8"/>
    <x v="8"/>
    <x v="57"/>
    <x v="2"/>
    <n v="8.91"/>
    <x v="8"/>
    <x v="2"/>
  </r>
  <r>
    <x v="9"/>
    <x v="9"/>
    <x v="9"/>
    <x v="57"/>
    <x v="1"/>
    <n v="176478.29"/>
    <x v="0"/>
    <x v="0"/>
  </r>
  <r>
    <x v="9"/>
    <x v="9"/>
    <x v="9"/>
    <x v="57"/>
    <x v="2"/>
    <n v="28.23"/>
    <x v="8"/>
    <x v="2"/>
  </r>
  <r>
    <x v="0"/>
    <x v="0"/>
    <x v="0"/>
    <x v="58"/>
    <x v="1"/>
    <n v="35345.21"/>
    <x v="0"/>
    <x v="0"/>
  </r>
  <r>
    <x v="0"/>
    <x v="0"/>
    <x v="0"/>
    <x v="58"/>
    <x v="2"/>
    <n v="1419.28"/>
    <x v="8"/>
    <x v="1"/>
  </r>
  <r>
    <x v="1"/>
    <x v="1"/>
    <x v="1"/>
    <x v="58"/>
    <x v="1"/>
    <n v="36282.379999999997"/>
    <x v="0"/>
    <x v="0"/>
  </r>
  <r>
    <x v="1"/>
    <x v="1"/>
    <x v="1"/>
    <x v="58"/>
    <x v="2"/>
    <n v="1456.28"/>
    <x v="8"/>
    <x v="1"/>
  </r>
  <r>
    <x v="2"/>
    <x v="2"/>
    <x v="2"/>
    <x v="58"/>
    <x v="1"/>
    <n v="4184.6000000000004"/>
    <x v="0"/>
    <x v="0"/>
  </r>
  <r>
    <x v="2"/>
    <x v="2"/>
    <x v="2"/>
    <x v="58"/>
    <x v="2"/>
    <n v="167.38"/>
    <x v="8"/>
    <x v="1"/>
  </r>
  <r>
    <x v="3"/>
    <x v="3"/>
    <x v="3"/>
    <x v="58"/>
    <x v="1"/>
    <n v="2916"/>
    <x v="0"/>
    <x v="0"/>
  </r>
  <r>
    <x v="3"/>
    <x v="3"/>
    <x v="3"/>
    <x v="58"/>
    <x v="2"/>
    <n v="116.64"/>
    <x v="8"/>
    <x v="1"/>
  </r>
  <r>
    <x v="4"/>
    <x v="4"/>
    <x v="4"/>
    <x v="58"/>
    <x v="1"/>
    <n v="29800.33"/>
    <x v="0"/>
    <x v="0"/>
  </r>
  <r>
    <x v="4"/>
    <x v="4"/>
    <x v="4"/>
    <x v="58"/>
    <x v="2"/>
    <n v="1196.1400000000001"/>
    <x v="8"/>
    <x v="1"/>
  </r>
  <r>
    <x v="5"/>
    <x v="5"/>
    <x v="5"/>
    <x v="58"/>
    <x v="1"/>
    <n v="3409.74"/>
    <x v="0"/>
    <x v="0"/>
  </r>
  <r>
    <x v="5"/>
    <x v="5"/>
    <x v="5"/>
    <x v="58"/>
    <x v="2"/>
    <n v="136.38999999999999"/>
    <x v="8"/>
    <x v="1"/>
  </r>
  <r>
    <x v="7"/>
    <x v="7"/>
    <x v="7"/>
    <x v="58"/>
    <x v="1"/>
    <n v="8907.25"/>
    <x v="0"/>
    <x v="0"/>
  </r>
  <r>
    <x v="7"/>
    <x v="7"/>
    <x v="7"/>
    <x v="58"/>
    <x v="2"/>
    <n v="356.29"/>
    <x v="8"/>
    <x v="1"/>
  </r>
  <r>
    <x v="8"/>
    <x v="8"/>
    <x v="8"/>
    <x v="58"/>
    <x v="1"/>
    <n v="55632.78"/>
    <x v="0"/>
    <x v="0"/>
  </r>
  <r>
    <x v="8"/>
    <x v="8"/>
    <x v="8"/>
    <x v="58"/>
    <x v="2"/>
    <n v="2229.4299999999998"/>
    <x v="8"/>
    <x v="1"/>
  </r>
  <r>
    <x v="9"/>
    <x v="9"/>
    <x v="9"/>
    <x v="58"/>
    <x v="1"/>
    <n v="176478.29"/>
    <x v="0"/>
    <x v="0"/>
  </r>
  <r>
    <x v="9"/>
    <x v="9"/>
    <x v="9"/>
    <x v="58"/>
    <x v="2"/>
    <n v="7077.83"/>
    <x v="8"/>
    <x v="1"/>
  </r>
  <r>
    <x v="0"/>
    <x v="0"/>
    <x v="0"/>
    <x v="59"/>
    <x v="1"/>
    <n v="35345.21"/>
    <x v="0"/>
    <x v="0"/>
  </r>
  <r>
    <x v="0"/>
    <x v="0"/>
    <x v="0"/>
    <x v="59"/>
    <x v="2"/>
    <n v="88.37"/>
    <x v="8"/>
    <x v="1"/>
  </r>
  <r>
    <x v="1"/>
    <x v="1"/>
    <x v="1"/>
    <x v="59"/>
    <x v="1"/>
    <n v="36282.379999999997"/>
    <x v="0"/>
    <x v="0"/>
  </r>
  <r>
    <x v="1"/>
    <x v="1"/>
    <x v="1"/>
    <x v="59"/>
    <x v="2"/>
    <n v="90.68"/>
    <x v="8"/>
    <x v="1"/>
  </r>
  <r>
    <x v="2"/>
    <x v="2"/>
    <x v="2"/>
    <x v="59"/>
    <x v="1"/>
    <n v="4184.6000000000004"/>
    <x v="0"/>
    <x v="0"/>
  </r>
  <r>
    <x v="2"/>
    <x v="2"/>
    <x v="2"/>
    <x v="59"/>
    <x v="2"/>
    <n v="10.46"/>
    <x v="8"/>
    <x v="1"/>
  </r>
  <r>
    <x v="3"/>
    <x v="3"/>
    <x v="3"/>
    <x v="59"/>
    <x v="1"/>
    <n v="2916"/>
    <x v="0"/>
    <x v="0"/>
  </r>
  <r>
    <x v="3"/>
    <x v="3"/>
    <x v="3"/>
    <x v="59"/>
    <x v="2"/>
    <n v="7.29"/>
    <x v="8"/>
    <x v="1"/>
  </r>
  <r>
    <x v="4"/>
    <x v="4"/>
    <x v="4"/>
    <x v="59"/>
    <x v="1"/>
    <n v="29800.33"/>
    <x v="0"/>
    <x v="0"/>
  </r>
  <r>
    <x v="4"/>
    <x v="4"/>
    <x v="4"/>
    <x v="59"/>
    <x v="2"/>
    <n v="74.5"/>
    <x v="8"/>
    <x v="1"/>
  </r>
  <r>
    <x v="5"/>
    <x v="5"/>
    <x v="5"/>
    <x v="59"/>
    <x v="1"/>
    <n v="3409.74"/>
    <x v="0"/>
    <x v="0"/>
  </r>
  <r>
    <x v="5"/>
    <x v="5"/>
    <x v="5"/>
    <x v="59"/>
    <x v="2"/>
    <n v="8.52"/>
    <x v="8"/>
    <x v="1"/>
  </r>
  <r>
    <x v="7"/>
    <x v="7"/>
    <x v="7"/>
    <x v="59"/>
    <x v="1"/>
    <n v="8907.25"/>
    <x v="0"/>
    <x v="0"/>
  </r>
  <r>
    <x v="7"/>
    <x v="7"/>
    <x v="7"/>
    <x v="59"/>
    <x v="2"/>
    <n v="22.27"/>
    <x v="8"/>
    <x v="1"/>
  </r>
  <r>
    <x v="8"/>
    <x v="8"/>
    <x v="8"/>
    <x v="59"/>
    <x v="1"/>
    <n v="55632.78"/>
    <x v="0"/>
    <x v="0"/>
  </r>
  <r>
    <x v="8"/>
    <x v="8"/>
    <x v="8"/>
    <x v="59"/>
    <x v="2"/>
    <n v="139.09"/>
    <x v="8"/>
    <x v="1"/>
  </r>
  <r>
    <x v="9"/>
    <x v="9"/>
    <x v="9"/>
    <x v="59"/>
    <x v="1"/>
    <n v="176478.29"/>
    <x v="0"/>
    <x v="0"/>
  </r>
  <r>
    <x v="9"/>
    <x v="9"/>
    <x v="9"/>
    <x v="59"/>
    <x v="2"/>
    <n v="441.18"/>
    <x v="8"/>
    <x v="1"/>
  </r>
  <r>
    <x v="0"/>
    <x v="0"/>
    <x v="0"/>
    <x v="60"/>
    <x v="1"/>
    <n v="35345.21"/>
    <x v="0"/>
    <x v="0"/>
  </r>
  <r>
    <x v="0"/>
    <x v="0"/>
    <x v="0"/>
    <x v="60"/>
    <x v="0"/>
    <n v="8.49"/>
    <x v="0"/>
    <x v="0"/>
  </r>
  <r>
    <x v="0"/>
    <x v="0"/>
    <x v="0"/>
    <x v="60"/>
    <x v="2"/>
    <n v="12.71"/>
    <x v="8"/>
    <x v="2"/>
  </r>
  <r>
    <x v="1"/>
    <x v="1"/>
    <x v="1"/>
    <x v="60"/>
    <x v="1"/>
    <n v="36282.379999999997"/>
    <x v="0"/>
    <x v="0"/>
  </r>
  <r>
    <x v="1"/>
    <x v="1"/>
    <x v="1"/>
    <x v="60"/>
    <x v="0"/>
    <n v="8.7100000000000009"/>
    <x v="0"/>
    <x v="0"/>
  </r>
  <r>
    <x v="1"/>
    <x v="1"/>
    <x v="1"/>
    <x v="60"/>
    <x v="2"/>
    <n v="13.06"/>
    <x v="8"/>
    <x v="2"/>
  </r>
  <r>
    <x v="3"/>
    <x v="3"/>
    <x v="3"/>
    <x v="60"/>
    <x v="1"/>
    <n v="2916"/>
    <x v="0"/>
    <x v="0"/>
  </r>
  <r>
    <x v="3"/>
    <x v="3"/>
    <x v="3"/>
    <x v="60"/>
    <x v="0"/>
    <n v="0.7"/>
    <x v="0"/>
    <x v="0"/>
  </r>
  <r>
    <x v="3"/>
    <x v="3"/>
    <x v="3"/>
    <x v="60"/>
    <x v="2"/>
    <n v="1.05"/>
    <x v="8"/>
    <x v="2"/>
  </r>
  <r>
    <x v="4"/>
    <x v="4"/>
    <x v="4"/>
    <x v="60"/>
    <x v="1"/>
    <n v="29800.33"/>
    <x v="0"/>
    <x v="0"/>
  </r>
  <r>
    <x v="4"/>
    <x v="4"/>
    <x v="4"/>
    <x v="60"/>
    <x v="0"/>
    <n v="7.16"/>
    <x v="0"/>
    <x v="0"/>
  </r>
  <r>
    <x v="4"/>
    <x v="4"/>
    <x v="4"/>
    <x v="60"/>
    <x v="2"/>
    <n v="10.73"/>
    <x v="8"/>
    <x v="2"/>
  </r>
  <r>
    <x v="6"/>
    <x v="6"/>
    <x v="6"/>
    <x v="60"/>
    <x v="1"/>
    <n v="43175"/>
    <x v="0"/>
    <x v="0"/>
  </r>
  <r>
    <x v="6"/>
    <x v="6"/>
    <x v="6"/>
    <x v="60"/>
    <x v="0"/>
    <n v="10.34"/>
    <x v="0"/>
    <x v="0"/>
  </r>
  <r>
    <x v="6"/>
    <x v="6"/>
    <x v="6"/>
    <x v="60"/>
    <x v="2"/>
    <n v="15.51"/>
    <x v="8"/>
    <x v="2"/>
  </r>
  <r>
    <x v="7"/>
    <x v="7"/>
    <x v="7"/>
    <x v="60"/>
    <x v="1"/>
    <n v="8907.25"/>
    <x v="0"/>
    <x v="0"/>
  </r>
  <r>
    <x v="7"/>
    <x v="7"/>
    <x v="7"/>
    <x v="60"/>
    <x v="0"/>
    <n v="2.14"/>
    <x v="0"/>
    <x v="0"/>
  </r>
  <r>
    <x v="7"/>
    <x v="7"/>
    <x v="7"/>
    <x v="60"/>
    <x v="2"/>
    <n v="3.21"/>
    <x v="8"/>
    <x v="2"/>
  </r>
  <r>
    <x v="8"/>
    <x v="8"/>
    <x v="8"/>
    <x v="60"/>
    <x v="1"/>
    <n v="35426.29"/>
    <x v="0"/>
    <x v="0"/>
  </r>
  <r>
    <x v="8"/>
    <x v="8"/>
    <x v="8"/>
    <x v="60"/>
    <x v="0"/>
    <n v="8.49"/>
    <x v="0"/>
    <x v="0"/>
  </r>
  <r>
    <x v="8"/>
    <x v="8"/>
    <x v="8"/>
    <x v="60"/>
    <x v="2"/>
    <n v="12.73"/>
    <x v="8"/>
    <x v="2"/>
  </r>
  <r>
    <x v="9"/>
    <x v="9"/>
    <x v="9"/>
    <x v="60"/>
    <x v="1"/>
    <n v="191852.46"/>
    <x v="0"/>
    <x v="0"/>
  </r>
  <r>
    <x v="9"/>
    <x v="9"/>
    <x v="9"/>
    <x v="60"/>
    <x v="0"/>
    <n v="46.03"/>
    <x v="0"/>
    <x v="0"/>
  </r>
  <r>
    <x v="9"/>
    <x v="9"/>
    <x v="9"/>
    <x v="60"/>
    <x v="2"/>
    <n v="69"/>
    <x v="8"/>
    <x v="2"/>
  </r>
  <r>
    <x v="6"/>
    <x v="6"/>
    <x v="6"/>
    <x v="61"/>
    <x v="1"/>
    <n v="44825"/>
    <x v="0"/>
    <x v="0"/>
  </r>
  <r>
    <x v="6"/>
    <x v="6"/>
    <x v="6"/>
    <x v="61"/>
    <x v="0"/>
    <n v="10.78"/>
    <x v="0"/>
    <x v="0"/>
  </r>
  <r>
    <x v="6"/>
    <x v="6"/>
    <x v="6"/>
    <x v="61"/>
    <x v="2"/>
    <n v="16.170000000000002"/>
    <x v="8"/>
    <x v="2"/>
  </r>
  <r>
    <x v="8"/>
    <x v="8"/>
    <x v="8"/>
    <x v="61"/>
    <x v="1"/>
    <n v="20206.490000000002"/>
    <x v="0"/>
    <x v="0"/>
  </r>
  <r>
    <x v="8"/>
    <x v="8"/>
    <x v="8"/>
    <x v="61"/>
    <x v="0"/>
    <n v="4.8600000000000003"/>
    <x v="0"/>
    <x v="0"/>
  </r>
  <r>
    <x v="8"/>
    <x v="8"/>
    <x v="8"/>
    <x v="61"/>
    <x v="2"/>
    <n v="7.28"/>
    <x v="8"/>
    <x v="2"/>
  </r>
  <r>
    <x v="9"/>
    <x v="9"/>
    <x v="9"/>
    <x v="61"/>
    <x v="1"/>
    <n v="65031.49"/>
    <x v="0"/>
    <x v="0"/>
  </r>
  <r>
    <x v="9"/>
    <x v="9"/>
    <x v="9"/>
    <x v="61"/>
    <x v="0"/>
    <n v="15.64"/>
    <x v="0"/>
    <x v="0"/>
  </r>
  <r>
    <x v="9"/>
    <x v="9"/>
    <x v="9"/>
    <x v="61"/>
    <x v="2"/>
    <n v="23.45"/>
    <x v="8"/>
    <x v="2"/>
  </r>
  <r>
    <x v="0"/>
    <x v="0"/>
    <x v="0"/>
    <x v="62"/>
    <x v="1"/>
    <n v="35345.21"/>
    <x v="0"/>
    <x v="0"/>
  </r>
  <r>
    <x v="0"/>
    <x v="0"/>
    <x v="0"/>
    <x v="62"/>
    <x v="0"/>
    <n v="1113.3699999999999"/>
    <x v="0"/>
    <x v="0"/>
  </r>
  <r>
    <x v="0"/>
    <x v="0"/>
    <x v="0"/>
    <x v="62"/>
    <x v="2"/>
    <n v="1668.29"/>
    <x v="8"/>
    <x v="1"/>
  </r>
  <r>
    <x v="1"/>
    <x v="1"/>
    <x v="1"/>
    <x v="62"/>
    <x v="1"/>
    <n v="36282.379999999997"/>
    <x v="0"/>
    <x v="0"/>
  </r>
  <r>
    <x v="1"/>
    <x v="1"/>
    <x v="1"/>
    <x v="62"/>
    <x v="0"/>
    <n v="1142.9000000000001"/>
    <x v="0"/>
    <x v="0"/>
  </r>
  <r>
    <x v="1"/>
    <x v="1"/>
    <x v="1"/>
    <x v="62"/>
    <x v="2"/>
    <n v="1712.51"/>
    <x v="8"/>
    <x v="1"/>
  </r>
  <r>
    <x v="2"/>
    <x v="2"/>
    <x v="2"/>
    <x v="62"/>
    <x v="1"/>
    <n v="4184.6000000000004"/>
    <x v="0"/>
    <x v="0"/>
  </r>
  <r>
    <x v="2"/>
    <x v="2"/>
    <x v="2"/>
    <x v="62"/>
    <x v="0"/>
    <n v="131.81"/>
    <x v="0"/>
    <x v="0"/>
  </r>
  <r>
    <x v="2"/>
    <x v="2"/>
    <x v="2"/>
    <x v="62"/>
    <x v="2"/>
    <n v="197.51"/>
    <x v="8"/>
    <x v="1"/>
  </r>
  <r>
    <x v="3"/>
    <x v="3"/>
    <x v="3"/>
    <x v="62"/>
    <x v="1"/>
    <n v="2916"/>
    <x v="0"/>
    <x v="0"/>
  </r>
  <r>
    <x v="3"/>
    <x v="3"/>
    <x v="3"/>
    <x v="62"/>
    <x v="0"/>
    <n v="91.85"/>
    <x v="0"/>
    <x v="0"/>
  </r>
  <r>
    <x v="3"/>
    <x v="3"/>
    <x v="3"/>
    <x v="62"/>
    <x v="2"/>
    <n v="137.63999999999999"/>
    <x v="8"/>
    <x v="1"/>
  </r>
  <r>
    <x v="4"/>
    <x v="4"/>
    <x v="4"/>
    <x v="62"/>
    <x v="1"/>
    <n v="29800.33"/>
    <x v="0"/>
    <x v="0"/>
  </r>
  <r>
    <x v="4"/>
    <x v="4"/>
    <x v="4"/>
    <x v="62"/>
    <x v="0"/>
    <n v="938.72"/>
    <x v="0"/>
    <x v="0"/>
  </r>
  <r>
    <x v="4"/>
    <x v="4"/>
    <x v="4"/>
    <x v="62"/>
    <x v="2"/>
    <n v="1406.56"/>
    <x v="8"/>
    <x v="1"/>
  </r>
  <r>
    <x v="5"/>
    <x v="5"/>
    <x v="5"/>
    <x v="62"/>
    <x v="1"/>
    <n v="3409.74"/>
    <x v="0"/>
    <x v="0"/>
  </r>
  <r>
    <x v="5"/>
    <x v="5"/>
    <x v="5"/>
    <x v="62"/>
    <x v="0"/>
    <n v="107.41"/>
    <x v="0"/>
    <x v="0"/>
  </r>
  <r>
    <x v="5"/>
    <x v="5"/>
    <x v="5"/>
    <x v="62"/>
    <x v="2"/>
    <n v="160.94"/>
    <x v="8"/>
    <x v="1"/>
  </r>
  <r>
    <x v="6"/>
    <x v="6"/>
    <x v="6"/>
    <x v="62"/>
    <x v="1"/>
    <n v="43175"/>
    <x v="0"/>
    <x v="0"/>
  </r>
  <r>
    <x v="6"/>
    <x v="6"/>
    <x v="6"/>
    <x v="62"/>
    <x v="0"/>
    <n v="1360.04"/>
    <x v="0"/>
    <x v="0"/>
  </r>
  <r>
    <x v="6"/>
    <x v="6"/>
    <x v="6"/>
    <x v="62"/>
    <x v="2"/>
    <n v="2037.86"/>
    <x v="8"/>
    <x v="1"/>
  </r>
  <r>
    <x v="7"/>
    <x v="7"/>
    <x v="7"/>
    <x v="62"/>
    <x v="1"/>
    <n v="8907.25"/>
    <x v="0"/>
    <x v="0"/>
  </r>
  <r>
    <x v="7"/>
    <x v="7"/>
    <x v="7"/>
    <x v="62"/>
    <x v="0"/>
    <n v="280.58"/>
    <x v="0"/>
    <x v="0"/>
  </r>
  <r>
    <x v="7"/>
    <x v="7"/>
    <x v="7"/>
    <x v="62"/>
    <x v="2"/>
    <n v="420.42"/>
    <x v="8"/>
    <x v="1"/>
  </r>
  <r>
    <x v="8"/>
    <x v="8"/>
    <x v="8"/>
    <x v="62"/>
    <x v="1"/>
    <n v="35426.29"/>
    <x v="0"/>
    <x v="0"/>
  </r>
  <r>
    <x v="8"/>
    <x v="8"/>
    <x v="8"/>
    <x v="62"/>
    <x v="0"/>
    <n v="1115.93"/>
    <x v="0"/>
    <x v="0"/>
  </r>
  <r>
    <x v="8"/>
    <x v="8"/>
    <x v="8"/>
    <x v="62"/>
    <x v="2"/>
    <n v="1672.13"/>
    <x v="8"/>
    <x v="1"/>
  </r>
  <r>
    <x v="9"/>
    <x v="9"/>
    <x v="9"/>
    <x v="62"/>
    <x v="1"/>
    <n v="199446.8"/>
    <x v="0"/>
    <x v="0"/>
  </r>
  <r>
    <x v="9"/>
    <x v="9"/>
    <x v="9"/>
    <x v="62"/>
    <x v="0"/>
    <n v="6282.61"/>
    <x v="0"/>
    <x v="0"/>
  </r>
  <r>
    <x v="9"/>
    <x v="9"/>
    <x v="9"/>
    <x v="62"/>
    <x v="2"/>
    <n v="9413.86"/>
    <x v="8"/>
    <x v="1"/>
  </r>
  <r>
    <x v="6"/>
    <x v="6"/>
    <x v="6"/>
    <x v="63"/>
    <x v="1"/>
    <n v="44825"/>
    <x v="0"/>
    <x v="0"/>
  </r>
  <r>
    <x v="6"/>
    <x v="6"/>
    <x v="6"/>
    <x v="63"/>
    <x v="0"/>
    <n v="3872.88"/>
    <x v="0"/>
    <x v="0"/>
  </r>
  <r>
    <x v="6"/>
    <x v="6"/>
    <x v="6"/>
    <x v="63"/>
    <x v="2"/>
    <n v="5804.81"/>
    <x v="8"/>
    <x v="1"/>
  </r>
  <r>
    <x v="8"/>
    <x v="8"/>
    <x v="8"/>
    <x v="63"/>
    <x v="1"/>
    <n v="20206.490000000002"/>
    <x v="0"/>
    <x v="0"/>
  </r>
  <r>
    <x v="8"/>
    <x v="8"/>
    <x v="8"/>
    <x v="63"/>
    <x v="0"/>
    <n v="1745.85"/>
    <x v="0"/>
    <x v="0"/>
  </r>
  <r>
    <x v="8"/>
    <x v="8"/>
    <x v="8"/>
    <x v="63"/>
    <x v="2"/>
    <n v="2616.75"/>
    <x v="8"/>
    <x v="1"/>
  </r>
  <r>
    <x v="9"/>
    <x v="9"/>
    <x v="9"/>
    <x v="63"/>
    <x v="1"/>
    <n v="65031.49"/>
    <x v="0"/>
    <x v="0"/>
  </r>
  <r>
    <x v="9"/>
    <x v="9"/>
    <x v="9"/>
    <x v="63"/>
    <x v="0"/>
    <n v="5618.73"/>
    <x v="0"/>
    <x v="0"/>
  </r>
  <r>
    <x v="9"/>
    <x v="9"/>
    <x v="9"/>
    <x v="63"/>
    <x v="2"/>
    <n v="8421.56"/>
    <x v="8"/>
    <x v="1"/>
  </r>
  <r>
    <x v="0"/>
    <x v="0"/>
    <x v="0"/>
    <x v="64"/>
    <x v="1"/>
    <n v="35345.21"/>
    <x v="0"/>
    <x v="0"/>
  </r>
  <r>
    <x v="0"/>
    <x v="0"/>
    <x v="0"/>
    <x v="64"/>
    <x v="0"/>
    <n v="303.95999999999998"/>
    <x v="0"/>
    <x v="0"/>
  </r>
  <r>
    <x v="0"/>
    <x v="0"/>
    <x v="0"/>
    <x v="64"/>
    <x v="2"/>
    <n v="455.94"/>
    <x v="8"/>
    <x v="1"/>
  </r>
  <r>
    <x v="1"/>
    <x v="1"/>
    <x v="1"/>
    <x v="64"/>
    <x v="1"/>
    <n v="36282.379999999997"/>
    <x v="0"/>
    <x v="0"/>
  </r>
  <r>
    <x v="1"/>
    <x v="1"/>
    <x v="1"/>
    <x v="64"/>
    <x v="0"/>
    <n v="312.05"/>
    <x v="0"/>
    <x v="0"/>
  </r>
  <r>
    <x v="1"/>
    <x v="1"/>
    <x v="1"/>
    <x v="64"/>
    <x v="2"/>
    <n v="468.04"/>
    <x v="8"/>
    <x v="1"/>
  </r>
  <r>
    <x v="2"/>
    <x v="2"/>
    <x v="2"/>
    <x v="64"/>
    <x v="1"/>
    <n v="4184.6000000000004"/>
    <x v="0"/>
    <x v="0"/>
  </r>
  <r>
    <x v="2"/>
    <x v="2"/>
    <x v="2"/>
    <x v="64"/>
    <x v="0"/>
    <n v="35.99"/>
    <x v="0"/>
    <x v="0"/>
  </r>
  <r>
    <x v="2"/>
    <x v="2"/>
    <x v="2"/>
    <x v="64"/>
    <x v="2"/>
    <n v="53.98"/>
    <x v="8"/>
    <x v="1"/>
  </r>
  <r>
    <x v="3"/>
    <x v="3"/>
    <x v="3"/>
    <x v="64"/>
    <x v="1"/>
    <n v="2916"/>
    <x v="0"/>
    <x v="0"/>
  </r>
  <r>
    <x v="3"/>
    <x v="3"/>
    <x v="3"/>
    <x v="64"/>
    <x v="0"/>
    <n v="25.08"/>
    <x v="0"/>
    <x v="0"/>
  </r>
  <r>
    <x v="3"/>
    <x v="3"/>
    <x v="3"/>
    <x v="64"/>
    <x v="2"/>
    <n v="37.619999999999997"/>
    <x v="8"/>
    <x v="1"/>
  </r>
  <r>
    <x v="4"/>
    <x v="4"/>
    <x v="4"/>
    <x v="64"/>
    <x v="1"/>
    <n v="29800.33"/>
    <x v="0"/>
    <x v="0"/>
  </r>
  <r>
    <x v="4"/>
    <x v="4"/>
    <x v="4"/>
    <x v="64"/>
    <x v="0"/>
    <n v="256.27999999999997"/>
    <x v="0"/>
    <x v="0"/>
  </r>
  <r>
    <x v="4"/>
    <x v="4"/>
    <x v="4"/>
    <x v="64"/>
    <x v="2"/>
    <n v="384.43"/>
    <x v="8"/>
    <x v="1"/>
  </r>
  <r>
    <x v="5"/>
    <x v="5"/>
    <x v="5"/>
    <x v="64"/>
    <x v="1"/>
    <n v="3409.74"/>
    <x v="0"/>
    <x v="0"/>
  </r>
  <r>
    <x v="5"/>
    <x v="5"/>
    <x v="5"/>
    <x v="64"/>
    <x v="0"/>
    <n v="29.32"/>
    <x v="0"/>
    <x v="0"/>
  </r>
  <r>
    <x v="5"/>
    <x v="5"/>
    <x v="5"/>
    <x v="64"/>
    <x v="2"/>
    <n v="43.99"/>
    <x v="8"/>
    <x v="1"/>
  </r>
  <r>
    <x v="6"/>
    <x v="6"/>
    <x v="6"/>
    <x v="64"/>
    <x v="1"/>
    <n v="43175"/>
    <x v="0"/>
    <x v="0"/>
  </r>
  <r>
    <x v="6"/>
    <x v="6"/>
    <x v="6"/>
    <x v="64"/>
    <x v="0"/>
    <n v="371.36"/>
    <x v="0"/>
    <x v="0"/>
  </r>
  <r>
    <x v="6"/>
    <x v="6"/>
    <x v="6"/>
    <x v="64"/>
    <x v="2"/>
    <n v="556.92999999999995"/>
    <x v="8"/>
    <x v="1"/>
  </r>
  <r>
    <x v="7"/>
    <x v="7"/>
    <x v="7"/>
    <x v="64"/>
    <x v="1"/>
    <n v="8907.25"/>
    <x v="0"/>
    <x v="0"/>
  </r>
  <r>
    <x v="7"/>
    <x v="7"/>
    <x v="7"/>
    <x v="64"/>
    <x v="0"/>
    <n v="76.599999999999994"/>
    <x v="0"/>
    <x v="0"/>
  </r>
  <r>
    <x v="7"/>
    <x v="7"/>
    <x v="7"/>
    <x v="64"/>
    <x v="2"/>
    <n v="114.9"/>
    <x v="8"/>
    <x v="1"/>
  </r>
  <r>
    <x v="8"/>
    <x v="8"/>
    <x v="8"/>
    <x v="64"/>
    <x v="1"/>
    <n v="35426.29"/>
    <x v="0"/>
    <x v="0"/>
  </r>
  <r>
    <x v="8"/>
    <x v="8"/>
    <x v="8"/>
    <x v="64"/>
    <x v="0"/>
    <n v="304.69"/>
    <x v="0"/>
    <x v="0"/>
  </r>
  <r>
    <x v="8"/>
    <x v="8"/>
    <x v="8"/>
    <x v="64"/>
    <x v="2"/>
    <n v="456.99"/>
    <x v="8"/>
    <x v="1"/>
  </r>
  <r>
    <x v="9"/>
    <x v="9"/>
    <x v="9"/>
    <x v="64"/>
    <x v="1"/>
    <n v="199446.8"/>
    <x v="0"/>
    <x v="0"/>
  </r>
  <r>
    <x v="9"/>
    <x v="9"/>
    <x v="9"/>
    <x v="64"/>
    <x v="0"/>
    <n v="1715.33"/>
    <x v="0"/>
    <x v="0"/>
  </r>
  <r>
    <x v="9"/>
    <x v="9"/>
    <x v="9"/>
    <x v="64"/>
    <x v="2"/>
    <n v="2572.8200000000002"/>
    <x v="8"/>
    <x v="1"/>
  </r>
  <r>
    <x v="6"/>
    <x v="6"/>
    <x v="6"/>
    <x v="65"/>
    <x v="1"/>
    <n v="44825"/>
    <x v="0"/>
    <x v="0"/>
  </r>
  <r>
    <x v="6"/>
    <x v="6"/>
    <x v="6"/>
    <x v="65"/>
    <x v="0"/>
    <n v="484.11"/>
    <x v="0"/>
    <x v="0"/>
  </r>
  <r>
    <x v="6"/>
    <x v="6"/>
    <x v="6"/>
    <x v="65"/>
    <x v="2"/>
    <n v="726.22"/>
    <x v="8"/>
    <x v="1"/>
  </r>
  <r>
    <x v="8"/>
    <x v="8"/>
    <x v="8"/>
    <x v="65"/>
    <x v="1"/>
    <n v="20206.490000000002"/>
    <x v="0"/>
    <x v="0"/>
  </r>
  <r>
    <x v="8"/>
    <x v="8"/>
    <x v="8"/>
    <x v="65"/>
    <x v="0"/>
    <n v="218.22"/>
    <x v="0"/>
    <x v="0"/>
  </r>
  <r>
    <x v="8"/>
    <x v="8"/>
    <x v="8"/>
    <x v="65"/>
    <x v="2"/>
    <n v="327.36"/>
    <x v="8"/>
    <x v="1"/>
  </r>
  <r>
    <x v="9"/>
    <x v="9"/>
    <x v="9"/>
    <x v="65"/>
    <x v="1"/>
    <n v="65031.49"/>
    <x v="0"/>
    <x v="0"/>
  </r>
  <r>
    <x v="9"/>
    <x v="9"/>
    <x v="9"/>
    <x v="65"/>
    <x v="0"/>
    <n v="702.33"/>
    <x v="0"/>
    <x v="0"/>
  </r>
  <r>
    <x v="9"/>
    <x v="9"/>
    <x v="9"/>
    <x v="65"/>
    <x v="2"/>
    <n v="1053.58"/>
    <x v="8"/>
    <x v="1"/>
  </r>
  <r>
    <x v="6"/>
    <x v="6"/>
    <x v="6"/>
    <x v="66"/>
    <x v="1"/>
    <n v="43175"/>
    <x v="0"/>
    <x v="0"/>
  </r>
  <r>
    <x v="6"/>
    <x v="6"/>
    <x v="6"/>
    <x v="66"/>
    <x v="0"/>
    <n v="60.5"/>
    <x v="0"/>
    <x v="0"/>
  </r>
  <r>
    <x v="6"/>
    <x v="6"/>
    <x v="6"/>
    <x v="66"/>
    <x v="2"/>
    <n v="90.64"/>
    <x v="8"/>
    <x v="1"/>
  </r>
  <r>
    <x v="8"/>
    <x v="8"/>
    <x v="8"/>
    <x v="66"/>
    <x v="1"/>
    <n v="35426.29"/>
    <x v="0"/>
    <x v="0"/>
  </r>
  <r>
    <x v="8"/>
    <x v="8"/>
    <x v="8"/>
    <x v="66"/>
    <x v="0"/>
    <n v="49.64"/>
    <x v="0"/>
    <x v="0"/>
  </r>
  <r>
    <x v="8"/>
    <x v="8"/>
    <x v="8"/>
    <x v="66"/>
    <x v="2"/>
    <n v="74.38"/>
    <x v="8"/>
    <x v="1"/>
  </r>
  <r>
    <x v="9"/>
    <x v="9"/>
    <x v="9"/>
    <x v="66"/>
    <x v="1"/>
    <n v="78601.289999999994"/>
    <x v="0"/>
    <x v="0"/>
  </r>
  <r>
    <x v="9"/>
    <x v="9"/>
    <x v="9"/>
    <x v="66"/>
    <x v="0"/>
    <n v="110.14"/>
    <x v="0"/>
    <x v="0"/>
  </r>
  <r>
    <x v="9"/>
    <x v="9"/>
    <x v="9"/>
    <x v="66"/>
    <x v="2"/>
    <n v="165.02"/>
    <x v="8"/>
    <x v="1"/>
  </r>
  <r>
    <x v="6"/>
    <x v="6"/>
    <x v="6"/>
    <x v="67"/>
    <x v="1"/>
    <n v="44825"/>
    <x v="0"/>
    <x v="0"/>
  </r>
  <r>
    <x v="6"/>
    <x v="6"/>
    <x v="6"/>
    <x v="67"/>
    <x v="0"/>
    <n v="62.81"/>
    <x v="0"/>
    <x v="0"/>
  </r>
  <r>
    <x v="6"/>
    <x v="6"/>
    <x v="6"/>
    <x v="67"/>
    <x v="2"/>
    <n v="94.16"/>
    <x v="8"/>
    <x v="1"/>
  </r>
  <r>
    <x v="8"/>
    <x v="8"/>
    <x v="8"/>
    <x v="67"/>
    <x v="1"/>
    <n v="20206.490000000002"/>
    <x v="0"/>
    <x v="0"/>
  </r>
  <r>
    <x v="8"/>
    <x v="8"/>
    <x v="8"/>
    <x v="67"/>
    <x v="0"/>
    <n v="28.3"/>
    <x v="0"/>
    <x v="0"/>
  </r>
  <r>
    <x v="8"/>
    <x v="8"/>
    <x v="8"/>
    <x v="67"/>
    <x v="2"/>
    <n v="42.42"/>
    <x v="8"/>
    <x v="1"/>
  </r>
  <r>
    <x v="9"/>
    <x v="9"/>
    <x v="9"/>
    <x v="67"/>
    <x v="1"/>
    <n v="65031.49"/>
    <x v="0"/>
    <x v="0"/>
  </r>
  <r>
    <x v="9"/>
    <x v="9"/>
    <x v="9"/>
    <x v="67"/>
    <x v="0"/>
    <n v="91.11"/>
    <x v="0"/>
    <x v="0"/>
  </r>
  <r>
    <x v="9"/>
    <x v="9"/>
    <x v="9"/>
    <x v="67"/>
    <x v="2"/>
    <n v="136.58000000000001"/>
    <x v="8"/>
    <x v="1"/>
  </r>
  <r>
    <x v="0"/>
    <x v="0"/>
    <x v="0"/>
    <x v="68"/>
    <x v="1"/>
    <n v="35345.21"/>
    <x v="0"/>
    <x v="0"/>
  </r>
  <r>
    <x v="0"/>
    <x v="0"/>
    <x v="0"/>
    <x v="68"/>
    <x v="2"/>
    <n v="767"/>
    <x v="8"/>
    <x v="1"/>
  </r>
  <r>
    <x v="1"/>
    <x v="1"/>
    <x v="1"/>
    <x v="68"/>
    <x v="1"/>
    <n v="36282.379999999997"/>
    <x v="0"/>
    <x v="0"/>
  </r>
  <r>
    <x v="1"/>
    <x v="1"/>
    <x v="1"/>
    <x v="68"/>
    <x v="2"/>
    <n v="787.31"/>
    <x v="8"/>
    <x v="1"/>
  </r>
  <r>
    <x v="2"/>
    <x v="2"/>
    <x v="2"/>
    <x v="68"/>
    <x v="1"/>
    <n v="4184.6000000000004"/>
    <x v="0"/>
    <x v="0"/>
  </r>
  <r>
    <x v="2"/>
    <x v="2"/>
    <x v="2"/>
    <x v="68"/>
    <x v="2"/>
    <n v="90.81"/>
    <x v="8"/>
    <x v="1"/>
  </r>
  <r>
    <x v="3"/>
    <x v="3"/>
    <x v="3"/>
    <x v="68"/>
    <x v="1"/>
    <n v="2916"/>
    <x v="0"/>
    <x v="0"/>
  </r>
  <r>
    <x v="3"/>
    <x v="3"/>
    <x v="3"/>
    <x v="68"/>
    <x v="2"/>
    <n v="63.28"/>
    <x v="8"/>
    <x v="1"/>
  </r>
  <r>
    <x v="4"/>
    <x v="4"/>
    <x v="4"/>
    <x v="68"/>
    <x v="1"/>
    <n v="29800.33"/>
    <x v="0"/>
    <x v="0"/>
  </r>
  <r>
    <x v="4"/>
    <x v="4"/>
    <x v="4"/>
    <x v="68"/>
    <x v="2"/>
    <n v="646.66"/>
    <x v="8"/>
    <x v="1"/>
  </r>
  <r>
    <x v="5"/>
    <x v="5"/>
    <x v="5"/>
    <x v="68"/>
    <x v="1"/>
    <n v="3409.74"/>
    <x v="0"/>
    <x v="0"/>
  </r>
  <r>
    <x v="5"/>
    <x v="5"/>
    <x v="5"/>
    <x v="68"/>
    <x v="2"/>
    <n v="74"/>
    <x v="8"/>
    <x v="1"/>
  </r>
  <r>
    <x v="6"/>
    <x v="6"/>
    <x v="6"/>
    <x v="68"/>
    <x v="1"/>
    <n v="43175"/>
    <x v="0"/>
    <x v="0"/>
  </r>
  <r>
    <x v="6"/>
    <x v="6"/>
    <x v="6"/>
    <x v="68"/>
    <x v="2"/>
    <n v="936.87"/>
    <x v="8"/>
    <x v="1"/>
  </r>
  <r>
    <x v="7"/>
    <x v="7"/>
    <x v="7"/>
    <x v="68"/>
    <x v="1"/>
    <n v="8907.25"/>
    <x v="0"/>
    <x v="0"/>
  </r>
  <r>
    <x v="7"/>
    <x v="7"/>
    <x v="7"/>
    <x v="68"/>
    <x v="2"/>
    <n v="193.29"/>
    <x v="8"/>
    <x v="1"/>
  </r>
  <r>
    <x v="8"/>
    <x v="8"/>
    <x v="8"/>
    <x v="68"/>
    <x v="1"/>
    <n v="35426.29"/>
    <x v="0"/>
    <x v="0"/>
  </r>
  <r>
    <x v="8"/>
    <x v="8"/>
    <x v="8"/>
    <x v="68"/>
    <x v="2"/>
    <n v="768.73"/>
    <x v="8"/>
    <x v="1"/>
  </r>
  <r>
    <x v="9"/>
    <x v="9"/>
    <x v="9"/>
    <x v="68"/>
    <x v="1"/>
    <n v="199446.8"/>
    <x v="0"/>
    <x v="0"/>
  </r>
  <r>
    <x v="9"/>
    <x v="9"/>
    <x v="9"/>
    <x v="68"/>
    <x v="2"/>
    <n v="4327.95"/>
    <x v="8"/>
    <x v="1"/>
  </r>
  <r>
    <x v="6"/>
    <x v="6"/>
    <x v="6"/>
    <x v="69"/>
    <x v="1"/>
    <n v="44825"/>
    <x v="0"/>
    <x v="0"/>
  </r>
  <r>
    <x v="6"/>
    <x v="6"/>
    <x v="6"/>
    <x v="69"/>
    <x v="2"/>
    <n v="1394.03"/>
    <x v="8"/>
    <x v="1"/>
  </r>
  <r>
    <x v="8"/>
    <x v="8"/>
    <x v="8"/>
    <x v="69"/>
    <x v="1"/>
    <n v="20206.490000000002"/>
    <x v="0"/>
    <x v="0"/>
  </r>
  <r>
    <x v="8"/>
    <x v="8"/>
    <x v="8"/>
    <x v="69"/>
    <x v="2"/>
    <n v="628.41999999999996"/>
    <x v="8"/>
    <x v="1"/>
  </r>
  <r>
    <x v="9"/>
    <x v="9"/>
    <x v="9"/>
    <x v="69"/>
    <x v="1"/>
    <n v="65031.49"/>
    <x v="0"/>
    <x v="0"/>
  </r>
  <r>
    <x v="9"/>
    <x v="9"/>
    <x v="9"/>
    <x v="69"/>
    <x v="2"/>
    <n v="2022.45"/>
    <x v="8"/>
    <x v="1"/>
  </r>
  <r>
    <x v="5"/>
    <x v="5"/>
    <x v="5"/>
    <x v="70"/>
    <x v="1"/>
    <n v="3925"/>
    <x v="0"/>
    <x v="0"/>
  </r>
  <r>
    <x v="5"/>
    <x v="5"/>
    <x v="5"/>
    <x v="70"/>
    <x v="0"/>
    <n v="38.659999999999997"/>
    <x v="0"/>
    <x v="0"/>
  </r>
  <r>
    <x v="5"/>
    <x v="5"/>
    <x v="5"/>
    <x v="70"/>
    <x v="2"/>
    <n v="38.659999999999997"/>
    <x v="8"/>
    <x v="1"/>
  </r>
  <r>
    <x v="9"/>
    <x v="9"/>
    <x v="9"/>
    <x v="70"/>
    <x v="1"/>
    <n v="3925"/>
    <x v="0"/>
    <x v="0"/>
  </r>
  <r>
    <x v="9"/>
    <x v="9"/>
    <x v="9"/>
    <x v="70"/>
    <x v="0"/>
    <n v="38.659999999999997"/>
    <x v="0"/>
    <x v="0"/>
  </r>
  <r>
    <x v="9"/>
    <x v="9"/>
    <x v="9"/>
    <x v="70"/>
    <x v="2"/>
    <n v="38.659999999999997"/>
    <x v="8"/>
    <x v="1"/>
  </r>
  <r>
    <x v="4"/>
    <x v="4"/>
    <x v="4"/>
    <x v="71"/>
    <x v="1"/>
    <n v="43175"/>
    <x v="0"/>
    <x v="0"/>
  </r>
  <r>
    <x v="4"/>
    <x v="4"/>
    <x v="4"/>
    <x v="71"/>
    <x v="0"/>
    <n v="828.96"/>
    <x v="0"/>
    <x v="0"/>
  </r>
  <r>
    <x v="4"/>
    <x v="4"/>
    <x v="4"/>
    <x v="71"/>
    <x v="2"/>
    <n v="828.96"/>
    <x v="8"/>
    <x v="1"/>
  </r>
  <r>
    <x v="9"/>
    <x v="9"/>
    <x v="9"/>
    <x v="71"/>
    <x v="1"/>
    <n v="43175"/>
    <x v="0"/>
    <x v="0"/>
  </r>
  <r>
    <x v="9"/>
    <x v="9"/>
    <x v="9"/>
    <x v="71"/>
    <x v="0"/>
    <n v="828.96"/>
    <x v="0"/>
    <x v="0"/>
  </r>
  <r>
    <x v="9"/>
    <x v="9"/>
    <x v="9"/>
    <x v="71"/>
    <x v="2"/>
    <n v="828.96"/>
    <x v="8"/>
    <x v="1"/>
  </r>
  <r>
    <x v="2"/>
    <x v="2"/>
    <x v="2"/>
    <x v="72"/>
    <x v="1"/>
    <n v="3925"/>
    <x v="0"/>
    <x v="0"/>
  </r>
  <r>
    <x v="2"/>
    <x v="2"/>
    <x v="2"/>
    <x v="72"/>
    <x v="0"/>
    <n v="38.659999999999997"/>
    <x v="0"/>
    <x v="0"/>
  </r>
  <r>
    <x v="2"/>
    <x v="2"/>
    <x v="2"/>
    <x v="72"/>
    <x v="2"/>
    <n v="38.659999999999997"/>
    <x v="8"/>
    <x v="1"/>
  </r>
  <r>
    <x v="9"/>
    <x v="9"/>
    <x v="9"/>
    <x v="72"/>
    <x v="1"/>
    <n v="3925"/>
    <x v="0"/>
    <x v="0"/>
  </r>
  <r>
    <x v="9"/>
    <x v="9"/>
    <x v="9"/>
    <x v="72"/>
    <x v="0"/>
    <n v="38.659999999999997"/>
    <x v="0"/>
    <x v="0"/>
  </r>
  <r>
    <x v="9"/>
    <x v="9"/>
    <x v="9"/>
    <x v="72"/>
    <x v="2"/>
    <n v="38.659999999999997"/>
    <x v="8"/>
    <x v="1"/>
  </r>
  <r>
    <x v="1"/>
    <x v="1"/>
    <x v="1"/>
    <x v="73"/>
    <x v="1"/>
    <n v="3925"/>
    <x v="0"/>
    <x v="0"/>
  </r>
  <r>
    <x v="1"/>
    <x v="1"/>
    <x v="1"/>
    <x v="73"/>
    <x v="0"/>
    <n v="38.659999999999997"/>
    <x v="0"/>
    <x v="0"/>
  </r>
  <r>
    <x v="1"/>
    <x v="1"/>
    <x v="1"/>
    <x v="73"/>
    <x v="2"/>
    <n v="38.659999999999997"/>
    <x v="8"/>
    <x v="1"/>
  </r>
  <r>
    <x v="2"/>
    <x v="2"/>
    <x v="2"/>
    <x v="73"/>
    <x v="1"/>
    <n v="3925"/>
    <x v="0"/>
    <x v="0"/>
  </r>
  <r>
    <x v="2"/>
    <x v="2"/>
    <x v="2"/>
    <x v="73"/>
    <x v="0"/>
    <n v="38.659999999999997"/>
    <x v="0"/>
    <x v="0"/>
  </r>
  <r>
    <x v="2"/>
    <x v="2"/>
    <x v="2"/>
    <x v="73"/>
    <x v="2"/>
    <n v="38.659999999999997"/>
    <x v="8"/>
    <x v="1"/>
  </r>
  <r>
    <x v="3"/>
    <x v="3"/>
    <x v="3"/>
    <x v="73"/>
    <x v="1"/>
    <n v="3925"/>
    <x v="0"/>
    <x v="0"/>
  </r>
  <r>
    <x v="3"/>
    <x v="3"/>
    <x v="3"/>
    <x v="73"/>
    <x v="0"/>
    <n v="38.659999999999997"/>
    <x v="0"/>
    <x v="0"/>
  </r>
  <r>
    <x v="3"/>
    <x v="3"/>
    <x v="3"/>
    <x v="73"/>
    <x v="2"/>
    <n v="38.659999999999997"/>
    <x v="8"/>
    <x v="1"/>
  </r>
  <r>
    <x v="5"/>
    <x v="5"/>
    <x v="5"/>
    <x v="73"/>
    <x v="1"/>
    <n v="3925"/>
    <x v="0"/>
    <x v="0"/>
  </r>
  <r>
    <x v="5"/>
    <x v="5"/>
    <x v="5"/>
    <x v="73"/>
    <x v="0"/>
    <n v="38.659999999999997"/>
    <x v="0"/>
    <x v="0"/>
  </r>
  <r>
    <x v="5"/>
    <x v="5"/>
    <x v="5"/>
    <x v="73"/>
    <x v="2"/>
    <n v="38.659999999999997"/>
    <x v="8"/>
    <x v="1"/>
  </r>
  <r>
    <x v="7"/>
    <x v="7"/>
    <x v="7"/>
    <x v="73"/>
    <x v="1"/>
    <n v="11775"/>
    <x v="0"/>
    <x v="0"/>
  </r>
  <r>
    <x v="7"/>
    <x v="7"/>
    <x v="7"/>
    <x v="73"/>
    <x v="0"/>
    <n v="115.98"/>
    <x v="0"/>
    <x v="0"/>
  </r>
  <r>
    <x v="7"/>
    <x v="7"/>
    <x v="7"/>
    <x v="73"/>
    <x v="2"/>
    <n v="115.98"/>
    <x v="8"/>
    <x v="1"/>
  </r>
  <r>
    <x v="9"/>
    <x v="9"/>
    <x v="9"/>
    <x v="73"/>
    <x v="1"/>
    <n v="27475"/>
    <x v="0"/>
    <x v="0"/>
  </r>
  <r>
    <x v="9"/>
    <x v="9"/>
    <x v="9"/>
    <x v="73"/>
    <x v="0"/>
    <n v="270.62"/>
    <x v="0"/>
    <x v="0"/>
  </r>
  <r>
    <x v="9"/>
    <x v="9"/>
    <x v="9"/>
    <x v="73"/>
    <x v="2"/>
    <n v="270.62"/>
    <x v="8"/>
    <x v="1"/>
  </r>
  <r>
    <x v="0"/>
    <x v="0"/>
    <x v="0"/>
    <x v="74"/>
    <x v="1"/>
    <n v="43175"/>
    <x v="0"/>
    <x v="0"/>
  </r>
  <r>
    <x v="0"/>
    <x v="0"/>
    <x v="0"/>
    <x v="74"/>
    <x v="0"/>
    <n v="1211.0999999999999"/>
    <x v="0"/>
    <x v="0"/>
  </r>
  <r>
    <x v="0"/>
    <x v="0"/>
    <x v="0"/>
    <x v="74"/>
    <x v="2"/>
    <n v="1211.0999999999999"/>
    <x v="8"/>
    <x v="1"/>
  </r>
  <r>
    <x v="1"/>
    <x v="1"/>
    <x v="1"/>
    <x v="74"/>
    <x v="1"/>
    <n v="39250"/>
    <x v="0"/>
    <x v="0"/>
  </r>
  <r>
    <x v="1"/>
    <x v="1"/>
    <x v="1"/>
    <x v="74"/>
    <x v="0"/>
    <n v="1101"/>
    <x v="0"/>
    <x v="0"/>
  </r>
  <r>
    <x v="1"/>
    <x v="1"/>
    <x v="1"/>
    <x v="74"/>
    <x v="2"/>
    <n v="1101"/>
    <x v="8"/>
    <x v="1"/>
  </r>
  <r>
    <x v="6"/>
    <x v="6"/>
    <x v="6"/>
    <x v="74"/>
    <x v="1"/>
    <n v="43175"/>
    <x v="0"/>
    <x v="0"/>
  </r>
  <r>
    <x v="6"/>
    <x v="6"/>
    <x v="6"/>
    <x v="74"/>
    <x v="0"/>
    <n v="1211.0999999999999"/>
    <x v="0"/>
    <x v="0"/>
  </r>
  <r>
    <x v="6"/>
    <x v="6"/>
    <x v="6"/>
    <x v="74"/>
    <x v="2"/>
    <n v="1211.0999999999999"/>
    <x v="8"/>
    <x v="1"/>
  </r>
  <r>
    <x v="8"/>
    <x v="8"/>
    <x v="8"/>
    <x v="74"/>
    <x v="1"/>
    <n v="39250"/>
    <x v="0"/>
    <x v="0"/>
  </r>
  <r>
    <x v="8"/>
    <x v="8"/>
    <x v="8"/>
    <x v="74"/>
    <x v="0"/>
    <n v="1101"/>
    <x v="0"/>
    <x v="0"/>
  </r>
  <r>
    <x v="8"/>
    <x v="8"/>
    <x v="8"/>
    <x v="74"/>
    <x v="2"/>
    <n v="1101"/>
    <x v="8"/>
    <x v="1"/>
  </r>
  <r>
    <x v="9"/>
    <x v="9"/>
    <x v="9"/>
    <x v="74"/>
    <x v="1"/>
    <n v="164850"/>
    <x v="0"/>
    <x v="0"/>
  </r>
  <r>
    <x v="9"/>
    <x v="9"/>
    <x v="9"/>
    <x v="74"/>
    <x v="0"/>
    <n v="4624.2"/>
    <x v="0"/>
    <x v="0"/>
  </r>
  <r>
    <x v="9"/>
    <x v="9"/>
    <x v="9"/>
    <x v="74"/>
    <x v="2"/>
    <n v="4624.2"/>
    <x v="8"/>
    <x v="1"/>
  </r>
  <r>
    <x v="0"/>
    <x v="0"/>
    <x v="0"/>
    <x v="75"/>
    <x v="1"/>
    <n v="35345.21"/>
    <x v="0"/>
    <x v="0"/>
  </r>
  <r>
    <x v="0"/>
    <x v="0"/>
    <x v="0"/>
    <x v="75"/>
    <x v="2"/>
    <n v="194.41"/>
    <x v="8"/>
    <x v="2"/>
  </r>
  <r>
    <x v="1"/>
    <x v="1"/>
    <x v="1"/>
    <x v="75"/>
    <x v="1"/>
    <n v="36282.379999999997"/>
    <x v="0"/>
    <x v="0"/>
  </r>
  <r>
    <x v="1"/>
    <x v="1"/>
    <x v="1"/>
    <x v="75"/>
    <x v="2"/>
    <n v="199.53"/>
    <x v="8"/>
    <x v="2"/>
  </r>
  <r>
    <x v="2"/>
    <x v="2"/>
    <x v="2"/>
    <x v="75"/>
    <x v="1"/>
    <n v="4184.6000000000004"/>
    <x v="0"/>
    <x v="0"/>
  </r>
  <r>
    <x v="2"/>
    <x v="2"/>
    <x v="2"/>
    <x v="75"/>
    <x v="2"/>
    <n v="23.02"/>
    <x v="8"/>
    <x v="2"/>
  </r>
  <r>
    <x v="3"/>
    <x v="3"/>
    <x v="3"/>
    <x v="75"/>
    <x v="1"/>
    <n v="2916"/>
    <x v="0"/>
    <x v="0"/>
  </r>
  <r>
    <x v="3"/>
    <x v="3"/>
    <x v="3"/>
    <x v="75"/>
    <x v="2"/>
    <n v="16.04"/>
    <x v="8"/>
    <x v="2"/>
  </r>
  <r>
    <x v="4"/>
    <x v="4"/>
    <x v="4"/>
    <x v="75"/>
    <x v="1"/>
    <n v="29800.33"/>
    <x v="0"/>
    <x v="0"/>
  </r>
  <r>
    <x v="4"/>
    <x v="4"/>
    <x v="4"/>
    <x v="75"/>
    <x v="2"/>
    <n v="163.91"/>
    <x v="8"/>
    <x v="2"/>
  </r>
  <r>
    <x v="5"/>
    <x v="5"/>
    <x v="5"/>
    <x v="75"/>
    <x v="1"/>
    <n v="3409.74"/>
    <x v="0"/>
    <x v="0"/>
  </r>
  <r>
    <x v="5"/>
    <x v="5"/>
    <x v="5"/>
    <x v="75"/>
    <x v="2"/>
    <n v="18.75"/>
    <x v="8"/>
    <x v="2"/>
  </r>
  <r>
    <x v="6"/>
    <x v="6"/>
    <x v="6"/>
    <x v="75"/>
    <x v="1"/>
    <n v="88000"/>
    <x v="0"/>
    <x v="0"/>
  </r>
  <r>
    <x v="6"/>
    <x v="6"/>
    <x v="6"/>
    <x v="75"/>
    <x v="2"/>
    <n v="484"/>
    <x v="8"/>
    <x v="2"/>
  </r>
  <r>
    <x v="7"/>
    <x v="7"/>
    <x v="7"/>
    <x v="75"/>
    <x v="1"/>
    <n v="8907.25"/>
    <x v="0"/>
    <x v="0"/>
  </r>
  <r>
    <x v="7"/>
    <x v="7"/>
    <x v="7"/>
    <x v="75"/>
    <x v="2"/>
    <n v="48.99"/>
    <x v="8"/>
    <x v="2"/>
  </r>
  <r>
    <x v="8"/>
    <x v="8"/>
    <x v="8"/>
    <x v="75"/>
    <x v="1"/>
    <n v="55632.78"/>
    <x v="0"/>
    <x v="0"/>
  </r>
  <r>
    <x v="8"/>
    <x v="8"/>
    <x v="8"/>
    <x v="75"/>
    <x v="2"/>
    <n v="306"/>
    <x v="8"/>
    <x v="2"/>
  </r>
  <r>
    <x v="9"/>
    <x v="9"/>
    <x v="9"/>
    <x v="75"/>
    <x v="1"/>
    <n v="264478.28999999998"/>
    <x v="0"/>
    <x v="0"/>
  </r>
  <r>
    <x v="9"/>
    <x v="9"/>
    <x v="9"/>
    <x v="75"/>
    <x v="2"/>
    <n v="1454.65"/>
    <x v="8"/>
    <x v="2"/>
  </r>
  <r>
    <x v="2"/>
    <x v="2"/>
    <x v="2"/>
    <x v="76"/>
    <x v="1"/>
    <n v="4184.6000000000004"/>
    <x v="0"/>
    <x v="0"/>
  </r>
  <r>
    <x v="2"/>
    <x v="2"/>
    <x v="2"/>
    <x v="76"/>
    <x v="2"/>
    <n v="41.85"/>
    <x v="8"/>
    <x v="2"/>
  </r>
  <r>
    <x v="3"/>
    <x v="3"/>
    <x v="3"/>
    <x v="76"/>
    <x v="1"/>
    <n v="2916"/>
    <x v="0"/>
    <x v="0"/>
  </r>
  <r>
    <x v="3"/>
    <x v="3"/>
    <x v="3"/>
    <x v="76"/>
    <x v="2"/>
    <n v="29.16"/>
    <x v="8"/>
    <x v="2"/>
  </r>
  <r>
    <x v="7"/>
    <x v="7"/>
    <x v="7"/>
    <x v="76"/>
    <x v="1"/>
    <n v="8907.25"/>
    <x v="0"/>
    <x v="0"/>
  </r>
  <r>
    <x v="7"/>
    <x v="7"/>
    <x v="7"/>
    <x v="76"/>
    <x v="2"/>
    <n v="89.07"/>
    <x v="8"/>
    <x v="2"/>
  </r>
  <r>
    <x v="9"/>
    <x v="9"/>
    <x v="9"/>
    <x v="76"/>
    <x v="1"/>
    <n v="16007.85"/>
    <x v="0"/>
    <x v="0"/>
  </r>
  <r>
    <x v="9"/>
    <x v="9"/>
    <x v="9"/>
    <x v="76"/>
    <x v="2"/>
    <n v="160.08000000000001"/>
    <x v="8"/>
    <x v="2"/>
  </r>
  <r>
    <x v="0"/>
    <x v="0"/>
    <x v="0"/>
    <x v="77"/>
    <x v="1"/>
    <n v="35345.21"/>
    <x v="0"/>
    <x v="0"/>
  </r>
  <r>
    <x v="0"/>
    <x v="0"/>
    <x v="0"/>
    <x v="77"/>
    <x v="2"/>
    <n v="208.53"/>
    <x v="8"/>
    <x v="2"/>
  </r>
  <r>
    <x v="1"/>
    <x v="1"/>
    <x v="1"/>
    <x v="77"/>
    <x v="1"/>
    <n v="36282.379999999997"/>
    <x v="0"/>
    <x v="0"/>
  </r>
  <r>
    <x v="1"/>
    <x v="1"/>
    <x v="1"/>
    <x v="77"/>
    <x v="2"/>
    <n v="214.09"/>
    <x v="8"/>
    <x v="2"/>
  </r>
  <r>
    <x v="2"/>
    <x v="2"/>
    <x v="2"/>
    <x v="77"/>
    <x v="1"/>
    <n v="4184.6000000000004"/>
    <x v="0"/>
    <x v="0"/>
  </r>
  <r>
    <x v="2"/>
    <x v="2"/>
    <x v="2"/>
    <x v="77"/>
    <x v="2"/>
    <n v="24.69"/>
    <x v="8"/>
    <x v="2"/>
  </r>
  <r>
    <x v="3"/>
    <x v="3"/>
    <x v="3"/>
    <x v="77"/>
    <x v="1"/>
    <n v="2916"/>
    <x v="0"/>
    <x v="0"/>
  </r>
  <r>
    <x v="3"/>
    <x v="3"/>
    <x v="3"/>
    <x v="77"/>
    <x v="2"/>
    <n v="17.2"/>
    <x v="8"/>
    <x v="2"/>
  </r>
  <r>
    <x v="4"/>
    <x v="4"/>
    <x v="4"/>
    <x v="77"/>
    <x v="1"/>
    <n v="29800.33"/>
    <x v="0"/>
    <x v="0"/>
  </r>
  <r>
    <x v="4"/>
    <x v="4"/>
    <x v="4"/>
    <x v="77"/>
    <x v="2"/>
    <n v="175.83"/>
    <x v="8"/>
    <x v="2"/>
  </r>
  <r>
    <x v="5"/>
    <x v="5"/>
    <x v="5"/>
    <x v="77"/>
    <x v="1"/>
    <n v="3409.74"/>
    <x v="0"/>
    <x v="0"/>
  </r>
  <r>
    <x v="5"/>
    <x v="5"/>
    <x v="5"/>
    <x v="77"/>
    <x v="2"/>
    <n v="20.11"/>
    <x v="8"/>
    <x v="2"/>
  </r>
  <r>
    <x v="6"/>
    <x v="6"/>
    <x v="6"/>
    <x v="77"/>
    <x v="1"/>
    <n v="88000"/>
    <x v="0"/>
    <x v="0"/>
  </r>
  <r>
    <x v="6"/>
    <x v="6"/>
    <x v="6"/>
    <x v="77"/>
    <x v="2"/>
    <n v="519.20000000000005"/>
    <x v="8"/>
    <x v="2"/>
  </r>
  <r>
    <x v="7"/>
    <x v="7"/>
    <x v="7"/>
    <x v="77"/>
    <x v="1"/>
    <n v="8907.25"/>
    <x v="0"/>
    <x v="0"/>
  </r>
  <r>
    <x v="7"/>
    <x v="7"/>
    <x v="7"/>
    <x v="77"/>
    <x v="2"/>
    <n v="52.55"/>
    <x v="8"/>
    <x v="2"/>
  </r>
  <r>
    <x v="8"/>
    <x v="8"/>
    <x v="8"/>
    <x v="77"/>
    <x v="1"/>
    <n v="55632.78"/>
    <x v="0"/>
    <x v="0"/>
  </r>
  <r>
    <x v="8"/>
    <x v="8"/>
    <x v="8"/>
    <x v="77"/>
    <x v="2"/>
    <n v="328.27"/>
    <x v="8"/>
    <x v="2"/>
  </r>
  <r>
    <x v="9"/>
    <x v="9"/>
    <x v="9"/>
    <x v="77"/>
    <x v="1"/>
    <n v="264478.28999999998"/>
    <x v="0"/>
    <x v="0"/>
  </r>
  <r>
    <x v="9"/>
    <x v="9"/>
    <x v="9"/>
    <x v="77"/>
    <x v="2"/>
    <n v="1560.47"/>
    <x v="8"/>
    <x v="2"/>
  </r>
  <r>
    <x v="0"/>
    <x v="0"/>
    <x v="0"/>
    <x v="78"/>
    <x v="1"/>
    <n v="35345.21"/>
    <x v="0"/>
    <x v="0"/>
  </r>
  <r>
    <x v="0"/>
    <x v="0"/>
    <x v="0"/>
    <x v="78"/>
    <x v="2"/>
    <n v="31.81"/>
    <x v="8"/>
    <x v="2"/>
  </r>
  <r>
    <x v="1"/>
    <x v="1"/>
    <x v="1"/>
    <x v="78"/>
    <x v="1"/>
    <n v="36282.379999999997"/>
    <x v="0"/>
    <x v="0"/>
  </r>
  <r>
    <x v="1"/>
    <x v="1"/>
    <x v="1"/>
    <x v="78"/>
    <x v="2"/>
    <n v="32.65"/>
    <x v="8"/>
    <x v="2"/>
  </r>
  <r>
    <x v="2"/>
    <x v="2"/>
    <x v="2"/>
    <x v="78"/>
    <x v="1"/>
    <n v="4184.6000000000004"/>
    <x v="0"/>
    <x v="0"/>
  </r>
  <r>
    <x v="2"/>
    <x v="2"/>
    <x v="2"/>
    <x v="78"/>
    <x v="2"/>
    <n v="3.77"/>
    <x v="8"/>
    <x v="2"/>
  </r>
  <r>
    <x v="3"/>
    <x v="3"/>
    <x v="3"/>
    <x v="78"/>
    <x v="1"/>
    <n v="2916"/>
    <x v="0"/>
    <x v="0"/>
  </r>
  <r>
    <x v="3"/>
    <x v="3"/>
    <x v="3"/>
    <x v="78"/>
    <x v="2"/>
    <n v="2.62"/>
    <x v="8"/>
    <x v="2"/>
  </r>
  <r>
    <x v="4"/>
    <x v="4"/>
    <x v="4"/>
    <x v="78"/>
    <x v="1"/>
    <n v="29800.33"/>
    <x v="0"/>
    <x v="0"/>
  </r>
  <r>
    <x v="4"/>
    <x v="4"/>
    <x v="4"/>
    <x v="78"/>
    <x v="2"/>
    <n v="26.82"/>
    <x v="8"/>
    <x v="2"/>
  </r>
  <r>
    <x v="5"/>
    <x v="5"/>
    <x v="5"/>
    <x v="78"/>
    <x v="1"/>
    <n v="3409.74"/>
    <x v="0"/>
    <x v="0"/>
  </r>
  <r>
    <x v="5"/>
    <x v="5"/>
    <x v="5"/>
    <x v="78"/>
    <x v="2"/>
    <n v="3.07"/>
    <x v="8"/>
    <x v="2"/>
  </r>
  <r>
    <x v="6"/>
    <x v="6"/>
    <x v="6"/>
    <x v="78"/>
    <x v="1"/>
    <n v="88000"/>
    <x v="0"/>
    <x v="0"/>
  </r>
  <r>
    <x v="6"/>
    <x v="6"/>
    <x v="6"/>
    <x v="78"/>
    <x v="2"/>
    <n v="79.2"/>
    <x v="8"/>
    <x v="2"/>
  </r>
  <r>
    <x v="7"/>
    <x v="7"/>
    <x v="7"/>
    <x v="78"/>
    <x v="1"/>
    <n v="8907.25"/>
    <x v="0"/>
    <x v="0"/>
  </r>
  <r>
    <x v="7"/>
    <x v="7"/>
    <x v="7"/>
    <x v="78"/>
    <x v="2"/>
    <n v="8.02"/>
    <x v="8"/>
    <x v="2"/>
  </r>
  <r>
    <x v="8"/>
    <x v="8"/>
    <x v="8"/>
    <x v="78"/>
    <x v="1"/>
    <n v="55632.78"/>
    <x v="0"/>
    <x v="0"/>
  </r>
  <r>
    <x v="8"/>
    <x v="8"/>
    <x v="8"/>
    <x v="78"/>
    <x v="2"/>
    <n v="50.11"/>
    <x v="8"/>
    <x v="2"/>
  </r>
  <r>
    <x v="9"/>
    <x v="9"/>
    <x v="9"/>
    <x v="78"/>
    <x v="1"/>
    <n v="264478.28999999998"/>
    <x v="0"/>
    <x v="0"/>
  </r>
  <r>
    <x v="9"/>
    <x v="9"/>
    <x v="9"/>
    <x v="78"/>
    <x v="2"/>
    <n v="238.07"/>
    <x v="8"/>
    <x v="2"/>
  </r>
  <r>
    <x v="0"/>
    <x v="0"/>
    <x v="0"/>
    <x v="79"/>
    <x v="0"/>
    <n v="7713.05"/>
    <x v="0"/>
    <x v="0"/>
  </r>
  <r>
    <x v="1"/>
    <x v="1"/>
    <x v="1"/>
    <x v="79"/>
    <x v="0"/>
    <n v="7806.98"/>
    <x v="0"/>
    <x v="0"/>
  </r>
  <r>
    <x v="2"/>
    <x v="2"/>
    <x v="2"/>
    <x v="79"/>
    <x v="0"/>
    <n v="841.61"/>
    <x v="0"/>
    <x v="0"/>
  </r>
  <r>
    <x v="3"/>
    <x v="3"/>
    <x v="3"/>
    <x v="79"/>
    <x v="0"/>
    <n v="570.9"/>
    <x v="0"/>
    <x v="0"/>
  </r>
  <r>
    <x v="4"/>
    <x v="4"/>
    <x v="4"/>
    <x v="79"/>
    <x v="0"/>
    <n v="6297.86"/>
    <x v="0"/>
    <x v="0"/>
  </r>
  <r>
    <x v="5"/>
    <x v="5"/>
    <x v="5"/>
    <x v="79"/>
    <x v="0"/>
    <n v="701.07"/>
    <x v="0"/>
    <x v="0"/>
  </r>
  <r>
    <x v="6"/>
    <x v="6"/>
    <x v="6"/>
    <x v="79"/>
    <x v="0"/>
    <n v="16895.23"/>
    <x v="0"/>
    <x v="0"/>
  </r>
  <r>
    <x v="7"/>
    <x v="7"/>
    <x v="7"/>
    <x v="79"/>
    <x v="0"/>
    <n v="1741.66"/>
    <x v="0"/>
    <x v="0"/>
  </r>
  <r>
    <x v="8"/>
    <x v="8"/>
    <x v="8"/>
    <x v="79"/>
    <x v="0"/>
    <n v="11130.66"/>
    <x v="0"/>
    <x v="0"/>
  </r>
  <r>
    <x v="9"/>
    <x v="9"/>
    <x v="9"/>
    <x v="79"/>
    <x v="0"/>
    <n v="53699.02"/>
    <x v="0"/>
    <x v="0"/>
  </r>
  <r>
    <x v="0"/>
    <x v="0"/>
    <x v="0"/>
    <x v="80"/>
    <x v="0"/>
    <n v="1064.45"/>
    <x v="0"/>
    <x v="0"/>
  </r>
  <r>
    <x v="1"/>
    <x v="1"/>
    <x v="1"/>
    <x v="80"/>
    <x v="0"/>
    <n v="1089.69"/>
    <x v="0"/>
    <x v="0"/>
  </r>
  <r>
    <x v="2"/>
    <x v="2"/>
    <x v="2"/>
    <x v="80"/>
    <x v="0"/>
    <n v="124.11"/>
    <x v="0"/>
    <x v="0"/>
  </r>
  <r>
    <x v="3"/>
    <x v="3"/>
    <x v="3"/>
    <x v="80"/>
    <x v="0"/>
    <n v="86.04"/>
    <x v="0"/>
    <x v="0"/>
  </r>
  <r>
    <x v="4"/>
    <x v="4"/>
    <x v="4"/>
    <x v="80"/>
    <x v="0"/>
    <n v="891.9"/>
    <x v="0"/>
    <x v="0"/>
  </r>
  <r>
    <x v="5"/>
    <x v="5"/>
    <x v="5"/>
    <x v="80"/>
    <x v="0"/>
    <n v="101.54"/>
    <x v="0"/>
    <x v="0"/>
  </r>
  <r>
    <x v="6"/>
    <x v="6"/>
    <x v="6"/>
    <x v="80"/>
    <x v="0"/>
    <n v="2610.08"/>
    <x v="0"/>
    <x v="0"/>
  </r>
  <r>
    <x v="7"/>
    <x v="7"/>
    <x v="7"/>
    <x v="80"/>
    <x v="0"/>
    <n v="262.77"/>
    <x v="0"/>
    <x v="0"/>
  </r>
  <r>
    <x v="8"/>
    <x v="8"/>
    <x v="8"/>
    <x v="80"/>
    <x v="0"/>
    <n v="1657.57"/>
    <x v="0"/>
    <x v="0"/>
  </r>
  <r>
    <x v="9"/>
    <x v="9"/>
    <x v="9"/>
    <x v="80"/>
    <x v="0"/>
    <n v="7888.15"/>
    <x v="0"/>
    <x v="0"/>
  </r>
  <r>
    <x v="0"/>
    <x v="0"/>
    <x v="0"/>
    <x v="81"/>
    <x v="0"/>
    <n v="8777.5"/>
    <x v="0"/>
    <x v="0"/>
  </r>
  <r>
    <x v="0"/>
    <x v="0"/>
    <x v="0"/>
    <x v="81"/>
    <x v="2"/>
    <n v="6695.45"/>
    <x v="9"/>
    <x v="2"/>
  </r>
  <r>
    <x v="1"/>
    <x v="1"/>
    <x v="1"/>
    <x v="81"/>
    <x v="0"/>
    <n v="8896.67"/>
    <x v="0"/>
    <x v="0"/>
  </r>
  <r>
    <x v="1"/>
    <x v="1"/>
    <x v="1"/>
    <x v="81"/>
    <x v="2"/>
    <n v="14393.97"/>
    <x v="9"/>
    <x v="2"/>
  </r>
  <r>
    <x v="2"/>
    <x v="2"/>
    <x v="2"/>
    <x v="81"/>
    <x v="0"/>
    <n v="965.72"/>
    <x v="0"/>
    <x v="0"/>
  </r>
  <r>
    <x v="2"/>
    <x v="2"/>
    <x v="2"/>
    <x v="81"/>
    <x v="2"/>
    <n v="765.1"/>
    <x v="9"/>
    <x v="2"/>
  </r>
  <r>
    <x v="3"/>
    <x v="3"/>
    <x v="3"/>
    <x v="81"/>
    <x v="0"/>
    <n v="656.94"/>
    <x v="0"/>
    <x v="0"/>
  </r>
  <r>
    <x v="3"/>
    <x v="3"/>
    <x v="3"/>
    <x v="81"/>
    <x v="2"/>
    <n v="1131.94"/>
    <x v="9"/>
    <x v="2"/>
  </r>
  <r>
    <x v="4"/>
    <x v="4"/>
    <x v="4"/>
    <x v="81"/>
    <x v="0"/>
    <n v="7189.76"/>
    <x v="0"/>
    <x v="0"/>
  </r>
  <r>
    <x v="4"/>
    <x v="4"/>
    <x v="4"/>
    <x v="81"/>
    <x v="2"/>
    <n v="5451.32"/>
    <x v="9"/>
    <x v="2"/>
  </r>
  <r>
    <x v="5"/>
    <x v="5"/>
    <x v="5"/>
    <x v="81"/>
    <x v="0"/>
    <n v="802.61"/>
    <x v="0"/>
    <x v="0"/>
  </r>
  <r>
    <x v="5"/>
    <x v="5"/>
    <x v="5"/>
    <x v="81"/>
    <x v="2"/>
    <n v="603.64"/>
    <x v="9"/>
    <x v="2"/>
  </r>
  <r>
    <x v="6"/>
    <x v="6"/>
    <x v="6"/>
    <x v="81"/>
    <x v="0"/>
    <n v="19505.310000000001"/>
    <x v="0"/>
    <x v="0"/>
  </r>
  <r>
    <x v="6"/>
    <x v="6"/>
    <x v="6"/>
    <x v="81"/>
    <x v="2"/>
    <n v="15493.13"/>
    <x v="9"/>
    <x v="2"/>
  </r>
  <r>
    <x v="7"/>
    <x v="7"/>
    <x v="7"/>
    <x v="81"/>
    <x v="0"/>
    <n v="2004.43"/>
    <x v="0"/>
    <x v="0"/>
  </r>
  <r>
    <x v="7"/>
    <x v="7"/>
    <x v="7"/>
    <x v="81"/>
    <x v="2"/>
    <n v="3455.5"/>
    <x v="9"/>
    <x v="2"/>
  </r>
  <r>
    <x v="8"/>
    <x v="8"/>
    <x v="8"/>
    <x v="81"/>
    <x v="0"/>
    <n v="12788.23"/>
    <x v="0"/>
    <x v="0"/>
  </r>
  <r>
    <x v="8"/>
    <x v="8"/>
    <x v="8"/>
    <x v="81"/>
    <x v="2"/>
    <n v="11737.73"/>
    <x v="9"/>
    <x v="2"/>
  </r>
  <r>
    <x v="9"/>
    <x v="9"/>
    <x v="9"/>
    <x v="81"/>
    <x v="0"/>
    <n v="61587.17"/>
    <x v="0"/>
    <x v="0"/>
  </r>
  <r>
    <x v="9"/>
    <x v="9"/>
    <x v="9"/>
    <x v="81"/>
    <x v="2"/>
    <n v="59727.78"/>
    <x v="9"/>
    <x v="2"/>
  </r>
  <r>
    <x v="0"/>
    <x v="0"/>
    <x v="0"/>
    <x v="82"/>
    <x v="0"/>
    <n v="28843.26"/>
    <x v="0"/>
    <x v="0"/>
  </r>
  <r>
    <x v="1"/>
    <x v="1"/>
    <x v="1"/>
    <x v="82"/>
    <x v="0"/>
    <n v="29615.06"/>
    <x v="0"/>
    <x v="0"/>
  </r>
  <r>
    <x v="2"/>
    <x v="2"/>
    <x v="2"/>
    <x v="82"/>
    <x v="0"/>
    <n v="3420.31"/>
    <x v="0"/>
    <x v="0"/>
  </r>
  <r>
    <x v="3"/>
    <x v="3"/>
    <x v="3"/>
    <x v="82"/>
    <x v="0"/>
    <n v="2383.7600000000002"/>
    <x v="0"/>
    <x v="0"/>
  </r>
  <r>
    <x v="4"/>
    <x v="4"/>
    <x v="4"/>
    <x v="82"/>
    <x v="0"/>
    <n v="24331.43"/>
    <x v="0"/>
    <x v="0"/>
  </r>
  <r>
    <x v="5"/>
    <x v="5"/>
    <x v="5"/>
    <x v="82"/>
    <x v="0"/>
    <n v="2785.99"/>
    <x v="0"/>
    <x v="0"/>
  </r>
  <r>
    <x v="6"/>
    <x v="6"/>
    <x v="6"/>
    <x v="82"/>
    <x v="0"/>
    <n v="72315.87"/>
    <x v="0"/>
    <x v="0"/>
  </r>
  <r>
    <x v="7"/>
    <x v="7"/>
    <x v="7"/>
    <x v="82"/>
    <x v="0"/>
    <n v="7281.57"/>
    <x v="0"/>
    <x v="0"/>
  </r>
  <r>
    <x v="8"/>
    <x v="8"/>
    <x v="8"/>
    <x v="82"/>
    <x v="0"/>
    <n v="45603.12"/>
    <x v="0"/>
    <x v="0"/>
  </r>
  <r>
    <x v="9"/>
    <x v="9"/>
    <x v="9"/>
    <x v="82"/>
    <x v="0"/>
    <n v="216580.37"/>
    <x v="0"/>
    <x v="0"/>
  </r>
  <r>
    <x v="0"/>
    <x v="0"/>
    <x v="0"/>
    <x v="83"/>
    <x v="1"/>
    <n v="2482.27"/>
    <x v="0"/>
    <x v="0"/>
  </r>
  <r>
    <x v="0"/>
    <x v="0"/>
    <x v="0"/>
    <x v="83"/>
    <x v="0"/>
    <n v="2315.96"/>
    <x v="0"/>
    <x v="0"/>
  </r>
  <r>
    <x v="4"/>
    <x v="4"/>
    <x v="4"/>
    <x v="83"/>
    <x v="1"/>
    <n v="787.93"/>
    <x v="0"/>
    <x v="0"/>
  </r>
  <r>
    <x v="4"/>
    <x v="4"/>
    <x v="4"/>
    <x v="83"/>
    <x v="0"/>
    <n v="735.14"/>
    <x v="0"/>
    <x v="0"/>
  </r>
  <r>
    <x v="9"/>
    <x v="9"/>
    <x v="9"/>
    <x v="83"/>
    <x v="1"/>
    <n v="3270.2"/>
    <x v="0"/>
    <x v="0"/>
  </r>
  <r>
    <x v="9"/>
    <x v="9"/>
    <x v="9"/>
    <x v="83"/>
    <x v="0"/>
    <n v="3051.1"/>
    <x v="0"/>
    <x v="0"/>
  </r>
  <r>
    <x v="0"/>
    <x v="0"/>
    <x v="0"/>
    <x v="84"/>
    <x v="1"/>
    <n v="1211.0999999999999"/>
    <x v="0"/>
    <x v="0"/>
  </r>
  <r>
    <x v="1"/>
    <x v="1"/>
    <x v="1"/>
    <x v="84"/>
    <x v="1"/>
    <n v="1139.6600000000001"/>
    <x v="0"/>
    <x v="0"/>
  </r>
  <r>
    <x v="2"/>
    <x v="2"/>
    <x v="2"/>
    <x v="84"/>
    <x v="1"/>
    <n v="77.319999999999993"/>
    <x v="0"/>
    <x v="0"/>
  </r>
  <r>
    <x v="3"/>
    <x v="3"/>
    <x v="3"/>
    <x v="84"/>
    <x v="1"/>
    <n v="38.659999999999997"/>
    <x v="0"/>
    <x v="0"/>
  </r>
  <r>
    <x v="4"/>
    <x v="4"/>
    <x v="4"/>
    <x v="84"/>
    <x v="1"/>
    <n v="828.96"/>
    <x v="0"/>
    <x v="0"/>
  </r>
  <r>
    <x v="5"/>
    <x v="5"/>
    <x v="5"/>
    <x v="84"/>
    <x v="1"/>
    <n v="77.319999999999993"/>
    <x v="0"/>
    <x v="0"/>
  </r>
  <r>
    <x v="6"/>
    <x v="6"/>
    <x v="6"/>
    <x v="84"/>
    <x v="1"/>
    <n v="1211.0999999999999"/>
    <x v="0"/>
    <x v="0"/>
  </r>
  <r>
    <x v="7"/>
    <x v="7"/>
    <x v="7"/>
    <x v="84"/>
    <x v="1"/>
    <n v="115.98"/>
    <x v="0"/>
    <x v="0"/>
  </r>
  <r>
    <x v="8"/>
    <x v="8"/>
    <x v="8"/>
    <x v="84"/>
    <x v="1"/>
    <n v="1101"/>
    <x v="0"/>
    <x v="0"/>
  </r>
  <r>
    <x v="9"/>
    <x v="9"/>
    <x v="9"/>
    <x v="84"/>
    <x v="1"/>
    <n v="5801.1"/>
    <x v="0"/>
    <x v="0"/>
  </r>
  <r>
    <x v="0"/>
    <x v="0"/>
    <x v="0"/>
    <x v="85"/>
    <x v="0"/>
    <n v="244.74"/>
    <x v="0"/>
    <x v="0"/>
  </r>
  <r>
    <x v="8"/>
    <x v="8"/>
    <x v="8"/>
    <x v="85"/>
    <x v="0"/>
    <n v="427.64"/>
    <x v="0"/>
    <x v="0"/>
  </r>
  <r>
    <x v="9"/>
    <x v="9"/>
    <x v="9"/>
    <x v="85"/>
    <x v="0"/>
    <n v="672.38"/>
    <x v="0"/>
    <x v="0"/>
  </r>
  <r>
    <x v="0"/>
    <x v="0"/>
    <x v="0"/>
    <x v="86"/>
    <x v="1"/>
    <n v="31151.41"/>
    <x v="0"/>
    <x v="0"/>
  </r>
  <r>
    <x v="0"/>
    <x v="0"/>
    <x v="0"/>
    <x v="86"/>
    <x v="0"/>
    <n v="-1558.31"/>
    <x v="0"/>
    <x v="0"/>
  </r>
  <r>
    <x v="1"/>
    <x v="1"/>
    <x v="1"/>
    <x v="86"/>
    <x v="1"/>
    <n v="29615.06"/>
    <x v="0"/>
    <x v="0"/>
  </r>
  <r>
    <x v="1"/>
    <x v="1"/>
    <x v="1"/>
    <x v="86"/>
    <x v="0"/>
    <n v="-2530.4299999999998"/>
    <x v="0"/>
    <x v="0"/>
  </r>
  <r>
    <x v="2"/>
    <x v="2"/>
    <x v="2"/>
    <x v="86"/>
    <x v="1"/>
    <n v="3420.31"/>
    <x v="0"/>
    <x v="0"/>
  </r>
  <r>
    <x v="2"/>
    <x v="2"/>
    <x v="2"/>
    <x v="86"/>
    <x v="0"/>
    <n v="-208.35"/>
    <x v="0"/>
    <x v="0"/>
  </r>
  <r>
    <x v="3"/>
    <x v="3"/>
    <x v="3"/>
    <x v="86"/>
    <x v="1"/>
    <n v="2383.7600000000002"/>
    <x v="0"/>
    <x v="0"/>
  </r>
  <r>
    <x v="3"/>
    <x v="3"/>
    <x v="3"/>
    <x v="86"/>
    <x v="0"/>
    <n v="-126.34"/>
    <x v="0"/>
    <x v="0"/>
  </r>
  <r>
    <x v="4"/>
    <x v="4"/>
    <x v="4"/>
    <x v="86"/>
    <x v="1"/>
    <n v="25089.42"/>
    <x v="0"/>
    <x v="0"/>
  </r>
  <r>
    <x v="4"/>
    <x v="4"/>
    <x v="4"/>
    <x v="86"/>
    <x v="0"/>
    <n v="-1028.68"/>
    <x v="0"/>
    <x v="0"/>
  </r>
  <r>
    <x v="5"/>
    <x v="5"/>
    <x v="5"/>
    <x v="86"/>
    <x v="1"/>
    <n v="2785.99"/>
    <x v="0"/>
    <x v="0"/>
  </r>
  <r>
    <x v="5"/>
    <x v="5"/>
    <x v="5"/>
    <x v="86"/>
    <x v="0"/>
    <n v="-40"/>
    <x v="0"/>
    <x v="0"/>
  </r>
  <r>
    <x v="6"/>
    <x v="6"/>
    <x v="6"/>
    <x v="86"/>
    <x v="1"/>
    <n v="72315.87"/>
    <x v="0"/>
    <x v="0"/>
  </r>
  <r>
    <x v="6"/>
    <x v="6"/>
    <x v="6"/>
    <x v="86"/>
    <x v="0"/>
    <n v="-10479.27"/>
    <x v="0"/>
    <x v="0"/>
  </r>
  <r>
    <x v="7"/>
    <x v="7"/>
    <x v="7"/>
    <x v="86"/>
    <x v="1"/>
    <n v="7281.57"/>
    <x v="0"/>
    <x v="0"/>
  </r>
  <r>
    <x v="7"/>
    <x v="7"/>
    <x v="7"/>
    <x v="86"/>
    <x v="0"/>
    <n v="-371.2"/>
    <x v="0"/>
    <x v="0"/>
  </r>
  <r>
    <x v="8"/>
    <x v="8"/>
    <x v="8"/>
    <x v="86"/>
    <x v="1"/>
    <n v="45603.12"/>
    <x v="0"/>
    <x v="0"/>
  </r>
  <r>
    <x v="8"/>
    <x v="8"/>
    <x v="8"/>
    <x v="86"/>
    <x v="0"/>
    <n v="-3276.18"/>
    <x v="0"/>
    <x v="0"/>
  </r>
  <r>
    <x v="9"/>
    <x v="9"/>
    <x v="9"/>
    <x v="86"/>
    <x v="1"/>
    <n v="219646.51"/>
    <x v="0"/>
    <x v="0"/>
  </r>
  <r>
    <x v="9"/>
    <x v="9"/>
    <x v="9"/>
    <x v="86"/>
    <x v="0"/>
    <n v="-19618.759999999998"/>
    <x v="0"/>
    <x v="0"/>
  </r>
  <r>
    <x v="0"/>
    <x v="0"/>
    <x v="0"/>
    <x v="87"/>
    <x v="0"/>
    <n v="29128.41"/>
    <x v="0"/>
    <x v="0"/>
  </r>
  <r>
    <x v="1"/>
    <x v="1"/>
    <x v="1"/>
    <x v="87"/>
    <x v="0"/>
    <n v="27588.11"/>
    <x v="0"/>
    <x v="0"/>
  </r>
  <r>
    <x v="2"/>
    <x v="2"/>
    <x v="2"/>
    <x v="87"/>
    <x v="0"/>
    <n v="3307.68"/>
    <x v="0"/>
    <x v="0"/>
  </r>
  <r>
    <x v="3"/>
    <x v="3"/>
    <x v="3"/>
    <x v="87"/>
    <x v="0"/>
    <n v="2293.96"/>
    <x v="0"/>
    <x v="0"/>
  </r>
  <r>
    <x v="4"/>
    <x v="4"/>
    <x v="4"/>
    <x v="87"/>
    <x v="0"/>
    <n v="23345.71"/>
    <x v="0"/>
    <x v="0"/>
  </r>
  <r>
    <x v="5"/>
    <x v="5"/>
    <x v="5"/>
    <x v="87"/>
    <x v="0"/>
    <n v="2607.13"/>
    <x v="0"/>
    <x v="0"/>
  </r>
  <r>
    <x v="6"/>
    <x v="6"/>
    <x v="6"/>
    <x v="87"/>
    <x v="0"/>
    <n v="68494.69"/>
    <x v="0"/>
    <x v="0"/>
  </r>
  <r>
    <x v="7"/>
    <x v="7"/>
    <x v="7"/>
    <x v="87"/>
    <x v="0"/>
    <n v="6991.62"/>
    <x v="0"/>
    <x v="0"/>
  </r>
  <r>
    <x v="8"/>
    <x v="8"/>
    <x v="8"/>
    <x v="87"/>
    <x v="0"/>
    <n v="43272.19"/>
    <x v="0"/>
    <x v="0"/>
  </r>
  <r>
    <x v="9"/>
    <x v="9"/>
    <x v="9"/>
    <x v="87"/>
    <x v="0"/>
    <n v="207029.5"/>
    <x v="0"/>
    <x v="0"/>
  </r>
  <r>
    <x v="0"/>
    <x v="0"/>
    <x v="0"/>
    <x v="88"/>
    <x v="1"/>
    <n v="28843.26"/>
    <x v="0"/>
    <x v="0"/>
  </r>
  <r>
    <x v="1"/>
    <x v="1"/>
    <x v="1"/>
    <x v="88"/>
    <x v="1"/>
    <n v="29615.06"/>
    <x v="0"/>
    <x v="0"/>
  </r>
  <r>
    <x v="2"/>
    <x v="2"/>
    <x v="2"/>
    <x v="88"/>
    <x v="1"/>
    <n v="3420.31"/>
    <x v="0"/>
    <x v="0"/>
  </r>
  <r>
    <x v="3"/>
    <x v="3"/>
    <x v="3"/>
    <x v="88"/>
    <x v="1"/>
    <n v="2383.7600000000002"/>
    <x v="0"/>
    <x v="0"/>
  </r>
  <r>
    <x v="4"/>
    <x v="4"/>
    <x v="4"/>
    <x v="88"/>
    <x v="1"/>
    <n v="24331.43"/>
    <x v="0"/>
    <x v="0"/>
  </r>
  <r>
    <x v="5"/>
    <x v="5"/>
    <x v="5"/>
    <x v="88"/>
    <x v="1"/>
    <n v="2785.99"/>
    <x v="0"/>
    <x v="0"/>
  </r>
  <r>
    <x v="6"/>
    <x v="6"/>
    <x v="6"/>
    <x v="88"/>
    <x v="1"/>
    <n v="72315.87"/>
    <x v="0"/>
    <x v="0"/>
  </r>
  <r>
    <x v="7"/>
    <x v="7"/>
    <x v="7"/>
    <x v="88"/>
    <x v="1"/>
    <n v="7281.57"/>
    <x v="0"/>
    <x v="0"/>
  </r>
  <r>
    <x v="8"/>
    <x v="8"/>
    <x v="8"/>
    <x v="88"/>
    <x v="1"/>
    <n v="45603.12"/>
    <x v="0"/>
    <x v="0"/>
  </r>
  <r>
    <x v="9"/>
    <x v="9"/>
    <x v="9"/>
    <x v="88"/>
    <x v="1"/>
    <n v="216580.37"/>
    <x v="0"/>
    <x v="0"/>
  </r>
  <r>
    <x v="0"/>
    <x v="0"/>
    <x v="0"/>
    <x v="89"/>
    <x v="1"/>
    <n v="28883.67"/>
    <x v="0"/>
    <x v="0"/>
  </r>
  <r>
    <x v="1"/>
    <x v="1"/>
    <x v="1"/>
    <x v="89"/>
    <x v="1"/>
    <n v="27385.71"/>
    <x v="0"/>
    <x v="0"/>
  </r>
  <r>
    <x v="2"/>
    <x v="2"/>
    <x v="2"/>
    <x v="89"/>
    <x v="1"/>
    <n v="3218.88"/>
    <x v="0"/>
    <x v="0"/>
  </r>
  <r>
    <x v="3"/>
    <x v="3"/>
    <x v="3"/>
    <x v="89"/>
    <x v="1"/>
    <n v="2259.06"/>
    <x v="0"/>
    <x v="0"/>
  </r>
  <r>
    <x v="4"/>
    <x v="4"/>
    <x v="4"/>
    <x v="89"/>
    <x v="1"/>
    <n v="23345.71"/>
    <x v="0"/>
    <x v="0"/>
  </r>
  <r>
    <x v="5"/>
    <x v="5"/>
    <x v="5"/>
    <x v="89"/>
    <x v="1"/>
    <n v="2607.13"/>
    <x v="0"/>
    <x v="0"/>
  </r>
  <r>
    <x v="6"/>
    <x v="6"/>
    <x v="6"/>
    <x v="89"/>
    <x v="1"/>
    <n v="68494.69"/>
    <x v="0"/>
    <x v="0"/>
  </r>
  <r>
    <x v="7"/>
    <x v="7"/>
    <x v="7"/>
    <x v="89"/>
    <x v="1"/>
    <n v="6902.82"/>
    <x v="0"/>
    <x v="0"/>
  </r>
  <r>
    <x v="8"/>
    <x v="8"/>
    <x v="8"/>
    <x v="89"/>
    <x v="1"/>
    <n v="42844.55"/>
    <x v="0"/>
    <x v="0"/>
  </r>
  <r>
    <x v="9"/>
    <x v="9"/>
    <x v="9"/>
    <x v="89"/>
    <x v="1"/>
    <n v="205942.22"/>
    <x v="0"/>
    <x v="0"/>
  </r>
  <r>
    <x v="1"/>
    <x v="1"/>
    <x v="1"/>
    <x v="90"/>
    <x v="1"/>
    <n v="404.8"/>
    <x v="0"/>
    <x v="0"/>
  </r>
  <r>
    <x v="1"/>
    <x v="1"/>
    <x v="1"/>
    <x v="90"/>
    <x v="0"/>
    <n v="202.4"/>
    <x v="10"/>
    <x v="1"/>
  </r>
  <r>
    <x v="3"/>
    <x v="3"/>
    <x v="3"/>
    <x v="90"/>
    <x v="1"/>
    <n v="69.8"/>
    <x v="0"/>
    <x v="0"/>
  </r>
  <r>
    <x v="3"/>
    <x v="3"/>
    <x v="3"/>
    <x v="90"/>
    <x v="0"/>
    <n v="34.9"/>
    <x v="10"/>
    <x v="1"/>
  </r>
  <r>
    <x v="9"/>
    <x v="9"/>
    <x v="9"/>
    <x v="90"/>
    <x v="1"/>
    <n v="474.6"/>
    <x v="0"/>
    <x v="0"/>
  </r>
  <r>
    <x v="9"/>
    <x v="9"/>
    <x v="9"/>
    <x v="90"/>
    <x v="0"/>
    <n v="237.3"/>
    <x v="10"/>
    <x v="1"/>
  </r>
  <r>
    <x v="2"/>
    <x v="2"/>
    <x v="2"/>
    <x v="91"/>
    <x v="1"/>
    <n v="177.6"/>
    <x v="0"/>
    <x v="0"/>
  </r>
  <r>
    <x v="2"/>
    <x v="2"/>
    <x v="2"/>
    <x v="91"/>
    <x v="0"/>
    <n v="88.8"/>
    <x v="10"/>
    <x v="1"/>
  </r>
  <r>
    <x v="7"/>
    <x v="7"/>
    <x v="7"/>
    <x v="91"/>
    <x v="1"/>
    <n v="177.6"/>
    <x v="0"/>
    <x v="0"/>
  </r>
  <r>
    <x v="7"/>
    <x v="7"/>
    <x v="7"/>
    <x v="91"/>
    <x v="0"/>
    <n v="88.8"/>
    <x v="10"/>
    <x v="1"/>
  </r>
  <r>
    <x v="9"/>
    <x v="9"/>
    <x v="9"/>
    <x v="91"/>
    <x v="1"/>
    <n v="355.2"/>
    <x v="0"/>
    <x v="0"/>
  </r>
  <r>
    <x v="9"/>
    <x v="9"/>
    <x v="9"/>
    <x v="91"/>
    <x v="0"/>
    <n v="177.6"/>
    <x v="10"/>
    <x v="1"/>
  </r>
  <r>
    <x v="0"/>
    <x v="0"/>
    <x v="0"/>
    <x v="92"/>
    <x v="0"/>
    <n v="27570.1"/>
    <x v="0"/>
    <x v="0"/>
  </r>
  <r>
    <x v="1"/>
    <x v="1"/>
    <x v="1"/>
    <x v="92"/>
    <x v="0"/>
    <n v="25057.68"/>
    <x v="0"/>
    <x v="0"/>
  </r>
  <r>
    <x v="2"/>
    <x v="2"/>
    <x v="2"/>
    <x v="92"/>
    <x v="0"/>
    <n v="3099.33"/>
    <x v="0"/>
    <x v="0"/>
  </r>
  <r>
    <x v="3"/>
    <x v="3"/>
    <x v="3"/>
    <x v="92"/>
    <x v="0"/>
    <n v="2167.62"/>
    <x v="0"/>
    <x v="0"/>
  </r>
  <r>
    <x v="4"/>
    <x v="4"/>
    <x v="4"/>
    <x v="92"/>
    <x v="0"/>
    <n v="22317.03"/>
    <x v="0"/>
    <x v="0"/>
  </r>
  <r>
    <x v="5"/>
    <x v="5"/>
    <x v="5"/>
    <x v="92"/>
    <x v="0"/>
    <n v="2567.13"/>
    <x v="0"/>
    <x v="0"/>
  </r>
  <r>
    <x v="6"/>
    <x v="6"/>
    <x v="6"/>
    <x v="92"/>
    <x v="0"/>
    <n v="58015.42"/>
    <x v="0"/>
    <x v="0"/>
  </r>
  <r>
    <x v="7"/>
    <x v="7"/>
    <x v="7"/>
    <x v="92"/>
    <x v="0"/>
    <n v="6620.42"/>
    <x v="0"/>
    <x v="0"/>
  </r>
  <r>
    <x v="8"/>
    <x v="8"/>
    <x v="8"/>
    <x v="92"/>
    <x v="0"/>
    <n v="39996.01"/>
    <x v="0"/>
    <x v="0"/>
  </r>
  <r>
    <x v="9"/>
    <x v="9"/>
    <x v="9"/>
    <x v="92"/>
    <x v="0"/>
    <n v="187410.74"/>
    <x v="0"/>
    <x v="0"/>
  </r>
  <r>
    <x v="0"/>
    <x v="0"/>
    <x v="0"/>
    <x v="93"/>
    <x v="0"/>
    <n v="244.74"/>
    <x v="0"/>
    <x v="0"/>
  </r>
  <r>
    <x v="1"/>
    <x v="1"/>
    <x v="1"/>
    <x v="93"/>
    <x v="0"/>
    <n v="202.4"/>
    <x v="0"/>
    <x v="0"/>
  </r>
  <r>
    <x v="2"/>
    <x v="2"/>
    <x v="2"/>
    <x v="93"/>
    <x v="0"/>
    <n v="88.8"/>
    <x v="0"/>
    <x v="0"/>
  </r>
  <r>
    <x v="3"/>
    <x v="3"/>
    <x v="3"/>
    <x v="93"/>
    <x v="0"/>
    <n v="34.9"/>
    <x v="0"/>
    <x v="0"/>
  </r>
  <r>
    <x v="7"/>
    <x v="7"/>
    <x v="7"/>
    <x v="93"/>
    <x v="0"/>
    <n v="88.8"/>
    <x v="0"/>
    <x v="0"/>
  </r>
  <r>
    <x v="8"/>
    <x v="8"/>
    <x v="8"/>
    <x v="93"/>
    <x v="0"/>
    <n v="427.64"/>
    <x v="0"/>
    <x v="0"/>
  </r>
  <r>
    <x v="9"/>
    <x v="9"/>
    <x v="9"/>
    <x v="93"/>
    <x v="0"/>
    <n v="1087.28"/>
    <x v="0"/>
    <x v="0"/>
  </r>
  <r>
    <x v="0"/>
    <x v="0"/>
    <x v="0"/>
    <x v="94"/>
    <x v="0"/>
    <n v="42285.4"/>
    <x v="0"/>
    <x v="0"/>
  </r>
  <r>
    <x v="1"/>
    <x v="1"/>
    <x v="1"/>
    <x v="94"/>
    <x v="0"/>
    <n v="50878.75"/>
    <x v="0"/>
    <x v="0"/>
  </r>
  <r>
    <x v="2"/>
    <x v="2"/>
    <x v="2"/>
    <x v="94"/>
    <x v="0"/>
    <n v="5038.5"/>
    <x v="0"/>
    <x v="0"/>
  </r>
  <r>
    <x v="3"/>
    <x v="3"/>
    <x v="3"/>
    <x v="94"/>
    <x v="0"/>
    <n v="4082.84"/>
    <x v="0"/>
    <x v="0"/>
  </r>
  <r>
    <x v="4"/>
    <x v="4"/>
    <x v="4"/>
    <x v="94"/>
    <x v="0"/>
    <n v="35251.65"/>
    <x v="0"/>
    <x v="0"/>
  </r>
  <r>
    <x v="5"/>
    <x v="5"/>
    <x v="5"/>
    <x v="94"/>
    <x v="0"/>
    <n v="4013.38"/>
    <x v="0"/>
    <x v="0"/>
  </r>
  <r>
    <x v="6"/>
    <x v="6"/>
    <x v="6"/>
    <x v="94"/>
    <x v="0"/>
    <n v="103493.13"/>
    <x v="0"/>
    <x v="0"/>
  </r>
  <r>
    <x v="7"/>
    <x v="7"/>
    <x v="7"/>
    <x v="94"/>
    <x v="0"/>
    <n v="12451.55"/>
    <x v="0"/>
    <x v="0"/>
  </r>
  <r>
    <x v="8"/>
    <x v="8"/>
    <x v="8"/>
    <x v="94"/>
    <x v="0"/>
    <n v="67798.149999999994"/>
    <x v="0"/>
    <x v="0"/>
  </r>
  <r>
    <x v="9"/>
    <x v="9"/>
    <x v="9"/>
    <x v="94"/>
    <x v="0"/>
    <n v="325293.34999999998"/>
    <x v="0"/>
    <x v="0"/>
  </r>
  <r>
    <x v="0"/>
    <x v="0"/>
    <x v="0"/>
    <x v="95"/>
    <x v="0"/>
    <n v="187410.74"/>
    <x v="0"/>
    <x v="0"/>
  </r>
  <r>
    <x v="9"/>
    <x v="9"/>
    <x v="9"/>
    <x v="95"/>
    <x v="0"/>
    <n v="187410.74"/>
    <x v="0"/>
    <x v="0"/>
  </r>
  <r>
    <x v="0"/>
    <x v="0"/>
    <x v="0"/>
    <x v="96"/>
    <x v="0"/>
    <n v="272001.38"/>
    <x v="0"/>
    <x v="0"/>
  </r>
  <r>
    <x v="9"/>
    <x v="9"/>
    <x v="9"/>
    <x v="96"/>
    <x v="0"/>
    <n v="272001.38"/>
    <x v="0"/>
    <x v="0"/>
  </r>
  <r>
    <x v="0"/>
    <x v="0"/>
    <x v="0"/>
    <x v="97"/>
    <x v="0"/>
    <n v="264478.28999999998"/>
    <x v="0"/>
    <x v="0"/>
  </r>
  <r>
    <x v="9"/>
    <x v="9"/>
    <x v="9"/>
    <x v="97"/>
    <x v="0"/>
    <n v="264478.28999999998"/>
    <x v="0"/>
    <x v="0"/>
  </r>
  <r>
    <x v="0"/>
    <x v="0"/>
    <x v="0"/>
    <x v="98"/>
    <x v="0"/>
    <n v="4628.37"/>
    <x v="0"/>
    <x v="0"/>
  </r>
  <r>
    <x v="9"/>
    <x v="9"/>
    <x v="9"/>
    <x v="98"/>
    <x v="0"/>
    <n v="4628.37"/>
    <x v="0"/>
    <x v="0"/>
  </r>
  <r>
    <x v="0"/>
    <x v="0"/>
    <x v="0"/>
    <x v="99"/>
    <x v="0"/>
    <n v="259849.92"/>
    <x v="0"/>
    <x v="0"/>
  </r>
  <r>
    <x v="9"/>
    <x v="9"/>
    <x v="9"/>
    <x v="99"/>
    <x v="0"/>
    <n v="259849.92"/>
    <x v="0"/>
    <x v="0"/>
  </r>
  <r>
    <x v="0"/>
    <x v="0"/>
    <x v="0"/>
    <x v="100"/>
    <x v="0"/>
    <n v="12151.5"/>
    <x v="0"/>
    <x v="0"/>
  </r>
  <r>
    <x v="9"/>
    <x v="9"/>
    <x v="9"/>
    <x v="100"/>
    <x v="0"/>
    <n v="12151.5"/>
    <x v="0"/>
    <x v="0"/>
  </r>
  <r>
    <x v="0"/>
    <x v="0"/>
    <x v="0"/>
    <x v="101"/>
    <x v="0"/>
    <n v="272001.42"/>
    <x v="0"/>
    <x v="0"/>
  </r>
  <r>
    <x v="0"/>
    <x v="0"/>
    <x v="0"/>
    <x v="101"/>
    <x v="2"/>
    <n v="0.04"/>
    <x v="11"/>
    <x v="2"/>
  </r>
  <r>
    <x v="9"/>
    <x v="9"/>
    <x v="9"/>
    <x v="101"/>
    <x v="0"/>
    <n v="272001.42"/>
    <x v="0"/>
    <x v="0"/>
  </r>
  <r>
    <x v="9"/>
    <x v="9"/>
    <x v="9"/>
    <x v="101"/>
    <x v="2"/>
    <n v="0.04"/>
    <x v="11"/>
    <x v="2"/>
  </r>
  <r>
    <x v="10"/>
    <x v="9"/>
    <x v="9"/>
    <x v="102"/>
    <x v="3"/>
    <m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s v="Contrat R&amp;D Diagnostic"/>
    <m/>
    <x v="0"/>
    <s v="Française"/>
    <s v="Non"/>
    <x v="0"/>
    <n v="2022"/>
    <n v="2026"/>
    <n v="52917"/>
    <s v="Partiel"/>
    <n v="52917"/>
    <m/>
    <n v="0"/>
    <m/>
    <n v="0"/>
    <m/>
    <n v="0"/>
    <m/>
    <x v="0"/>
    <n v="529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B7D3CF-1E7F-4D1D-A46B-31FD22AA3E6B}" name="Tableau croisé dynamique1" cacheId="57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multipleFieldFilters="0">
  <location ref="B11:G13" firstHeaderRow="1" firstDataRow="1" firstDataCol="5"/>
  <pivotFields count="23">
    <pivotField axis="axisRow" compact="0" outline="0" showAll="0" defaultSubtotal="0">
      <items count="6">
        <item m="1" x="1"/>
        <item m="1" x="2"/>
        <item m="1" x="3"/>
        <item m="1" x="4"/>
        <item m="1" x="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m="1" x="1"/>
        <item m="1" x="2"/>
        <item m="1" x="3"/>
        <item m="1" x="4"/>
        <item m="1" x="5"/>
        <item m="1" x="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m="1" x="1"/>
        <item m="1" x="2"/>
        <item m="1" x="3"/>
        <item m="1" x="4"/>
        <item m="1" x="5"/>
        <item m="1" x="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0"/>
    <field x="1"/>
    <field x="5"/>
    <field x="8"/>
    <field x="21"/>
  </rowFields>
  <rowItems count="2">
    <i>
      <x v="5"/>
      <x v="6"/>
      <x v="6"/>
      <x v="1"/>
      <x v="1"/>
    </i>
    <i t="grand">
      <x/>
    </i>
  </rowItems>
  <colItems count="1">
    <i/>
  </colItems>
  <dataFields count="1">
    <dataField name="Somme de montant" fld="22" baseField="0" baseItem="0" numFmtId="164"/>
  </dataFields>
  <formats count="10">
    <format dxfId="104">
      <pivotArea field="0" type="button" dataOnly="0" labelOnly="1" outline="0" axis="axisRow" fieldPosition="0"/>
    </format>
    <format dxfId="103">
      <pivotArea field="1" type="button" dataOnly="0" labelOnly="1" outline="0" axis="axisRow" fieldPosition="1"/>
    </format>
    <format dxfId="102">
      <pivotArea field="5" type="button" dataOnly="0" labelOnly="1" outline="0" axis="axisRow" fieldPosition="2"/>
    </format>
    <format dxfId="101">
      <pivotArea field="8" type="button" dataOnly="0" labelOnly="1" outline="0" axis="axisRow" fieldPosition="3"/>
    </format>
    <format dxfId="100">
      <pivotArea field="21" type="button" dataOnly="0" labelOnly="1" outline="0" axis="axisRow" fieldPosition="4"/>
    </format>
    <format dxfId="99">
      <pivotArea dataOnly="0" labelOnly="1" outline="0" axis="axisValues" fieldPosition="0"/>
    </format>
    <format dxfId="98">
      <pivotArea grandRow="1" outline="0" collapsedLevelsAreSubtotals="1" fieldPosition="0"/>
    </format>
    <format dxfId="97">
      <pivotArea dataOnly="0" labelOnly="1" grandRow="1" outline="0" fieldPosition="0"/>
    </format>
    <format dxfId="96">
      <pivotArea grandRow="1" outline="0" collapsedLevelsAreSubtotals="1" fieldPosition="0"/>
    </format>
    <format dxfId="95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5F1B5D-245C-46EB-AA66-0968A045C84C}" name="Tableau croisé dynamique8" cacheId="56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multipleFieldFilters="0">
  <location ref="A3:G15" firstHeaderRow="1" firstDataRow="2" firstDataCol="3" rowPageCount="1" colPageCount="1"/>
  <pivotFields count="8">
    <pivotField axis="axisRow" compact="0" outline="0" showAll="0" defaultSubtotal="0">
      <items count="11">
        <item x="0"/>
        <item x="1"/>
        <item x="4"/>
        <item x="6"/>
        <item x="8"/>
        <item x="7"/>
        <item x="5"/>
        <item x="2"/>
        <item x="3"/>
        <item x="9"/>
        <item x="10"/>
      </items>
    </pivotField>
    <pivotField axis="axisRow" compact="0" outline="0" showAll="0" defaultSubtotal="0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compact="0" outline="0" showAll="0" defaultSubtotal="0">
      <items count="10">
        <item x="2"/>
        <item x="3"/>
        <item x="8"/>
        <item x="4"/>
        <item x="0"/>
        <item x="1"/>
        <item x="5"/>
        <item x="7"/>
        <item x="6"/>
        <item x="9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axis="axisCol" compact="0" outline="0" showAll="0" defaultSubtotal="0">
      <items count="12">
        <item x="10"/>
        <item h="1" x="1"/>
        <item h="1" x="9"/>
        <item x="8"/>
        <item h="1" x="6"/>
        <item h="1" x="2"/>
        <item h="1" x="5"/>
        <item h="1" x="3"/>
        <item h="1" x="4"/>
        <item h="1" x="11"/>
        <item x="7"/>
        <item h="1" x="0"/>
      </items>
    </pivotField>
    <pivotField axis="axisPage" compact="0" outline="0" showAll="0" defaultSubtotal="0">
      <items count="3">
        <item x="2"/>
        <item x="1"/>
        <item x="0"/>
      </items>
    </pivotField>
  </pivotFields>
  <rowFields count="3">
    <field x="0"/>
    <field x="1"/>
    <field x="2"/>
  </rowFields>
  <rowItems count="11">
    <i>
      <x/>
      <x/>
      <x v="4"/>
    </i>
    <i>
      <x v="1"/>
      <x v="1"/>
      <x v="5"/>
    </i>
    <i>
      <x v="2"/>
      <x v="4"/>
      <x v="3"/>
    </i>
    <i>
      <x v="3"/>
      <x v="6"/>
      <x v="8"/>
    </i>
    <i>
      <x v="4"/>
      <x v="8"/>
      <x v="2"/>
    </i>
    <i>
      <x v="5"/>
      <x v="7"/>
      <x v="7"/>
    </i>
    <i>
      <x v="6"/>
      <x v="5"/>
      <x v="6"/>
    </i>
    <i>
      <x v="7"/>
      <x v="2"/>
      <x/>
    </i>
    <i>
      <x v="8"/>
      <x v="3"/>
      <x v="1"/>
    </i>
    <i>
      <x v="9"/>
      <x v="9"/>
      <x v="9"/>
    </i>
    <i t="grand">
      <x/>
    </i>
  </rowItems>
  <colFields count="1">
    <field x="6"/>
  </colFields>
  <colItems count="4">
    <i>
      <x/>
    </i>
    <i>
      <x v="3"/>
    </i>
    <i>
      <x v="10"/>
    </i>
    <i t="grand">
      <x/>
    </i>
  </colItems>
  <pageFields count="1">
    <pageField fld="7" item="1" hier="-1"/>
  </pageFields>
  <dataFields count="1">
    <dataField name="Somme de Valeur" fld="5" baseField="0" baseItem="0" numFmtId="164"/>
  </dataFields>
  <formats count="1">
    <format dxfId="6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7" dT="2025-01-05T15:14:43.87" personId="{8A14008D-280F-4885-A0E1-5DCECC99CC53}" id="{A0A06C9E-AE6B-4859-8AC2-9339FD2BAB14}">
    <text>Responsable technique</text>
  </threadedComment>
  <threadedComment ref="D7" dT="2025-01-05T15:14:55.15" personId="{8A14008D-280F-4885-A0E1-5DCECC99CC53}" id="{5433DF04-9B24-4BF3-8819-37A5B6A26972}">
    <text>Responsable Financier</text>
  </threadedComment>
  <threadedComment ref="E7" dT="2025-01-05T15:15:09.09" personId="{8A14008D-280F-4885-A0E1-5DCECC99CC53}" id="{982D5CEF-7F6C-40D8-A14B-2C13BDD9F464}">
    <text>Chargé de valo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21" dT="2025-01-28T09:48:36.92" personId="{8A14008D-280F-4885-A0E1-5DCECC99CC53}" id="{78FE1F9A-0F11-4BDE-B2FC-FA1B76193E29}">
    <text>À mettre en négatif</text>
  </threadedComment>
  <threadedComment ref="B23" dT="2025-01-28T09:49:15.30" personId="{8A14008D-280F-4885-A0E1-5DCECC99CC53}" id="{5698FB2C-C254-4FE7-B970-EFE366DEC3BC}">
    <text xml:space="preserve">À mettre en négatif
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21" dT="2025-01-28T09:48:36.92" personId="{8A14008D-280F-4885-A0E1-5DCECC99CC53}" id="{581FB7E1-1222-4BF7-A827-8376BC7F5834}">
    <text>À mettre en négatif</text>
  </threadedComment>
  <threadedComment ref="B23" dT="2025-01-28T09:49:15.30" personId="{8A14008D-280F-4885-A0E1-5DCECC99CC53}" id="{523E7389-523E-4912-9704-7F3605D0E065}">
    <text xml:space="preserve">À mettre en négatif
</text>
  </threadedComment>
  <threadedComment ref="B39" dT="2025-01-28T09:48:36.92" personId="{8A14008D-280F-4885-A0E1-5DCECC99CC53}" id="{CA02F8D9-7C8D-435C-AE5D-92CBD4C71355}">
    <text>À mettre en négatif</text>
  </threadedComment>
  <threadedComment ref="B40" dT="2025-01-28T09:51:03.07" personId="{8A14008D-280F-4885-A0E1-5DCECC99CC53}" id="{997435A3-C05A-4592-A1BD-A4F31487A7F1}">
    <text>À mettre en négatif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D4" dT="2025-01-05T11:41:22.64" personId="{8A14008D-280F-4885-A0E1-5DCECC99CC53}" id="{8AEE1F03-4037-48A3-8825-7BEE5F72A40F}">
    <text>BDS = bulletin de salaire</text>
  </threadedComment>
  <threadedComment ref="F4" dT="2025-01-05T11:41:59.43" personId="{8A14008D-280F-4885-A0E1-5DCECC99CC53}" id="{4A133AFA-17B6-4693-A682-3293DD4F38F1}">
    <text>Mat = matricule</text>
  </threadedComment>
  <threadedComment ref="R4" dT="2025-01-05T11:45:23.78" personId="{8A14008D-280F-4885-A0E1-5DCECC99CC53}" id="{16E4C409-6659-4EB3-900F-B1E1B8548384}">
    <text>Total cotisations patronales</text>
  </threadedComment>
  <threadedComment ref="S4" dT="2025-01-05T11:47:41.23" personId="{8A14008D-280F-4885-A0E1-5DCECC99CC53}" id="{412DD86C-8386-4302-A79C-FD57C06329B5}">
    <text>Cotisations sociales patronales obligatoires</text>
  </threadedComment>
  <threadedComment ref="X14" dT="2025-01-05T14:53:25.66" personId="{8A14008D-280F-4885-A0E1-5DCECC99CC53}" id="{53F4684C-D403-45E9-998D-FB8FF0C7E4DF}">
    <text>JD = Jeune docteur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B2" dT="2025-01-05T11:41:59.43" personId="{8A14008D-280F-4885-A0E1-5DCECC99CC53}" id="{B19365E4-335D-4C5A-BD4E-61BB662DF0F2}">
    <text>Mat = matricule</text>
  </threadedComment>
  <threadedComment ref="I2" dT="2025-01-05T11:45:23.78" personId="{8A14008D-280F-4885-A0E1-5DCECC99CC53}" id="{4F2DBC2E-BA12-44E9-8A29-2DF13C97BD6B}">
    <text>Total cotisations patronales</text>
  </threadedComment>
  <threadedComment ref="J2" dT="2025-01-05T11:47:41.23" personId="{8A14008D-280F-4885-A0E1-5DCECC99CC53}" id="{E9A0FA66-E376-432F-91A1-1DB5647133C1}">
    <text>Cotisations sociales patronales obligatoires</text>
  </threadedComment>
  <threadedComment ref="M12" dT="2025-01-05T14:53:25.66" personId="{8A14008D-280F-4885-A0E1-5DCECC99CC53}" id="{CE668B72-4A46-42FA-9136-A24679920894}">
    <text>JD = Jeune docteur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5" dT="2026-01-07T09:45:44.47" personId="{4C5E0A47-8BAB-4B48-93BF-699FDB757C57}" id="{7412BF08-4287-44AC-90D6-105CB45E6262}">
    <text>Supprimer si découpage HRECH précis (cas2)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F4" dT="2025-01-05T20:29:19.42" personId="{8A14008D-280F-4885-A0E1-5DCECC99CC53}" id="{7D4EDA18-9922-4A22-845F-2F822E6D345A}">
    <text>N° compta qui apparait dans le grand livre qui est souvent différent du n°facture</text>
  </threadedComment>
  <threadedComment ref="G4" dT="2025-01-05T20:33:16.53" personId="{8A14008D-280F-4885-A0E1-5DCECC99CC53}" id="{D428C2FA-41E4-4F97-A760-D21A3F3CC432}">
    <text>Enregistré en compta et non celui de la facture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F4" dT="2025-01-05T20:29:19.42" personId="{8A14008D-280F-4885-A0E1-5DCECC99CC53}" id="{7E528AF7-2EFB-4BA1-89BD-9CDA25654234}">
    <text>N° compta qui apparait dans le grand livre qui est souvent différent du n°facture</text>
  </threadedComment>
  <threadedComment ref="G4" dT="2025-01-05T20:33:16.53" personId="{8A14008D-280F-4885-A0E1-5DCECC99CC53}" id="{E19EB2BA-6E6D-47C8-B736-15C48710D42C}">
    <text>Enregistré en compta et non celui de la facture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E4" dT="2025-01-05T20:29:19.42" personId="{8A14008D-280F-4885-A0E1-5DCECC99CC53}" id="{F36165FE-3EFA-440A-A9C0-F96AB06A5FA5}">
    <text>N° compta qui apparait dans le grand livre qui est souvent différent du n°facture</text>
  </threadedComment>
  <threadedComment ref="F4" dT="2025-01-05T20:33:16.53" personId="{8A14008D-280F-4885-A0E1-5DCECC99CC53}" id="{38283587-6948-4C9C-964A-E5E40E6A5197}">
    <text>Enregistré en compta et non celui de la facture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R229" dT="2024-10-30T14:42:43.79" personId="{96B9FA46-3D79-4ACB-8AFA-579B23196C89}" id="{1D929FD6-219F-460A-B725-9FC189A8A141}">
    <text>Calculé sur les heures Lées comme dans la valo</text>
  </threadedComment>
  <threadedComment ref="F277" dT="2024-10-30T14:02:20.19" personId="{96B9FA46-3D79-4ACB-8AFA-579B23196C89}" id="{E9CAE8B9-B2B8-492C-B350-A8F8179A9CCF}">
    <text>Au minimum : à préciser</text>
  </threadedComment>
  <threadedComment ref="F278" dT="2024-10-30T14:03:02.94" personId="{96B9FA46-3D79-4ACB-8AFA-579B23196C89}" id="{B30FF3A8-DC69-4A9D-AEA1-C80552269DC2}">
    <text>Ne fait pas partie de l’effectif</text>
  </threadedComment>
  <threadedComment ref="N278" dT="2024-10-30T13:33:57.39" personId="{96B9FA46-3D79-4ACB-8AFA-579B23196C89}" id="{C3798CA0-AE08-4FB5-AC95-03D45BFE798E}">
    <text>100% du temps qu’il passe 60% sur Excelleria</text>
  </threadedComment>
  <threadedComment ref="F279" dT="2024-10-30T14:03:58.58" personId="{96B9FA46-3D79-4ACB-8AFA-579B23196C89}" id="{49279C25-C707-46C5-86F4-26AB7EAB9B17}">
    <text>Au minimum. A préciser</text>
  </threadedComment>
  <threadedComment ref="H279" dT="2024-10-30T14:04:58.08" personId="{96B9FA46-3D79-4ACB-8AFA-579B23196C89}" id="{92853BF3-894C-4C11-A2ED-D80173C4D791}">
    <text>A préciser</text>
  </threadedComment>
  <threadedComment ref="F280" dT="2024-10-30T14:06:35.01" personId="{96B9FA46-3D79-4ACB-8AFA-579B23196C89}" id="{5A429818-E65B-47A1-9BF7-B56F5B89C39F}">
    <text>A préciser</text>
  </threadedComment>
  <threadedComment ref="F281" dT="2024-10-30T14:06:40.33" personId="{96B9FA46-3D79-4ACB-8AFA-579B23196C89}" id="{4AC9597A-2746-4819-B772-9F71A42FAA05}">
    <text>A préciser</text>
  </threadedComment>
</ThreadedComment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7" Type="http://schemas.microsoft.com/office/2017/10/relationships/threadedComment" Target="../threadedComments/threadedComment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omments" Target="../comments3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10" Type="http://schemas.microsoft.com/office/2017/10/relationships/threadedComment" Target="../threadedComments/threadedComment3.xml"/><Relationship Id="rId4" Type="http://schemas.openxmlformats.org/officeDocument/2006/relationships/ctrlProp" Target="../ctrlProps/ctrlProp5.xml"/><Relationship Id="rId9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5.xml"/><Relationship Id="rId4" Type="http://schemas.openxmlformats.org/officeDocument/2006/relationships/ctrlProp" Target="../ctrlProps/ctrlProp16.xml"/></Relationships>
</file>

<file path=xl/worksheets/_rels/sheet1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5.xml"/><Relationship Id="rId2" Type="http://schemas.openxmlformats.org/officeDocument/2006/relationships/comments" Target="../comments6.xml"/><Relationship Id="rId1" Type="http://schemas.openxmlformats.org/officeDocument/2006/relationships/vmlDrawing" Target="../drawings/vmlDrawing9.vml"/></Relationships>
</file>

<file path=xl/worksheets/_rels/sheet20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6.xml"/><Relationship Id="rId2" Type="http://schemas.openxmlformats.org/officeDocument/2006/relationships/comments" Target="../comments7.xml"/><Relationship Id="rId1" Type="http://schemas.openxmlformats.org/officeDocument/2006/relationships/vmlDrawing" Target="../drawings/vmlDrawing10.v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9.xml"/><Relationship Id="rId5" Type="http://schemas.microsoft.com/office/2017/10/relationships/threadedComment" Target="../threadedComments/threadedComment7.xml"/><Relationship Id="rId4" Type="http://schemas.openxmlformats.org/officeDocument/2006/relationships/comments" Target="../comments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0.xml"/><Relationship Id="rId6" Type="http://schemas.microsoft.com/office/2017/10/relationships/threadedComment" Target="../threadedComments/threadedComment8.xml"/><Relationship Id="rId5" Type="http://schemas.openxmlformats.org/officeDocument/2006/relationships/comments" Target="../comments9.xml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2.xml"/><Relationship Id="rId5" Type="http://schemas.microsoft.com/office/2017/10/relationships/threadedComment" Target="../threadedComments/threadedComment9.xml"/><Relationship Id="rId4" Type="http://schemas.openxmlformats.org/officeDocument/2006/relationships/comments" Target="../comments10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5.bin"/><Relationship Id="rId6" Type="http://schemas.microsoft.com/office/2017/10/relationships/threadedComment" Target="../threadedComments/threadedComment10.xml"/><Relationship Id="rId5" Type="http://schemas.openxmlformats.org/officeDocument/2006/relationships/comments" Target="../comments11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EDACE-6AE0-4271-B0B3-E43F3746B25F}">
  <sheetPr codeName="Feuil10"/>
  <dimension ref="A1:B10"/>
  <sheetViews>
    <sheetView workbookViewId="0"/>
  </sheetViews>
  <sheetFormatPr baseColWidth="10" defaultColWidth="11.42578125" defaultRowHeight="15" x14ac:dyDescent="0.25"/>
  <cols>
    <col min="1" max="1" width="10.85546875" bestFit="1" customWidth="1"/>
    <col min="2" max="2" width="66.2851562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s="73">
        <v>45690</v>
      </c>
      <c r="B2" t="s">
        <v>2</v>
      </c>
    </row>
    <row r="3" spans="1:2" x14ac:dyDescent="0.25">
      <c r="A3" s="73">
        <v>45690</v>
      </c>
      <c r="B3" t="s">
        <v>3</v>
      </c>
    </row>
    <row r="4" spans="1:2" x14ac:dyDescent="0.25">
      <c r="A4" s="73">
        <v>45690</v>
      </c>
      <c r="B4" t="s">
        <v>4</v>
      </c>
    </row>
    <row r="5" spans="1:2" x14ac:dyDescent="0.25">
      <c r="A5" s="73">
        <v>45690</v>
      </c>
      <c r="B5" t="s">
        <v>5</v>
      </c>
    </row>
    <row r="6" spans="1:2" x14ac:dyDescent="0.25">
      <c r="A6" s="73">
        <v>45690</v>
      </c>
      <c r="B6" t="s">
        <v>6</v>
      </c>
    </row>
    <row r="7" spans="1:2" x14ac:dyDescent="0.25">
      <c r="A7" s="73">
        <v>45690</v>
      </c>
      <c r="B7" t="s">
        <v>7</v>
      </c>
    </row>
    <row r="8" spans="1:2" x14ac:dyDescent="0.25">
      <c r="A8" s="73">
        <v>45690</v>
      </c>
      <c r="B8" t="s">
        <v>8</v>
      </c>
    </row>
    <row r="9" spans="1:2" x14ac:dyDescent="0.25">
      <c r="A9" s="73">
        <v>45690</v>
      </c>
      <c r="B9" t="s">
        <v>9</v>
      </c>
    </row>
    <row r="10" spans="1:2" x14ac:dyDescent="0.25">
      <c r="A10" s="73">
        <v>45691</v>
      </c>
      <c r="B10" t="s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E786B-1FB6-40CD-9116-0F7CEECCE56F}">
  <sheetPr codeName="Feuil1"/>
  <dimension ref="A1:V35"/>
  <sheetViews>
    <sheetView topLeftCell="A10" workbookViewId="0">
      <selection activeCell="J32" sqref="J32"/>
    </sheetView>
  </sheetViews>
  <sheetFormatPr baseColWidth="10" defaultColWidth="11.42578125" defaultRowHeight="15" x14ac:dyDescent="0.25"/>
  <cols>
    <col min="1" max="1" width="12" bestFit="1" customWidth="1"/>
    <col min="9" max="9" width="13" bestFit="1" customWidth="1"/>
    <col min="13" max="13" width="27.7109375" bestFit="1" customWidth="1"/>
    <col min="16" max="16" width="31.5703125" bestFit="1" customWidth="1"/>
    <col min="18" max="18" width="15" bestFit="1" customWidth="1"/>
    <col min="19" max="19" width="25.7109375" bestFit="1" customWidth="1"/>
  </cols>
  <sheetData>
    <row r="1" spans="1:22" x14ac:dyDescent="0.25">
      <c r="A1" t="s">
        <v>11</v>
      </c>
      <c r="B1">
        <v>2</v>
      </c>
      <c r="C1">
        <v>3</v>
      </c>
      <c r="D1">
        <v>4</v>
      </c>
      <c r="E1" t="s">
        <v>12</v>
      </c>
    </row>
    <row r="2" spans="1:22" x14ac:dyDescent="0.25">
      <c r="A2" t="s">
        <v>13</v>
      </c>
      <c r="B2" t="s">
        <v>13</v>
      </c>
      <c r="C2" t="s">
        <v>14</v>
      </c>
      <c r="D2" t="s">
        <v>14</v>
      </c>
      <c r="E2" t="s">
        <v>15</v>
      </c>
      <c r="F2" t="s">
        <v>16</v>
      </c>
      <c r="G2" t="s">
        <v>17</v>
      </c>
      <c r="H2" t="s">
        <v>15</v>
      </c>
      <c r="I2" t="s">
        <v>18</v>
      </c>
      <c r="J2" t="s">
        <v>19</v>
      </c>
      <c r="K2" t="s">
        <v>15</v>
      </c>
      <c r="L2" t="s">
        <v>20</v>
      </c>
      <c r="M2" t="s">
        <v>21</v>
      </c>
      <c r="P2" t="s">
        <v>22</v>
      </c>
      <c r="Q2" s="97" t="s">
        <v>23</v>
      </c>
      <c r="S2" t="s">
        <v>24</v>
      </c>
      <c r="U2" t="s">
        <v>13</v>
      </c>
      <c r="V2" t="s">
        <v>25</v>
      </c>
    </row>
    <row r="3" spans="1:22" x14ac:dyDescent="0.25">
      <c r="A3" t="s">
        <v>26</v>
      </c>
      <c r="B3" t="s">
        <v>13</v>
      </c>
      <c r="C3" t="s">
        <v>27</v>
      </c>
      <c r="D3" t="s">
        <v>14</v>
      </c>
      <c r="E3" t="s">
        <v>28</v>
      </c>
      <c r="F3" t="s">
        <v>29</v>
      </c>
      <c r="G3" t="s">
        <v>30</v>
      </c>
      <c r="H3" t="s">
        <v>28</v>
      </c>
      <c r="I3" t="s">
        <v>31</v>
      </c>
      <c r="J3" t="s">
        <v>32</v>
      </c>
      <c r="K3" t="s">
        <v>28</v>
      </c>
      <c r="L3" t="s">
        <v>33</v>
      </c>
      <c r="M3" t="s">
        <v>34</v>
      </c>
      <c r="P3" t="s">
        <v>35</v>
      </c>
      <c r="Q3" s="97" t="s">
        <v>36</v>
      </c>
      <c r="S3" t="s">
        <v>37</v>
      </c>
      <c r="U3" t="s">
        <v>38</v>
      </c>
      <c r="V3" t="s">
        <v>39</v>
      </c>
    </row>
    <row r="4" spans="1:22" x14ac:dyDescent="0.25">
      <c r="A4" t="s">
        <v>40</v>
      </c>
      <c r="B4" t="s">
        <v>13</v>
      </c>
      <c r="C4" t="s">
        <v>27</v>
      </c>
      <c r="D4" t="s">
        <v>41</v>
      </c>
      <c r="G4" t="s">
        <v>42</v>
      </c>
      <c r="I4" t="s">
        <v>43</v>
      </c>
      <c r="J4" t="s">
        <v>44</v>
      </c>
      <c r="K4" t="s">
        <v>45</v>
      </c>
      <c r="L4" t="s">
        <v>46</v>
      </c>
      <c r="M4" t="s">
        <v>47</v>
      </c>
      <c r="P4" t="s">
        <v>48</v>
      </c>
      <c r="Q4" s="97" t="s">
        <v>49</v>
      </c>
      <c r="S4" t="s">
        <v>50</v>
      </c>
      <c r="U4" t="s">
        <v>27</v>
      </c>
    </row>
    <row r="5" spans="1:22" x14ac:dyDescent="0.25">
      <c r="A5" t="s">
        <v>27</v>
      </c>
      <c r="B5" t="s">
        <v>27</v>
      </c>
      <c r="C5" t="s">
        <v>14</v>
      </c>
      <c r="D5" t="s">
        <v>14</v>
      </c>
      <c r="J5" t="s">
        <v>51</v>
      </c>
      <c r="L5" t="s">
        <v>52</v>
      </c>
      <c r="M5" t="s">
        <v>53</v>
      </c>
      <c r="P5" t="s">
        <v>54</v>
      </c>
      <c r="U5" t="s">
        <v>41</v>
      </c>
    </row>
    <row r="6" spans="1:22" x14ac:dyDescent="0.25">
      <c r="A6" t="s">
        <v>55</v>
      </c>
      <c r="B6" t="s">
        <v>13</v>
      </c>
      <c r="C6" t="s">
        <v>38</v>
      </c>
      <c r="D6" t="s">
        <v>14</v>
      </c>
      <c r="J6" t="s">
        <v>56</v>
      </c>
      <c r="M6" t="s">
        <v>57</v>
      </c>
      <c r="P6" t="s">
        <v>58</v>
      </c>
    </row>
    <row r="7" spans="1:22" x14ac:dyDescent="0.25">
      <c r="A7" t="s">
        <v>59</v>
      </c>
      <c r="B7" t="s">
        <v>13</v>
      </c>
      <c r="C7" t="s">
        <v>27</v>
      </c>
      <c r="D7" t="s">
        <v>38</v>
      </c>
      <c r="M7" t="s">
        <v>60</v>
      </c>
      <c r="P7" t="s">
        <v>61</v>
      </c>
    </row>
    <row r="8" spans="1:22" x14ac:dyDescent="0.25">
      <c r="A8" t="s">
        <v>62</v>
      </c>
      <c r="B8" t="s">
        <v>13</v>
      </c>
      <c r="C8" t="s">
        <v>41</v>
      </c>
      <c r="D8" t="s">
        <v>14</v>
      </c>
      <c r="P8" t="s">
        <v>63</v>
      </c>
    </row>
    <row r="9" spans="1:22" x14ac:dyDescent="0.25">
      <c r="A9" t="s">
        <v>38</v>
      </c>
      <c r="B9" t="s">
        <v>38</v>
      </c>
      <c r="C9" t="s">
        <v>14</v>
      </c>
      <c r="D9" t="s">
        <v>14</v>
      </c>
      <c r="P9" t="s">
        <v>64</v>
      </c>
    </row>
    <row r="10" spans="1:22" x14ac:dyDescent="0.25">
      <c r="B10" t="s">
        <v>14</v>
      </c>
      <c r="C10" t="s">
        <v>14</v>
      </c>
      <c r="D10" t="s">
        <v>14</v>
      </c>
      <c r="P10" t="s">
        <v>65</v>
      </c>
    </row>
    <row r="11" spans="1:22" x14ac:dyDescent="0.25">
      <c r="P11" t="s">
        <v>60</v>
      </c>
    </row>
    <row r="13" spans="1:22" x14ac:dyDescent="0.25">
      <c r="A13" s="73">
        <v>45658</v>
      </c>
      <c r="I13" t="s">
        <v>66</v>
      </c>
      <c r="K13" t="s">
        <v>15</v>
      </c>
    </row>
    <row r="14" spans="1:22" x14ac:dyDescent="0.25">
      <c r="A14" s="73">
        <v>46022</v>
      </c>
      <c r="I14" t="s">
        <v>67</v>
      </c>
      <c r="K14" t="s">
        <v>28</v>
      </c>
    </row>
    <row r="15" spans="1:22" x14ac:dyDescent="0.25">
      <c r="I15" t="s">
        <v>68</v>
      </c>
      <c r="K15" t="s">
        <v>69</v>
      </c>
    </row>
    <row r="16" spans="1:22" x14ac:dyDescent="0.25">
      <c r="B16" t="s">
        <v>793</v>
      </c>
    </row>
    <row r="17" spans="1:3" x14ac:dyDescent="0.25">
      <c r="A17" t="s">
        <v>794</v>
      </c>
      <c r="B17" t="str">
        <f>'REP cout'!B4</f>
        <v>Opération 1: Bioluminescence</v>
      </c>
    </row>
    <row r="18" spans="1:3" x14ac:dyDescent="0.25">
      <c r="A18" t="s">
        <v>795</v>
      </c>
    </row>
    <row r="19" spans="1:3" x14ac:dyDescent="0.25">
      <c r="A19" t="s">
        <v>796</v>
      </c>
    </row>
    <row r="20" spans="1:3" x14ac:dyDescent="0.25">
      <c r="A20" t="s">
        <v>797</v>
      </c>
    </row>
    <row r="21" spans="1:3" x14ac:dyDescent="0.25">
      <c r="A21" t="s">
        <v>798</v>
      </c>
    </row>
    <row r="22" spans="1:3" x14ac:dyDescent="0.25">
      <c r="A22" t="s">
        <v>799</v>
      </c>
    </row>
    <row r="23" spans="1:3" x14ac:dyDescent="0.25">
      <c r="A23" t="s">
        <v>800</v>
      </c>
    </row>
    <row r="24" spans="1:3" x14ac:dyDescent="0.25">
      <c r="A24" t="s">
        <v>801</v>
      </c>
    </row>
    <row r="25" spans="1:3" x14ac:dyDescent="0.25">
      <c r="A25" t="s">
        <v>802</v>
      </c>
    </row>
    <row r="26" spans="1:3" x14ac:dyDescent="0.25">
      <c r="A26" t="s">
        <v>803</v>
      </c>
    </row>
    <row r="28" spans="1:3" x14ac:dyDescent="0.25">
      <c r="A28" t="s">
        <v>13</v>
      </c>
      <c r="C28">
        <v>2023</v>
      </c>
    </row>
    <row r="29" spans="1:3" x14ac:dyDescent="0.25">
      <c r="A29" t="s">
        <v>27</v>
      </c>
      <c r="C29">
        <v>2024</v>
      </c>
    </row>
    <row r="30" spans="1:3" x14ac:dyDescent="0.25">
      <c r="A30" t="s">
        <v>38</v>
      </c>
      <c r="C30">
        <v>2025</v>
      </c>
    </row>
    <row r="31" spans="1:3" x14ac:dyDescent="0.25">
      <c r="A31" t="s">
        <v>41</v>
      </c>
      <c r="C31">
        <v>2026</v>
      </c>
    </row>
    <row r="32" spans="1:3" x14ac:dyDescent="0.25">
      <c r="A32" t="s">
        <v>817</v>
      </c>
      <c r="C32">
        <v>2027</v>
      </c>
    </row>
    <row r="33" spans="1:3" x14ac:dyDescent="0.25">
      <c r="A33" t="s">
        <v>818</v>
      </c>
      <c r="C33">
        <v>2028</v>
      </c>
    </row>
    <row r="34" spans="1:3" x14ac:dyDescent="0.25">
      <c r="C34">
        <v>2029</v>
      </c>
    </row>
    <row r="35" spans="1:3" x14ac:dyDescent="0.25">
      <c r="C35">
        <v>2030</v>
      </c>
    </row>
  </sheetData>
  <phoneticPr fontId="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C7769-2E43-4B74-B384-46ACB7BF7733}">
  <sheetPr codeName="Feuil8">
    <tabColor theme="1" tint="0.499984740745262"/>
  </sheetPr>
  <dimension ref="B1:G170"/>
  <sheetViews>
    <sheetView showGridLines="0" tabSelected="1" zoomScale="115" zoomScaleNormal="115" workbookViewId="0">
      <selection activeCell="I40" sqref="I40"/>
    </sheetView>
  </sheetViews>
  <sheetFormatPr baseColWidth="10" defaultColWidth="11.42578125" defaultRowHeight="15" x14ac:dyDescent="0.25"/>
  <cols>
    <col min="2" max="2" width="99" style="101" customWidth="1"/>
    <col min="3" max="3" width="38.140625" style="101" customWidth="1"/>
    <col min="4" max="4" width="26.7109375" style="101" bestFit="1" customWidth="1"/>
    <col min="5" max="5" width="11.5703125" style="42"/>
    <col min="6" max="6" width="14.85546875" style="42" customWidth="1"/>
  </cols>
  <sheetData>
    <row r="1" spans="2:4" x14ac:dyDescent="0.25">
      <c r="D1" s="102"/>
    </row>
    <row r="2" spans="2:4" ht="15.6" customHeight="1" x14ac:dyDescent="0.25">
      <c r="B2" s="538" t="s">
        <v>831</v>
      </c>
      <c r="C2" s="538" t="s">
        <v>70</v>
      </c>
      <c r="D2" s="538" t="s">
        <v>71</v>
      </c>
    </row>
    <row r="3" spans="2:4" x14ac:dyDescent="0.25">
      <c r="B3" s="539"/>
      <c r="C3" s="539"/>
      <c r="D3" s="539"/>
    </row>
    <row r="4" spans="2:4" ht="15.75" thickBot="1" x14ac:dyDescent="0.3">
      <c r="B4" s="540"/>
      <c r="C4" s="540"/>
      <c r="D4" s="540"/>
    </row>
    <row r="5" spans="2:4" ht="16.5" thickBot="1" x14ac:dyDescent="0.35">
      <c r="B5" s="160" t="s">
        <v>72</v>
      </c>
      <c r="C5" s="102" t="str">
        <f>IF('parametres chiffrage'!B2="non","01/01/2025",'parametres chiffrage'!C2)</f>
        <v>01/01/2025</v>
      </c>
      <c r="D5" s="102" t="str">
        <f>IF('parametres chiffrage'!B2="non","31/12/2025",'parametres chiffrage'!D2)</f>
        <v>31/12/2025</v>
      </c>
    </row>
    <row r="6" spans="2:4" ht="16.5" thickBot="1" x14ac:dyDescent="0.35">
      <c r="B6" s="160" t="s">
        <v>73</v>
      </c>
      <c r="C6" s="103" t="s">
        <v>1010</v>
      </c>
    </row>
    <row r="7" spans="2:4" ht="16.5" thickBot="1" x14ac:dyDescent="0.35">
      <c r="B7" s="160" t="s">
        <v>74</v>
      </c>
      <c r="C7" s="104">
        <v>932229230</v>
      </c>
    </row>
    <row r="8" spans="2:4" ht="16.5" thickBot="1" x14ac:dyDescent="0.35">
      <c r="B8" s="160" t="s">
        <v>75</v>
      </c>
      <c r="C8" s="105" t="s">
        <v>1011</v>
      </c>
    </row>
    <row r="9" spans="2:4" ht="16.5" thickBot="1" x14ac:dyDescent="0.35">
      <c r="B9" s="160" t="s">
        <v>76</v>
      </c>
      <c r="C9" s="106" t="s">
        <v>1012</v>
      </c>
    </row>
    <row r="10" spans="2:4" ht="26.25" thickBot="1" x14ac:dyDescent="0.35">
      <c r="B10" s="160" t="s">
        <v>77</v>
      </c>
      <c r="C10" s="521" t="s">
        <v>1009</v>
      </c>
    </row>
    <row r="11" spans="2:4" ht="16.5" thickBot="1" x14ac:dyDescent="0.35">
      <c r="B11" s="160" t="s">
        <v>78</v>
      </c>
      <c r="C11" s="107"/>
    </row>
    <row r="12" spans="2:4" ht="16.5" thickBot="1" x14ac:dyDescent="0.35">
      <c r="B12" s="160" t="s">
        <v>79</v>
      </c>
      <c r="C12" s="108"/>
    </row>
    <row r="13" spans="2:4" ht="16.5" thickBot="1" x14ac:dyDescent="0.35">
      <c r="B13" s="160" t="s">
        <v>80</v>
      </c>
      <c r="C13" s="108"/>
    </row>
    <row r="14" spans="2:4" ht="16.5" thickBot="1" x14ac:dyDescent="0.35">
      <c r="B14" s="160" t="s">
        <v>81</v>
      </c>
      <c r="C14" s="108"/>
    </row>
    <row r="15" spans="2:4" ht="16.5" thickBot="1" x14ac:dyDescent="0.35">
      <c r="B15" s="160" t="s">
        <v>82</v>
      </c>
      <c r="C15" s="229"/>
    </row>
    <row r="16" spans="2:4" ht="16.5" thickBot="1" x14ac:dyDescent="0.35">
      <c r="B16" s="160" t="s">
        <v>83</v>
      </c>
      <c r="C16" s="230"/>
    </row>
    <row r="17" spans="2:6" ht="16.5" thickBot="1" x14ac:dyDescent="0.35">
      <c r="B17" s="160" t="s">
        <v>84</v>
      </c>
      <c r="C17" s="230"/>
    </row>
    <row r="18" spans="2:6" ht="16.5" thickBot="1" x14ac:dyDescent="0.35">
      <c r="B18" s="160" t="s">
        <v>85</v>
      </c>
      <c r="C18" s="230" t="s">
        <v>15</v>
      </c>
    </row>
    <row r="19" spans="2:6" ht="16.5" thickBot="1" x14ac:dyDescent="0.35">
      <c r="B19" s="160" t="s">
        <v>86</v>
      </c>
      <c r="C19" s="230"/>
    </row>
    <row r="20" spans="2:6" ht="16.5" thickBot="1" x14ac:dyDescent="0.35">
      <c r="B20" s="160" t="s">
        <v>87</v>
      </c>
      <c r="C20" s="230"/>
    </row>
    <row r="21" spans="2:6" ht="16.5" thickBot="1" x14ac:dyDescent="0.35">
      <c r="B21" s="160" t="s">
        <v>88</v>
      </c>
      <c r="C21" s="230">
        <v>7</v>
      </c>
    </row>
    <row r="22" spans="2:6" ht="16.5" thickBot="1" x14ac:dyDescent="0.35">
      <c r="B22" s="160" t="s">
        <v>89</v>
      </c>
      <c r="C22" s="230">
        <v>0</v>
      </c>
    </row>
    <row r="23" spans="2:6" s="112" customFormat="1" x14ac:dyDescent="0.25">
      <c r="B23" s="109"/>
      <c r="C23" s="110"/>
      <c r="D23" s="111"/>
      <c r="E23" s="174"/>
      <c r="F23" s="174"/>
    </row>
    <row r="24" spans="2:6" x14ac:dyDescent="0.25">
      <c r="B24" s="113" t="s">
        <v>90</v>
      </c>
      <c r="C24" s="113"/>
      <c r="D24" s="113"/>
    </row>
    <row r="25" spans="2:6" x14ac:dyDescent="0.25">
      <c r="B25" s="113" t="s">
        <v>91</v>
      </c>
      <c r="C25" s="531" t="s">
        <v>832</v>
      </c>
      <c r="D25" s="531"/>
    </row>
    <row r="26" spans="2:6" ht="27.95" customHeight="1" x14ac:dyDescent="0.25">
      <c r="B26" s="534" t="s">
        <v>92</v>
      </c>
      <c r="C26" s="534"/>
      <c r="D26" s="534"/>
    </row>
    <row r="27" spans="2:6" ht="27.95" customHeight="1" x14ac:dyDescent="0.25">
      <c r="B27" s="115" t="s">
        <v>93</v>
      </c>
      <c r="C27" s="116" t="s">
        <v>94</v>
      </c>
      <c r="D27" s="117">
        <f>SYNTHESE!C5</f>
        <v>0</v>
      </c>
    </row>
    <row r="28" spans="2:6" ht="27.95" customHeight="1" x14ac:dyDescent="0.25">
      <c r="B28" s="118" t="s">
        <v>95</v>
      </c>
      <c r="C28" s="116" t="s">
        <v>96</v>
      </c>
      <c r="D28" s="119"/>
      <c r="F28" s="42" t="s">
        <v>97</v>
      </c>
    </row>
    <row r="29" spans="2:6" ht="27.95" customHeight="1" x14ac:dyDescent="0.25">
      <c r="B29" s="120" t="s">
        <v>98</v>
      </c>
      <c r="C29" s="116" t="s">
        <v>858</v>
      </c>
      <c r="D29" s="117">
        <f>SYNTHESE!C6</f>
        <v>191683.92696977462</v>
      </c>
    </row>
    <row r="30" spans="2:6" ht="27.95" customHeight="1" x14ac:dyDescent="0.25">
      <c r="B30" s="120" t="s">
        <v>855</v>
      </c>
      <c r="C30" s="116" t="s">
        <v>859</v>
      </c>
      <c r="D30" s="119"/>
      <c r="F30" s="42" t="s">
        <v>97</v>
      </c>
    </row>
    <row r="31" spans="2:6" ht="27.95" customHeight="1" x14ac:dyDescent="0.25">
      <c r="B31" s="118" t="s">
        <v>99</v>
      </c>
      <c r="C31" s="116" t="s">
        <v>100</v>
      </c>
      <c r="D31" s="119"/>
      <c r="F31" s="42" t="s">
        <v>97</v>
      </c>
    </row>
    <row r="32" spans="2:6" ht="27.95" customHeight="1" x14ac:dyDescent="0.25">
      <c r="B32" s="120" t="s">
        <v>101</v>
      </c>
      <c r="C32" s="116" t="s">
        <v>102</v>
      </c>
      <c r="D32" s="117">
        <f>SYNTHESE!C7</f>
        <v>0</v>
      </c>
    </row>
    <row r="33" spans="2:7" ht="90" x14ac:dyDescent="0.25">
      <c r="B33" s="463" t="s">
        <v>856</v>
      </c>
      <c r="C33" s="116" t="s">
        <v>103</v>
      </c>
      <c r="D33" s="117">
        <f>SYNTHESE!C8</f>
        <v>77103.976337887623</v>
      </c>
      <c r="E33" s="42" t="b">
        <f>D33='REP cout'!E8</f>
        <v>1</v>
      </c>
    </row>
    <row r="34" spans="2:7" ht="27.95" customHeight="1" x14ac:dyDescent="0.25">
      <c r="B34" s="120" t="s">
        <v>857</v>
      </c>
      <c r="C34" s="116" t="s">
        <v>104</v>
      </c>
      <c r="D34" s="122">
        <f>SYNTHESE!C5+SYNTHESE!C6+SYNTHESE!C7+SYNTHESE!C8</f>
        <v>268787.90330766223</v>
      </c>
      <c r="E34" s="42" t="b">
        <f>D34=SUM('REP cout'!E5:E8)</f>
        <v>1</v>
      </c>
    </row>
    <row r="35" spans="2:7" ht="27.95" customHeight="1" x14ac:dyDescent="0.25">
      <c r="B35" s="120" t="s">
        <v>860</v>
      </c>
      <c r="C35" s="116" t="s">
        <v>105</v>
      </c>
      <c r="D35" s="117">
        <f>SYNTHESE!C9</f>
        <v>0</v>
      </c>
    </row>
    <row r="36" spans="2:7" ht="33" customHeight="1" x14ac:dyDescent="0.25">
      <c r="B36" s="120" t="s">
        <v>861</v>
      </c>
      <c r="C36" s="116" t="s">
        <v>106</v>
      </c>
      <c r="D36" s="119">
        <f>SYNTHESE!C10</f>
        <v>0</v>
      </c>
    </row>
    <row r="37" spans="2:7" ht="27.95" customHeight="1" x14ac:dyDescent="0.25">
      <c r="B37" s="120" t="s">
        <v>862</v>
      </c>
      <c r="C37" s="116" t="s">
        <v>107</v>
      </c>
      <c r="D37" s="119">
        <f>SYNTHESE!C11</f>
        <v>0</v>
      </c>
    </row>
    <row r="38" spans="2:7" ht="27.95" customHeight="1" x14ac:dyDescent="0.25">
      <c r="B38" s="118" t="s">
        <v>108</v>
      </c>
      <c r="C38" s="116" t="s">
        <v>109</v>
      </c>
      <c r="D38" s="119">
        <f>SYNTHESE!C12</f>
        <v>0</v>
      </c>
    </row>
    <row r="39" spans="2:7" ht="60" x14ac:dyDescent="0.25">
      <c r="B39" s="120" t="s">
        <v>863</v>
      </c>
      <c r="C39" s="116" t="s">
        <v>110</v>
      </c>
      <c r="D39" s="117">
        <f>SYNTHESE!C13</f>
        <v>0</v>
      </c>
    </row>
    <row r="40" spans="2:7" ht="27.95" customHeight="1" x14ac:dyDescent="0.25">
      <c r="B40" s="120" t="s">
        <v>864</v>
      </c>
      <c r="C40" s="116" t="s">
        <v>111</v>
      </c>
      <c r="D40" s="117">
        <f>SYNTHESE!C14</f>
        <v>0</v>
      </c>
    </row>
    <row r="41" spans="2:7" ht="27.95" customHeight="1" x14ac:dyDescent="0.25">
      <c r="B41" s="120" t="s">
        <v>112</v>
      </c>
      <c r="C41" s="161" t="s">
        <v>113</v>
      </c>
      <c r="D41" s="123">
        <f>SUM(SYNTHESE!C5:C14)</f>
        <v>268787.90330766223</v>
      </c>
      <c r="E41" s="42" t="b">
        <f>D41=SUM(D34:D40)</f>
        <v>1</v>
      </c>
      <c r="G41" s="175"/>
    </row>
    <row r="42" spans="2:7" ht="27.95" customHeight="1" x14ac:dyDescent="0.25">
      <c r="B42" s="124"/>
      <c r="C42" s="125"/>
      <c r="D42" s="126"/>
    </row>
    <row r="43" spans="2:7" ht="27.95" customHeight="1" x14ac:dyDescent="0.25">
      <c r="B43" s="535" t="s">
        <v>114</v>
      </c>
      <c r="C43" s="535"/>
      <c r="D43" s="535"/>
    </row>
    <row r="44" spans="2:7" ht="27.95" customHeight="1" x14ac:dyDescent="0.25">
      <c r="B44" s="127" t="s">
        <v>115</v>
      </c>
      <c r="C44" s="116" t="s">
        <v>116</v>
      </c>
      <c r="D44" s="119">
        <f>SYNTHESE!C17</f>
        <v>0</v>
      </c>
    </row>
    <row r="45" spans="2:7" ht="27.95" customHeight="1" x14ac:dyDescent="0.25">
      <c r="B45" s="127" t="s">
        <v>117</v>
      </c>
      <c r="C45" s="116" t="s">
        <v>118</v>
      </c>
      <c r="D45" s="119">
        <f>SYNTHESE!C18</f>
        <v>0</v>
      </c>
    </row>
    <row r="46" spans="2:7" ht="27.95" customHeight="1" x14ac:dyDescent="0.25">
      <c r="B46" s="127" t="s">
        <v>119</v>
      </c>
      <c r="C46" s="116" t="s">
        <v>120</v>
      </c>
      <c r="D46" s="119">
        <f>SYNTHESE!C15</f>
        <v>52917</v>
      </c>
    </row>
    <row r="47" spans="2:7" ht="27.95" customHeight="1" x14ac:dyDescent="0.25">
      <c r="B47" s="127" t="s">
        <v>121</v>
      </c>
      <c r="C47" s="116" t="s">
        <v>122</v>
      </c>
      <c r="D47" s="119">
        <f>SYNTHESE!C16</f>
        <v>0</v>
      </c>
    </row>
    <row r="48" spans="2:7" ht="27.95" customHeight="1" x14ac:dyDescent="0.25">
      <c r="B48" s="128" t="s">
        <v>123</v>
      </c>
      <c r="C48" s="116" t="s">
        <v>124</v>
      </c>
      <c r="D48" s="129">
        <f>SUM(D44:D47)</f>
        <v>52917</v>
      </c>
    </row>
    <row r="49" spans="2:6" ht="60" x14ac:dyDescent="0.25">
      <c r="B49" s="130" t="s">
        <v>125</v>
      </c>
      <c r="C49" s="116" t="s">
        <v>126</v>
      </c>
      <c r="D49" s="129">
        <f>IF(SYNTHESE!Q18="non",SYNTHESE!R18,'2069 A'!D48)</f>
        <v>52917</v>
      </c>
    </row>
    <row r="50" spans="2:6" ht="63.6" customHeight="1" x14ac:dyDescent="0.25">
      <c r="B50" s="120" t="s">
        <v>127</v>
      </c>
      <c r="C50" s="116" t="s">
        <v>128</v>
      </c>
      <c r="D50" s="129">
        <f>IF(D44+D45&gt;2000000,2000000,D44+D45)</f>
        <v>0</v>
      </c>
    </row>
    <row r="51" spans="2:6" ht="90.6" customHeight="1" x14ac:dyDescent="0.25">
      <c r="B51" s="120" t="s">
        <v>129</v>
      </c>
      <c r="C51" s="116" t="s">
        <v>130</v>
      </c>
      <c r="D51" s="129">
        <f>IF(SUM(D44:D47)&gt;10000000,10000000-D50,D46+D47)</f>
        <v>52917</v>
      </c>
    </row>
    <row r="52" spans="2:6" ht="27.95" customHeight="1" x14ac:dyDescent="0.25">
      <c r="B52" s="120" t="s">
        <v>131</v>
      </c>
      <c r="C52" s="161" t="s">
        <v>132</v>
      </c>
      <c r="D52" s="162">
        <f>IF(D50+D51&gt;D49,D49,D50+D51)</f>
        <v>52917</v>
      </c>
      <c r="E52" s="42" t="b">
        <f>D52/3&lt;D41+1</f>
        <v>1</v>
      </c>
    </row>
    <row r="53" spans="2:6" ht="27.95" customHeight="1" x14ac:dyDescent="0.25">
      <c r="B53" s="131"/>
      <c r="C53" s="132"/>
      <c r="D53" s="133"/>
    </row>
    <row r="54" spans="2:6" ht="27.95" customHeight="1" x14ac:dyDescent="0.25">
      <c r="B54" s="114" t="s">
        <v>133</v>
      </c>
      <c r="C54" s="531" t="s">
        <v>833</v>
      </c>
      <c r="D54" s="531"/>
    </row>
    <row r="55" spans="2:6" ht="27.95" customHeight="1" x14ac:dyDescent="0.25">
      <c r="B55" s="130" t="s">
        <v>134</v>
      </c>
      <c r="C55" s="161" t="s">
        <v>135</v>
      </c>
      <c r="D55" s="162">
        <f>D41+D52</f>
        <v>321704.90330766223</v>
      </c>
      <c r="E55" s="42" t="b">
        <f>D55=SYNTHESE!C19</f>
        <v>1</v>
      </c>
    </row>
    <row r="56" spans="2:6" ht="27.95" customHeight="1" x14ac:dyDescent="0.25">
      <c r="B56" s="118" t="s">
        <v>136</v>
      </c>
      <c r="C56" s="163" t="s">
        <v>137</v>
      </c>
      <c r="D56" s="164">
        <f>SYNTHESE!C21*-1</f>
        <v>195544.5822069936</v>
      </c>
    </row>
    <row r="57" spans="2:6" ht="27.95" customHeight="1" x14ac:dyDescent="0.25">
      <c r="B57" s="120" t="s">
        <v>138</v>
      </c>
      <c r="C57" s="163" t="s">
        <v>139</v>
      </c>
      <c r="D57" s="164">
        <f>SYNTHESE!C23*-1</f>
        <v>0</v>
      </c>
    </row>
    <row r="58" spans="2:6" ht="27.95" customHeight="1" x14ac:dyDescent="0.25">
      <c r="B58" s="120" t="s">
        <v>140</v>
      </c>
      <c r="C58" s="163" t="s">
        <v>141</v>
      </c>
      <c r="D58" s="164">
        <f>SYNTHESE!C24*-1</f>
        <v>0</v>
      </c>
    </row>
    <row r="59" spans="2:6" ht="27.95" customHeight="1" x14ac:dyDescent="0.25">
      <c r="B59" s="118" t="s">
        <v>142</v>
      </c>
      <c r="C59" s="163" t="s">
        <v>143</v>
      </c>
      <c r="D59" s="164">
        <f>SYNTHESE!C22</f>
        <v>0</v>
      </c>
    </row>
    <row r="60" spans="2:6" ht="27.95" customHeight="1" x14ac:dyDescent="0.25">
      <c r="B60" s="120" t="s">
        <v>144</v>
      </c>
      <c r="C60" s="161" t="s">
        <v>145</v>
      </c>
      <c r="D60" s="162">
        <f>D55-D56-D57-D58+D59</f>
        <v>126160.32110066863</v>
      </c>
      <c r="E60" s="42" t="b">
        <f>D60=SYNTHESE!C25</f>
        <v>1</v>
      </c>
    </row>
    <row r="61" spans="2:6" ht="27.95" customHeight="1" x14ac:dyDescent="0.25">
      <c r="B61" s="134" t="s">
        <v>146</v>
      </c>
      <c r="C61" s="165" t="s">
        <v>147</v>
      </c>
      <c r="D61" s="166"/>
      <c r="F61" s="42" t="s">
        <v>97</v>
      </c>
    </row>
    <row r="62" spans="2:6" ht="27.95" customHeight="1" x14ac:dyDescent="0.25">
      <c r="C62" s="125"/>
    </row>
    <row r="63" spans="2:6" ht="27.95" customHeight="1" x14ac:dyDescent="0.25">
      <c r="B63" s="113" t="s">
        <v>148</v>
      </c>
      <c r="C63" s="531" t="s">
        <v>833</v>
      </c>
      <c r="D63" s="531"/>
    </row>
    <row r="64" spans="2:6" ht="27.95" customHeight="1" x14ac:dyDescent="0.25">
      <c r="B64" s="135" t="s">
        <v>149</v>
      </c>
      <c r="C64" s="167" t="s">
        <v>150</v>
      </c>
      <c r="D64" s="168">
        <f>SYNTHESE!G19-SYNTHESE!G10</f>
        <v>0</v>
      </c>
    </row>
    <row r="65" spans="2:6" ht="27.95" customHeight="1" x14ac:dyDescent="0.25">
      <c r="B65" s="135" t="s">
        <v>151</v>
      </c>
      <c r="C65" s="167" t="s">
        <v>152</v>
      </c>
      <c r="D65" s="168">
        <f>SYNTHESE!G10</f>
        <v>0</v>
      </c>
    </row>
    <row r="66" spans="2:6" ht="27.95" customHeight="1" x14ac:dyDescent="0.25">
      <c r="B66" s="135" t="s">
        <v>153</v>
      </c>
      <c r="C66" s="167" t="s">
        <v>154</v>
      </c>
      <c r="D66" s="168">
        <f>D64+D65</f>
        <v>0</v>
      </c>
      <c r="E66" s="42" t="b">
        <f>D66=SYNTHESE!G19</f>
        <v>1</v>
      </c>
    </row>
    <row r="67" spans="2:6" ht="27.95" customHeight="1" x14ac:dyDescent="0.25">
      <c r="B67" s="135" t="s">
        <v>136</v>
      </c>
      <c r="C67" s="167" t="s">
        <v>155</v>
      </c>
      <c r="D67" s="168">
        <f>SYNTHESE!G21*-1</f>
        <v>0</v>
      </c>
    </row>
    <row r="68" spans="2:6" ht="27.95" customHeight="1" x14ac:dyDescent="0.25">
      <c r="B68" s="135" t="s">
        <v>156</v>
      </c>
      <c r="C68" s="167" t="s">
        <v>157</v>
      </c>
      <c r="D68" s="168">
        <f>SYNTHESE!G24*-1</f>
        <v>0</v>
      </c>
    </row>
    <row r="69" spans="2:6" ht="27.95" customHeight="1" x14ac:dyDescent="0.25">
      <c r="B69" s="135" t="s">
        <v>142</v>
      </c>
      <c r="C69" s="167" t="s">
        <v>158</v>
      </c>
      <c r="D69" s="168">
        <f>SYNTHESE!G22</f>
        <v>0</v>
      </c>
    </row>
    <row r="70" spans="2:6" ht="27.95" customHeight="1" x14ac:dyDescent="0.25">
      <c r="B70" s="136" t="s">
        <v>159</v>
      </c>
      <c r="C70" s="167" t="s">
        <v>160</v>
      </c>
      <c r="D70" s="168">
        <f>D66-D67-D68+D69</f>
        <v>0</v>
      </c>
      <c r="E70" s="42" t="b">
        <f>D70=SYNTHESE!G25</f>
        <v>1</v>
      </c>
    </row>
    <row r="71" spans="2:6" ht="27.95" customHeight="1" x14ac:dyDescent="0.25">
      <c r="B71" s="137" t="s">
        <v>161</v>
      </c>
      <c r="C71" s="167" t="s">
        <v>162</v>
      </c>
      <c r="D71" s="168"/>
      <c r="F71" s="42" t="s">
        <v>97</v>
      </c>
    </row>
    <row r="72" spans="2:6" ht="27.95" customHeight="1" x14ac:dyDescent="0.25">
      <c r="C72" s="169"/>
      <c r="D72" s="111"/>
    </row>
    <row r="73" spans="2:6" ht="27.95" customHeight="1" x14ac:dyDescent="0.25">
      <c r="B73" s="134" t="s">
        <v>163</v>
      </c>
      <c r="C73" s="161" t="s">
        <v>164</v>
      </c>
      <c r="D73" s="162">
        <f>D60+D70</f>
        <v>126160.32110066863</v>
      </c>
    </row>
    <row r="74" spans="2:6" ht="27.95" customHeight="1" x14ac:dyDescent="0.25">
      <c r="B74" s="134" t="s">
        <v>165</v>
      </c>
      <c r="C74" s="165" t="s">
        <v>166</v>
      </c>
      <c r="D74" s="166"/>
      <c r="F74" s="42" t="s">
        <v>97</v>
      </c>
    </row>
    <row r="75" spans="2:6" ht="27.95" customHeight="1" x14ac:dyDescent="0.25">
      <c r="C75" s="125"/>
    </row>
    <row r="76" spans="2:6" ht="27.95" customHeight="1" x14ac:dyDescent="0.25">
      <c r="B76" s="537" t="s">
        <v>167</v>
      </c>
      <c r="C76" s="537"/>
      <c r="D76" s="537"/>
    </row>
    <row r="77" spans="2:6" ht="27.95" customHeight="1" x14ac:dyDescent="0.25">
      <c r="B77" s="534" t="s">
        <v>168</v>
      </c>
      <c r="C77" s="534"/>
      <c r="D77" s="534"/>
    </row>
    <row r="78" spans="2:6" ht="27.95" customHeight="1" x14ac:dyDescent="0.25">
      <c r="B78" s="534" t="s">
        <v>169</v>
      </c>
      <c r="C78" s="534"/>
      <c r="D78" s="534"/>
    </row>
    <row r="79" spans="2:6" ht="27.95" customHeight="1" x14ac:dyDescent="0.25">
      <c r="B79" s="120" t="s">
        <v>170</v>
      </c>
      <c r="C79" s="161" t="s">
        <v>171</v>
      </c>
      <c r="D79" s="162">
        <f>D60</f>
        <v>126160.32110066863</v>
      </c>
      <c r="F79" s="54"/>
    </row>
    <row r="80" spans="2:6" ht="27.95" customHeight="1" x14ac:dyDescent="0.25">
      <c r="B80" s="120" t="s">
        <v>172</v>
      </c>
      <c r="C80" s="165" t="s">
        <v>173</v>
      </c>
      <c r="D80" s="166"/>
      <c r="F80" s="54" t="s">
        <v>97</v>
      </c>
    </row>
    <row r="81" spans="2:6" ht="27.95" customHeight="1" x14ac:dyDescent="0.25">
      <c r="B81" s="120" t="s">
        <v>174</v>
      </c>
      <c r="C81" s="163" t="s">
        <v>175</v>
      </c>
      <c r="D81" s="170">
        <f>D79*0.3</f>
        <v>37848.096330200591</v>
      </c>
      <c r="F81" s="54"/>
    </row>
    <row r="82" spans="2:6" ht="45.95" customHeight="1" x14ac:dyDescent="0.25">
      <c r="B82" s="120" t="s">
        <v>176</v>
      </c>
      <c r="C82" s="163" t="s">
        <v>177</v>
      </c>
      <c r="D82" s="170"/>
      <c r="F82" s="54" t="s">
        <v>97</v>
      </c>
    </row>
    <row r="83" spans="2:6" ht="27.95" customHeight="1" x14ac:dyDescent="0.25">
      <c r="B83" s="130" t="s">
        <v>178</v>
      </c>
      <c r="C83" s="163" t="s">
        <v>179</v>
      </c>
      <c r="D83" s="170">
        <f>D81+D82</f>
        <v>37848.096330200591</v>
      </c>
      <c r="F83" s="54"/>
    </row>
    <row r="84" spans="2:6" ht="27.95" customHeight="1" x14ac:dyDescent="0.25">
      <c r="B84" s="120" t="s">
        <v>180</v>
      </c>
      <c r="C84" s="163" t="s">
        <v>181</v>
      </c>
      <c r="D84" s="170"/>
      <c r="F84" s="54" t="s">
        <v>97</v>
      </c>
    </row>
    <row r="85" spans="2:6" ht="27.95" customHeight="1" x14ac:dyDescent="0.25">
      <c r="C85" s="125"/>
    </row>
    <row r="86" spans="2:6" ht="27.95" customHeight="1" x14ac:dyDescent="0.25">
      <c r="B86" s="534" t="s">
        <v>182</v>
      </c>
      <c r="C86" s="534"/>
      <c r="D86" s="534"/>
    </row>
    <row r="87" spans="2:6" ht="27.95" customHeight="1" x14ac:dyDescent="0.25">
      <c r="B87" s="118" t="s">
        <v>183</v>
      </c>
      <c r="C87" s="163" t="s">
        <v>184</v>
      </c>
      <c r="D87" s="170">
        <f>D70</f>
        <v>0</v>
      </c>
    </row>
    <row r="88" spans="2:6" ht="27.95" customHeight="1" x14ac:dyDescent="0.25">
      <c r="B88" s="130" t="s">
        <v>185</v>
      </c>
      <c r="C88" s="163" t="s">
        <v>186</v>
      </c>
      <c r="D88" s="170"/>
      <c r="F88" s="42" t="s">
        <v>97</v>
      </c>
    </row>
    <row r="89" spans="2:6" ht="27.95" customHeight="1" x14ac:dyDescent="0.25">
      <c r="B89" s="130" t="s">
        <v>187</v>
      </c>
      <c r="C89" s="163" t="s">
        <v>188</v>
      </c>
      <c r="D89" s="170">
        <f>D87*0.3</f>
        <v>0</v>
      </c>
    </row>
    <row r="90" spans="2:6" ht="27.95" customHeight="1" x14ac:dyDescent="0.25">
      <c r="B90" s="130" t="s">
        <v>189</v>
      </c>
      <c r="C90" s="163" t="s">
        <v>190</v>
      </c>
      <c r="D90" s="170"/>
      <c r="F90" s="42" t="s">
        <v>97</v>
      </c>
    </row>
    <row r="91" spans="2:6" ht="27.95" customHeight="1" x14ac:dyDescent="0.25">
      <c r="B91" s="120" t="s">
        <v>191</v>
      </c>
      <c r="C91" s="163" t="s">
        <v>192</v>
      </c>
      <c r="D91" s="170">
        <f>D89+D90</f>
        <v>0</v>
      </c>
    </row>
    <row r="92" spans="2:6" ht="27.95" customHeight="1" x14ac:dyDescent="0.25">
      <c r="B92" s="120" t="s">
        <v>193</v>
      </c>
      <c r="C92" s="163" t="s">
        <v>194</v>
      </c>
      <c r="D92" s="170"/>
      <c r="F92" s="42" t="s">
        <v>97</v>
      </c>
    </row>
    <row r="93" spans="2:6" ht="41.45" customHeight="1" x14ac:dyDescent="0.25">
      <c r="B93" s="120" t="s">
        <v>195</v>
      </c>
      <c r="C93" s="163" t="s">
        <v>196</v>
      </c>
      <c r="D93" s="170"/>
      <c r="F93" s="176" t="s">
        <v>197</v>
      </c>
    </row>
    <row r="94" spans="2:6" ht="30" x14ac:dyDescent="0.25">
      <c r="B94" s="120" t="s">
        <v>198</v>
      </c>
      <c r="C94" s="163" t="s">
        <v>199</v>
      </c>
      <c r="D94" s="170">
        <f>D92+D93</f>
        <v>0</v>
      </c>
    </row>
    <row r="95" spans="2:6" ht="62.1" customHeight="1" x14ac:dyDescent="0.25">
      <c r="B95" s="120" t="s">
        <v>200</v>
      </c>
      <c r="C95" s="163" t="s">
        <v>201</v>
      </c>
      <c r="D95" s="170"/>
      <c r="F95" s="176" t="s">
        <v>197</v>
      </c>
    </row>
    <row r="96" spans="2:6" ht="27.95" customHeight="1" x14ac:dyDescent="0.25">
      <c r="B96" s="130" t="s">
        <v>202</v>
      </c>
      <c r="C96" s="163" t="s">
        <v>203</v>
      </c>
      <c r="D96" s="170"/>
      <c r="F96" s="42" t="s">
        <v>97</v>
      </c>
    </row>
    <row r="97" spans="2:6" ht="27.95" customHeight="1" x14ac:dyDescent="0.25">
      <c r="B97" s="115"/>
      <c r="C97" s="163"/>
      <c r="D97" s="171"/>
    </row>
    <row r="98" spans="2:6" ht="27.95" customHeight="1" x14ac:dyDescent="0.25">
      <c r="B98" s="139" t="s">
        <v>204</v>
      </c>
      <c r="C98" s="161" t="s">
        <v>205</v>
      </c>
      <c r="D98" s="162">
        <f>D83+D95</f>
        <v>37848.096330200591</v>
      </c>
    </row>
    <row r="99" spans="2:6" ht="27.95" customHeight="1" x14ac:dyDescent="0.25">
      <c r="B99" s="134" t="s">
        <v>206</v>
      </c>
      <c r="C99" s="165" t="s">
        <v>207</v>
      </c>
      <c r="D99" s="166"/>
      <c r="F99" s="42" t="s">
        <v>97</v>
      </c>
    </row>
    <row r="100" spans="2:6" ht="27.95" customHeight="1" x14ac:dyDescent="0.25">
      <c r="B100" s="140"/>
      <c r="C100" s="141"/>
      <c r="D100" s="140"/>
    </row>
    <row r="101" spans="2:6" ht="27.95" customHeight="1" x14ac:dyDescent="0.25">
      <c r="B101" s="535" t="s">
        <v>208</v>
      </c>
      <c r="C101" s="535"/>
      <c r="D101" s="535"/>
    </row>
    <row r="102" spans="2:6" ht="27.95" customHeight="1" x14ac:dyDescent="0.25">
      <c r="B102" s="536" t="s">
        <v>209</v>
      </c>
      <c r="C102" s="536"/>
      <c r="D102" s="536"/>
    </row>
    <row r="103" spans="2:6" ht="27.95" customHeight="1" x14ac:dyDescent="0.25">
      <c r="B103" s="130" t="s">
        <v>210</v>
      </c>
      <c r="C103" s="116" t="s">
        <v>211</v>
      </c>
      <c r="D103" s="138"/>
      <c r="F103" s="533" t="s">
        <v>212</v>
      </c>
    </row>
    <row r="104" spans="2:6" ht="27.95" customHeight="1" x14ac:dyDescent="0.25">
      <c r="B104" s="120" t="s">
        <v>213</v>
      </c>
      <c r="C104" s="116" t="s">
        <v>214</v>
      </c>
      <c r="D104" s="138"/>
      <c r="F104" s="533"/>
    </row>
    <row r="105" spans="2:6" ht="27.95" customHeight="1" x14ac:dyDescent="0.25">
      <c r="B105" s="120" t="s">
        <v>215</v>
      </c>
      <c r="C105" s="116" t="s">
        <v>216</v>
      </c>
      <c r="D105" s="138"/>
      <c r="F105" s="533"/>
    </row>
    <row r="106" spans="2:6" ht="27.95" customHeight="1" x14ac:dyDescent="0.25">
      <c r="B106" s="130" t="s">
        <v>217</v>
      </c>
      <c r="C106" s="116" t="s">
        <v>218</v>
      </c>
      <c r="D106" s="138"/>
      <c r="F106" s="533"/>
    </row>
    <row r="107" spans="2:6" ht="27.95" customHeight="1" x14ac:dyDescent="0.25">
      <c r="B107" s="130" t="s">
        <v>219</v>
      </c>
      <c r="C107" s="116" t="s">
        <v>220</v>
      </c>
      <c r="D107" s="138"/>
      <c r="F107" s="533"/>
    </row>
    <row r="108" spans="2:6" ht="27.95" customHeight="1" x14ac:dyDescent="0.25">
      <c r="B108" s="130" t="s">
        <v>221</v>
      </c>
      <c r="C108" s="116" t="s">
        <v>222</v>
      </c>
      <c r="D108" s="138"/>
      <c r="F108" s="533"/>
    </row>
    <row r="109" spans="2:6" ht="45.6" customHeight="1" x14ac:dyDescent="0.25">
      <c r="B109" s="120" t="s">
        <v>223</v>
      </c>
      <c r="C109" s="116" t="s">
        <v>224</v>
      </c>
      <c r="D109" s="138"/>
      <c r="F109" s="533"/>
    </row>
    <row r="110" spans="2:6" ht="27.95" customHeight="1" x14ac:dyDescent="0.25">
      <c r="B110" s="130" t="s">
        <v>225</v>
      </c>
      <c r="C110" s="116" t="s">
        <v>226</v>
      </c>
      <c r="D110" s="138"/>
      <c r="F110" s="533"/>
    </row>
    <row r="111" spans="2:6" ht="27.95" customHeight="1" x14ac:dyDescent="0.25">
      <c r="B111" s="120" t="s">
        <v>180</v>
      </c>
      <c r="C111" s="116" t="s">
        <v>227</v>
      </c>
      <c r="D111" s="138"/>
      <c r="F111" s="533"/>
    </row>
    <row r="112" spans="2:6" ht="27.95" customHeight="1" x14ac:dyDescent="0.25">
      <c r="B112" s="140"/>
      <c r="C112" s="141"/>
      <c r="D112" s="140"/>
      <c r="F112" s="533"/>
    </row>
    <row r="113" spans="2:6" ht="27.95" customHeight="1" x14ac:dyDescent="0.25">
      <c r="B113" s="534" t="s">
        <v>228</v>
      </c>
      <c r="C113" s="534"/>
      <c r="D113" s="534"/>
      <c r="F113" s="533"/>
    </row>
    <row r="114" spans="2:6" ht="27.95" customHeight="1" x14ac:dyDescent="0.25">
      <c r="B114" s="118" t="s">
        <v>183</v>
      </c>
      <c r="C114" s="116" t="s">
        <v>229</v>
      </c>
      <c r="D114" s="138"/>
      <c r="F114" s="533"/>
    </row>
    <row r="115" spans="2:6" ht="27.95" customHeight="1" x14ac:dyDescent="0.25">
      <c r="B115" s="130" t="s">
        <v>230</v>
      </c>
      <c r="C115" s="116" t="s">
        <v>231</v>
      </c>
      <c r="D115" s="138"/>
      <c r="F115" s="533"/>
    </row>
    <row r="116" spans="2:6" ht="27.95" customHeight="1" x14ac:dyDescent="0.25">
      <c r="B116" s="130" t="s">
        <v>232</v>
      </c>
      <c r="C116" s="116" t="s">
        <v>233</v>
      </c>
      <c r="D116" s="138"/>
      <c r="F116" s="533"/>
    </row>
    <row r="117" spans="2:6" ht="44.1" customHeight="1" x14ac:dyDescent="0.25">
      <c r="B117" s="120" t="s">
        <v>234</v>
      </c>
      <c r="C117" s="116" t="s">
        <v>235</v>
      </c>
      <c r="D117" s="138"/>
      <c r="F117" s="533"/>
    </row>
    <row r="118" spans="2:6" ht="27.95" customHeight="1" x14ac:dyDescent="0.25">
      <c r="B118" s="120" t="s">
        <v>236</v>
      </c>
      <c r="C118" s="116" t="s">
        <v>237</v>
      </c>
      <c r="D118" s="138"/>
      <c r="F118" s="533"/>
    </row>
    <row r="119" spans="2:6" ht="27.95" customHeight="1" x14ac:dyDescent="0.25">
      <c r="B119" s="118" t="s">
        <v>238</v>
      </c>
      <c r="C119" s="116" t="s">
        <v>239</v>
      </c>
      <c r="D119" s="138"/>
      <c r="F119" s="533"/>
    </row>
    <row r="120" spans="2:6" ht="41.45" customHeight="1" x14ac:dyDescent="0.25">
      <c r="B120" s="120" t="s">
        <v>240</v>
      </c>
      <c r="C120" s="116" t="s">
        <v>241</v>
      </c>
      <c r="D120" s="138"/>
      <c r="F120" s="533"/>
    </row>
    <row r="121" spans="2:6" ht="27.95" customHeight="1" x14ac:dyDescent="0.25">
      <c r="B121" s="130" t="s">
        <v>242</v>
      </c>
      <c r="C121" s="116" t="s">
        <v>243</v>
      </c>
      <c r="D121" s="138"/>
      <c r="F121" s="533"/>
    </row>
    <row r="122" spans="2:6" ht="47.45" customHeight="1" x14ac:dyDescent="0.25">
      <c r="B122" s="120" t="s">
        <v>244</v>
      </c>
      <c r="C122" s="116" t="s">
        <v>245</v>
      </c>
      <c r="D122" s="138"/>
      <c r="F122" s="533"/>
    </row>
    <row r="123" spans="2:6" ht="27.95" customHeight="1" x14ac:dyDescent="0.25">
      <c r="B123" s="130" t="s">
        <v>246</v>
      </c>
      <c r="C123" s="116" t="s">
        <v>247</v>
      </c>
      <c r="D123" s="138"/>
      <c r="F123" s="533"/>
    </row>
    <row r="124" spans="2:6" ht="60" x14ac:dyDescent="0.25">
      <c r="B124" s="120" t="s">
        <v>248</v>
      </c>
      <c r="C124" s="116" t="s">
        <v>249</v>
      </c>
      <c r="D124" s="138"/>
      <c r="F124" s="533"/>
    </row>
    <row r="125" spans="2:6" ht="27.95" customHeight="1" x14ac:dyDescent="0.25">
      <c r="B125" s="120" t="s">
        <v>250</v>
      </c>
      <c r="C125" s="116" t="s">
        <v>251</v>
      </c>
      <c r="D125" s="138"/>
      <c r="F125" s="533"/>
    </row>
    <row r="126" spans="2:6" ht="27.95" customHeight="1" x14ac:dyDescent="0.25">
      <c r="B126" s="134" t="s">
        <v>252</v>
      </c>
      <c r="C126" s="116" t="s">
        <v>253</v>
      </c>
      <c r="D126" s="138"/>
      <c r="F126" s="533"/>
    </row>
    <row r="127" spans="2:6" ht="42.95" customHeight="1" x14ac:dyDescent="0.25">
      <c r="B127" s="134" t="s">
        <v>254</v>
      </c>
      <c r="C127" s="116" t="s">
        <v>255</v>
      </c>
      <c r="D127" s="138"/>
      <c r="F127" s="533"/>
    </row>
    <row r="128" spans="2:6" ht="27.95" customHeight="1" x14ac:dyDescent="0.25">
      <c r="B128" s="140"/>
      <c r="C128" s="141"/>
      <c r="D128" s="140"/>
    </row>
    <row r="129" spans="2:6" ht="27.95" customHeight="1" x14ac:dyDescent="0.25">
      <c r="B129" s="142" t="s">
        <v>256</v>
      </c>
      <c r="C129" s="532" t="s">
        <v>832</v>
      </c>
      <c r="D129" s="532"/>
    </row>
    <row r="130" spans="2:6" ht="27.95" customHeight="1" x14ac:dyDescent="0.25">
      <c r="B130" s="529" t="s">
        <v>257</v>
      </c>
      <c r="C130" s="529"/>
      <c r="D130" s="529"/>
    </row>
    <row r="131" spans="2:6" ht="27.95" customHeight="1" x14ac:dyDescent="0.25">
      <c r="B131" s="130" t="s">
        <v>258</v>
      </c>
      <c r="C131" s="163" t="s">
        <v>259</v>
      </c>
      <c r="D131" s="170">
        <f>SYNTHESE!D5</f>
        <v>0</v>
      </c>
    </row>
    <row r="132" spans="2:6" ht="27.95" customHeight="1" x14ac:dyDescent="0.25">
      <c r="B132" s="120" t="s">
        <v>260</v>
      </c>
      <c r="C132" s="163" t="s">
        <v>261</v>
      </c>
      <c r="D132" s="170">
        <f>SYNTHESE!D6</f>
        <v>0</v>
      </c>
    </row>
    <row r="133" spans="2:6" ht="27.95" customHeight="1" x14ac:dyDescent="0.25">
      <c r="B133" s="130" t="s">
        <v>262</v>
      </c>
      <c r="C133" s="163" t="s">
        <v>263</v>
      </c>
      <c r="D133" s="170">
        <f>SYNTHESE!D9</f>
        <v>0</v>
      </c>
    </row>
    <row r="134" spans="2:6" ht="27.95" customHeight="1" x14ac:dyDescent="0.25">
      <c r="B134" s="118" t="s">
        <v>264</v>
      </c>
      <c r="C134" s="163" t="s">
        <v>265</v>
      </c>
      <c r="D134" s="170">
        <f>SYNTHESE!D10</f>
        <v>0</v>
      </c>
    </row>
    <row r="135" spans="2:6" ht="27.95" customHeight="1" x14ac:dyDescent="0.25">
      <c r="B135" s="118" t="s">
        <v>266</v>
      </c>
      <c r="C135" s="163" t="s">
        <v>267</v>
      </c>
      <c r="D135" s="170">
        <f>SYNTHESE!D15</f>
        <v>0</v>
      </c>
    </row>
    <row r="136" spans="2:6" ht="27.95" customHeight="1" x14ac:dyDescent="0.25">
      <c r="B136" s="120" t="s">
        <v>268</v>
      </c>
      <c r="C136" s="161" t="s">
        <v>269</v>
      </c>
      <c r="D136" s="162">
        <f>SUM(D131:D135)</f>
        <v>0</v>
      </c>
      <c r="E136" s="42" t="b">
        <f>D136=SYNTHESE!D19</f>
        <v>1</v>
      </c>
    </row>
    <row r="137" spans="2:6" ht="27.95" customHeight="1" x14ac:dyDescent="0.25">
      <c r="B137" s="130" t="s">
        <v>270</v>
      </c>
      <c r="C137" s="161" t="s">
        <v>271</v>
      </c>
      <c r="D137" s="162">
        <f>IF(D136&gt;400000,400000,D136)</f>
        <v>0</v>
      </c>
    </row>
    <row r="138" spans="2:6" ht="27.95" customHeight="1" x14ac:dyDescent="0.25">
      <c r="B138" s="118" t="s">
        <v>136</v>
      </c>
      <c r="C138" s="163" t="s">
        <v>272</v>
      </c>
      <c r="D138" s="170">
        <f>SYNTHESE!D21*-1</f>
        <v>0</v>
      </c>
    </row>
    <row r="139" spans="2:6" ht="27.95" customHeight="1" x14ac:dyDescent="0.25">
      <c r="B139" s="118" t="s">
        <v>273</v>
      </c>
      <c r="C139" s="163" t="s">
        <v>274</v>
      </c>
      <c r="D139" s="170">
        <f>SYNTHESE!D23*-1</f>
        <v>0</v>
      </c>
    </row>
    <row r="140" spans="2:6" ht="27.95" customHeight="1" x14ac:dyDescent="0.25">
      <c r="B140" s="120" t="s">
        <v>275</v>
      </c>
      <c r="C140" s="163" t="s">
        <v>276</v>
      </c>
      <c r="D140" s="170">
        <f>SYNTHESE!D24*-1</f>
        <v>0</v>
      </c>
    </row>
    <row r="141" spans="2:6" ht="27.95" customHeight="1" x14ac:dyDescent="0.25">
      <c r="B141" s="118" t="s">
        <v>142</v>
      </c>
      <c r="C141" s="163" t="s">
        <v>277</v>
      </c>
      <c r="D141" s="170">
        <f>SYNTHESE!D22</f>
        <v>0</v>
      </c>
    </row>
    <row r="142" spans="2:6" ht="27.95" customHeight="1" x14ac:dyDescent="0.25">
      <c r="B142" s="130" t="s">
        <v>278</v>
      </c>
      <c r="C142" s="163" t="s">
        <v>279</v>
      </c>
      <c r="D142" s="170">
        <f>D137-D138-D139-D140+D141</f>
        <v>0</v>
      </c>
      <c r="E142" s="42" t="b">
        <f>D142=SYNTHESE!D25</f>
        <v>1</v>
      </c>
    </row>
    <row r="143" spans="2:6" ht="27.95" customHeight="1" x14ac:dyDescent="0.25">
      <c r="B143" s="121" t="s">
        <v>280</v>
      </c>
      <c r="C143" s="163" t="s">
        <v>281</v>
      </c>
      <c r="D143" s="170"/>
      <c r="F143" s="42" t="s">
        <v>97</v>
      </c>
    </row>
    <row r="144" spans="2:6" ht="27.95" customHeight="1" x14ac:dyDescent="0.25">
      <c r="B144" s="130" t="s">
        <v>282</v>
      </c>
      <c r="C144" s="163" t="s">
        <v>283</v>
      </c>
      <c r="D144" s="170"/>
      <c r="F144" s="42" t="s">
        <v>97</v>
      </c>
    </row>
    <row r="145" spans="2:6" ht="27.95" customHeight="1" x14ac:dyDescent="0.25">
      <c r="B145" s="130" t="s">
        <v>284</v>
      </c>
      <c r="C145" s="163" t="s">
        <v>285</v>
      </c>
      <c r="D145" s="170"/>
      <c r="F145" s="42" t="s">
        <v>97</v>
      </c>
    </row>
    <row r="146" spans="2:6" ht="45" x14ac:dyDescent="0.25">
      <c r="B146" s="130" t="s">
        <v>865</v>
      </c>
      <c r="C146" s="163" t="s">
        <v>286</v>
      </c>
      <c r="D146" s="464">
        <f>D142*0.2</f>
        <v>0</v>
      </c>
      <c r="E146" s="42" t="b">
        <f>D146=SYNTHESE!D28</f>
        <v>1</v>
      </c>
    </row>
    <row r="147" spans="2:6" ht="44.1" customHeight="1" x14ac:dyDescent="0.25">
      <c r="B147" s="130" t="s">
        <v>287</v>
      </c>
      <c r="C147" s="163" t="s">
        <v>288</v>
      </c>
      <c r="D147" s="170"/>
      <c r="F147" s="42" t="s">
        <v>97</v>
      </c>
    </row>
    <row r="148" spans="2:6" ht="44.1" customHeight="1" x14ac:dyDescent="0.25">
      <c r="B148" s="120" t="s">
        <v>289</v>
      </c>
      <c r="C148" s="163" t="s">
        <v>290</v>
      </c>
      <c r="D148" s="170">
        <f>D146+D147</f>
        <v>0</v>
      </c>
    </row>
    <row r="149" spans="2:6" ht="44.1" customHeight="1" x14ac:dyDescent="0.25">
      <c r="B149" s="120" t="s">
        <v>291</v>
      </c>
      <c r="C149" s="163" t="s">
        <v>292</v>
      </c>
      <c r="D149" s="170"/>
      <c r="F149" s="42" t="s">
        <v>97</v>
      </c>
    </row>
    <row r="150" spans="2:6" ht="44.1" customHeight="1" x14ac:dyDescent="0.25">
      <c r="B150" s="120" t="s">
        <v>293</v>
      </c>
      <c r="C150" s="163" t="s">
        <v>294</v>
      </c>
      <c r="D150" s="170"/>
      <c r="F150" s="42" t="s">
        <v>97</v>
      </c>
    </row>
    <row r="151" spans="2:6" ht="27.95" customHeight="1" x14ac:dyDescent="0.25">
      <c r="B151" s="139" t="s">
        <v>295</v>
      </c>
      <c r="C151" s="161" t="s">
        <v>296</v>
      </c>
      <c r="D151" s="162">
        <f>D98+D148</f>
        <v>37848.096330200591</v>
      </c>
    </row>
    <row r="152" spans="2:6" ht="48.6" customHeight="1" x14ac:dyDescent="0.25">
      <c r="B152" s="139" t="s">
        <v>297</v>
      </c>
      <c r="C152" s="163" t="s">
        <v>298</v>
      </c>
      <c r="D152" s="166"/>
      <c r="F152" s="42" t="s">
        <v>97</v>
      </c>
    </row>
    <row r="153" spans="2:6" ht="27.95" customHeight="1" x14ac:dyDescent="0.25">
      <c r="C153" s="125"/>
    </row>
    <row r="154" spans="2:6" ht="27.95" customHeight="1" x14ac:dyDescent="0.25">
      <c r="B154" s="530" t="s">
        <v>299</v>
      </c>
      <c r="C154" s="531"/>
      <c r="D154" s="531"/>
    </row>
    <row r="155" spans="2:6" ht="27.95" customHeight="1" x14ac:dyDescent="0.25">
      <c r="B155" s="142" t="s">
        <v>300</v>
      </c>
      <c r="C155" s="532" t="s">
        <v>832</v>
      </c>
      <c r="D155" s="532"/>
    </row>
    <row r="156" spans="2:6" ht="50.1" customHeight="1" x14ac:dyDescent="0.25">
      <c r="B156" s="130" t="s">
        <v>301</v>
      </c>
      <c r="C156" s="116" t="s">
        <v>302</v>
      </c>
      <c r="D156" s="138">
        <f>SYNTHESE!C35+SYNTHESE!C36</f>
        <v>0</v>
      </c>
    </row>
    <row r="157" spans="2:6" ht="27.95" customHeight="1" x14ac:dyDescent="0.25">
      <c r="B157" s="143" t="s">
        <v>303</v>
      </c>
      <c r="C157" s="116" t="s">
        <v>304</v>
      </c>
      <c r="D157" s="138">
        <f>SYNTHESE!C35</f>
        <v>0</v>
      </c>
    </row>
    <row r="158" spans="2:6" ht="27.95" customHeight="1" x14ac:dyDescent="0.25">
      <c r="B158" s="143" t="s">
        <v>305</v>
      </c>
      <c r="C158" s="116" t="s">
        <v>306</v>
      </c>
      <c r="D158" s="138">
        <f>SYNTHESE!C36</f>
        <v>0</v>
      </c>
    </row>
    <row r="159" spans="2:6" ht="45" x14ac:dyDescent="0.25">
      <c r="B159" s="130" t="s">
        <v>307</v>
      </c>
      <c r="C159" s="116" t="s">
        <v>308</v>
      </c>
      <c r="D159" s="138">
        <f>SYNTHESE!C37</f>
        <v>0</v>
      </c>
    </row>
    <row r="160" spans="2:6" ht="27.95" customHeight="1" x14ac:dyDescent="0.25">
      <c r="B160" s="115" t="s">
        <v>309</v>
      </c>
      <c r="C160" s="116" t="s">
        <v>310</v>
      </c>
      <c r="D160" s="138">
        <f>SYNTHESE!C39*-1</f>
        <v>0</v>
      </c>
    </row>
    <row r="161" spans="2:6" ht="27.95" customHeight="1" x14ac:dyDescent="0.25">
      <c r="B161" s="115" t="s">
        <v>311</v>
      </c>
      <c r="C161" s="116" t="s">
        <v>312</v>
      </c>
      <c r="D161" s="138">
        <f>SYNTHESE!C40</f>
        <v>0</v>
      </c>
    </row>
    <row r="162" spans="2:6" ht="27.95" customHeight="1" x14ac:dyDescent="0.25">
      <c r="B162" s="130" t="s">
        <v>313</v>
      </c>
      <c r="C162" s="116" t="s">
        <v>314</v>
      </c>
      <c r="D162" s="138">
        <f>D159-D160+D161</f>
        <v>0</v>
      </c>
    </row>
    <row r="163" spans="2:6" ht="27.95" customHeight="1" x14ac:dyDescent="0.25">
      <c r="B163" s="115" t="s">
        <v>315</v>
      </c>
      <c r="C163" s="116" t="s">
        <v>316</v>
      </c>
      <c r="D163" s="138">
        <f>IF('parametres chiffrage'!B3="Oui",'2069 A'!D162,"")</f>
        <v>0</v>
      </c>
    </row>
    <row r="164" spans="2:6" ht="27.95" customHeight="1" x14ac:dyDescent="0.25">
      <c r="B164" s="130" t="s">
        <v>317</v>
      </c>
      <c r="C164" s="116" t="s">
        <v>318</v>
      </c>
      <c r="D164" s="138">
        <f>IF('parametres chiffrage'!B3="Oui",'2069 A'!D163*0.5,'2069 A'!D162*0.4)</f>
        <v>0</v>
      </c>
      <c r="E164" s="42" t="b">
        <f>D164=SYNTHESE!C45</f>
        <v>1</v>
      </c>
    </row>
    <row r="165" spans="2:6" ht="50.1" customHeight="1" x14ac:dyDescent="0.25">
      <c r="B165" s="130" t="s">
        <v>319</v>
      </c>
      <c r="C165" s="116" t="s">
        <v>320</v>
      </c>
      <c r="D165" s="138"/>
      <c r="F165" s="42" t="s">
        <v>97</v>
      </c>
    </row>
    <row r="166" spans="2:6" ht="27.95" customHeight="1" x14ac:dyDescent="0.25">
      <c r="B166" s="130" t="s">
        <v>321</v>
      </c>
      <c r="C166" s="144" t="s">
        <v>322</v>
      </c>
      <c r="D166" s="145">
        <f>D164+D165</f>
        <v>0</v>
      </c>
    </row>
    <row r="169" spans="2:6" x14ac:dyDescent="0.25">
      <c r="D169" s="146" t="s">
        <v>323</v>
      </c>
    </row>
    <row r="170" spans="2:6" x14ac:dyDescent="0.25">
      <c r="D170" s="147" t="s">
        <v>324</v>
      </c>
    </row>
  </sheetData>
  <mergeCells count="20">
    <mergeCell ref="B43:D43"/>
    <mergeCell ref="B2:B4"/>
    <mergeCell ref="C2:C4"/>
    <mergeCell ref="D2:D4"/>
    <mergeCell ref="C25:D25"/>
    <mergeCell ref="B26:D26"/>
    <mergeCell ref="C54:D54"/>
    <mergeCell ref="C63:D63"/>
    <mergeCell ref="B76:D76"/>
    <mergeCell ref="B77:D77"/>
    <mergeCell ref="B78:D78"/>
    <mergeCell ref="B130:D130"/>
    <mergeCell ref="B154:D154"/>
    <mergeCell ref="C155:D155"/>
    <mergeCell ref="F103:F127"/>
    <mergeCell ref="B86:D86"/>
    <mergeCell ref="B101:D101"/>
    <mergeCell ref="B102:D102"/>
    <mergeCell ref="B113:D113"/>
    <mergeCell ref="C129:D129"/>
  </mergeCells>
  <conditionalFormatting sqref="C7">
    <cfRule type="containsText" dxfId="156" priority="46" operator="containsText" text="GRANDS COMPTES">
      <formula>NOT(ISERROR(SEARCH("GRANDS COMPTES",C7)))</formula>
    </cfRule>
    <cfRule type="containsText" dxfId="155" priority="47" operator="containsText" text="STANDARD">
      <formula>NOT(ISERROR(SEARCH("STANDARD",C7)))</formula>
    </cfRule>
    <cfRule type="containsText" dxfId="154" priority="48" operator="containsText" text="PREMIUM">
      <formula>NOT(ISERROR(SEARCH("PREMIUM",C7)))</formula>
    </cfRule>
    <cfRule type="containsText" dxfId="153" priority="49" operator="containsText" text="CIRANO">
      <formula>NOT(ISERROR(SEARCH("CIRANO",C7)))</formula>
    </cfRule>
    <cfRule type="cellIs" dxfId="152" priority="50" operator="equal">
      <formula>"""CIRANO"""</formula>
    </cfRule>
  </conditionalFormatting>
  <conditionalFormatting sqref="C9">
    <cfRule type="cellIs" dxfId="151" priority="40" operator="equal">
      <formula>"Industrie"</formula>
    </cfRule>
    <cfRule type="cellIs" dxfId="150" priority="41" operator="equal">
      <formula>"Énergie"</formula>
    </cfRule>
    <cfRule type="cellIs" dxfId="149" priority="42" operator="equal">
      <formula>"Digital"</formula>
    </cfRule>
    <cfRule type="cellIs" dxfId="148" priority="43" operator="equal">
      <formula>"Biotech"</formula>
    </cfRule>
  </conditionalFormatting>
  <conditionalFormatting sqref="C18:C20">
    <cfRule type="containsText" dxfId="147" priority="28" operator="containsText" text="GRANDS COMPTES">
      <formula>NOT(ISERROR(SEARCH("GRANDS COMPTES",C18)))</formula>
    </cfRule>
    <cfRule type="containsText" dxfId="146" priority="29" operator="containsText" text="STANDARD">
      <formula>NOT(ISERROR(SEARCH("STANDARD",C18)))</formula>
    </cfRule>
    <cfRule type="containsText" dxfId="145" priority="30" operator="containsText" text="PREMIUM">
      <formula>NOT(ISERROR(SEARCH("PREMIUM",C18)))</formula>
    </cfRule>
    <cfRule type="containsText" dxfId="144" priority="31" operator="containsText" text="CIRANO">
      <formula>NOT(ISERROR(SEARCH("CIRANO",C18)))</formula>
    </cfRule>
    <cfRule type="cellIs" dxfId="143" priority="32" operator="equal">
      <formula>"""CIRANO"""</formula>
    </cfRule>
  </conditionalFormatting>
  <conditionalFormatting sqref="C21">
    <cfRule type="containsText" dxfId="142" priority="21" operator="containsText" text="GRANDS COMPTES">
      <formula>NOT(ISERROR(SEARCH("GRANDS COMPTES",C21)))</formula>
    </cfRule>
    <cfRule type="containsText" dxfId="141" priority="22" operator="containsText" text="STANDARD">
      <formula>NOT(ISERROR(SEARCH("STANDARD",C21)))</formula>
    </cfRule>
    <cfRule type="containsText" dxfId="140" priority="23" operator="containsText" text="PREMIUM">
      <formula>NOT(ISERROR(SEARCH("PREMIUM",C21)))</formula>
    </cfRule>
    <cfRule type="containsText" dxfId="139" priority="24" operator="containsText" text="CIRANO">
      <formula>NOT(ISERROR(SEARCH("CIRANO",C21)))</formula>
    </cfRule>
    <cfRule type="cellIs" dxfId="138" priority="25" operator="equal">
      <formula>"""CIRANO"""</formula>
    </cfRule>
  </conditionalFormatting>
  <conditionalFormatting sqref="C22:C23">
    <cfRule type="containsText" dxfId="137" priority="14" operator="containsText" text="GRANDS COMPTES">
      <formula>NOT(ISERROR(SEARCH("GRANDS COMPTES",C22)))</formula>
    </cfRule>
    <cfRule type="containsText" dxfId="136" priority="15" operator="containsText" text="STANDARD">
      <formula>NOT(ISERROR(SEARCH("STANDARD",C22)))</formula>
    </cfRule>
    <cfRule type="containsText" dxfId="135" priority="16" operator="containsText" text="PREMIUM">
      <formula>NOT(ISERROR(SEARCH("PREMIUM",C22)))</formula>
    </cfRule>
    <cfRule type="containsText" dxfId="134" priority="17" operator="containsText" text="CIRANO">
      <formula>NOT(ISERROR(SEARCH("CIRANO",C22)))</formula>
    </cfRule>
    <cfRule type="cellIs" dxfId="133" priority="18" operator="equal">
      <formula>"""CIRANO"""</formula>
    </cfRule>
  </conditionalFormatting>
  <conditionalFormatting sqref="C6">
    <cfRule type="containsText" dxfId="132" priority="4" operator="containsText" text="GRANDS COMPTES">
      <formula>NOT(ISERROR(SEARCH("GRANDS COMPTES",C6)))</formula>
    </cfRule>
    <cfRule type="containsText" dxfId="131" priority="5" operator="containsText" text="STANDARD">
      <formula>NOT(ISERROR(SEARCH("STANDARD",C6)))</formula>
    </cfRule>
    <cfRule type="containsText" dxfId="130" priority="6" operator="containsText" text="PREMIUM">
      <formula>NOT(ISERROR(SEARCH("PREMIUM",C6)))</formula>
    </cfRule>
    <cfRule type="containsText" dxfId="129" priority="7" operator="containsText" text="CIRANO">
      <formula>NOT(ISERROR(SEARCH("CIRANO",C6)))</formula>
    </cfRule>
    <cfRule type="cellIs" dxfId="128" priority="8" operator="equal">
      <formula>"""CIRANO"""</formula>
    </cfRule>
  </conditionalFormatting>
  <conditionalFormatting sqref="C166:D166 C55:D55 C79:D79 C98:D98 D169:D170 C151:D151 C136:D137 C73:D73 C60:D60 C52:D52 C41:D41 B2:D2">
    <cfRule type="expression" dxfId="127" priority="73">
      <formula>#REF!="CII"</formula>
    </cfRule>
  </conditionalFormatting>
  <conditionalFormatting sqref="C8 B5:B23">
    <cfRule type="expression" dxfId="126" priority="96">
      <formula>#REF!="CIR"</formula>
    </cfRule>
    <cfRule type="expression" dxfId="125" priority="97">
      <formula>#REF!="CII"</formula>
    </cfRule>
  </conditionalFormatting>
  <conditionalFormatting sqref="C10:C14 C16:C22">
    <cfRule type="expression" dxfId="124" priority="102">
      <formula>#REF!="CII"</formula>
    </cfRule>
  </conditionalFormatting>
  <conditionalFormatting sqref="E1:E1048576">
    <cfRule type="containsText" dxfId="123" priority="1" operator="containsText" text="VRAI">
      <formula>NOT(ISERROR(SEARCH("VRAI",E1)))</formula>
    </cfRule>
    <cfRule type="containsText" dxfId="122" priority="2" operator="containsText" text="FAUX">
      <formula>NOT(ISERROR(SEARCH("FAUX",E1)))</formula>
    </cfRule>
  </conditionalFormatting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EE86E-62ED-4814-9BBC-6F87B2FCD299}">
  <sheetPr codeName="Feuil11">
    <tabColor theme="1" tint="0.499984740745262"/>
  </sheetPr>
  <dimension ref="B2:G13"/>
  <sheetViews>
    <sheetView showGridLines="0" zoomScale="130" zoomScaleNormal="130" workbookViewId="0">
      <selection activeCell="J27" sqref="J27"/>
    </sheetView>
  </sheetViews>
  <sheetFormatPr baseColWidth="10" defaultColWidth="11.42578125" defaultRowHeight="15" x14ac:dyDescent="0.25"/>
  <cols>
    <col min="1" max="1" width="6.7109375" customWidth="1"/>
    <col min="2" max="2" width="20.7109375" bestFit="1" customWidth="1"/>
    <col min="3" max="3" width="18.28515625" bestFit="1" customWidth="1"/>
    <col min="4" max="4" width="60.7109375" customWidth="1"/>
    <col min="5" max="5" width="11.7109375" customWidth="1"/>
    <col min="6" max="6" width="21.5703125" bestFit="1" customWidth="1"/>
    <col min="7" max="7" width="20.7109375" bestFit="1" customWidth="1"/>
  </cols>
  <sheetData>
    <row r="2" spans="2:7" ht="16.5" thickBot="1" x14ac:dyDescent="0.35">
      <c r="B2" s="160" t="s">
        <v>325</v>
      </c>
      <c r="C2" s="177" t="str">
        <f>'2069 A'!C5</f>
        <v>01/01/2025</v>
      </c>
      <c r="D2" s="177" t="str">
        <f>'2069 A'!D5</f>
        <v>31/12/2025</v>
      </c>
    </row>
    <row r="3" spans="2:7" ht="16.5" thickBot="1" x14ac:dyDescent="0.35">
      <c r="B3" s="160" t="s">
        <v>73</v>
      </c>
      <c r="C3" s="541" t="str">
        <f>'2069 A'!C6</f>
        <v>BIOCELLIS</v>
      </c>
      <c r="D3" s="541"/>
      <c r="G3" s="178"/>
    </row>
    <row r="4" spans="2:7" ht="16.5" thickBot="1" x14ac:dyDescent="0.35">
      <c r="B4" s="160" t="s">
        <v>74</v>
      </c>
      <c r="C4" s="542">
        <f>'2069 A'!C7</f>
        <v>932229230</v>
      </c>
      <c r="D4" s="541"/>
      <c r="G4" s="179"/>
    </row>
    <row r="5" spans="2:7" ht="16.5" thickBot="1" x14ac:dyDescent="0.35">
      <c r="B5" s="160" t="s">
        <v>75</v>
      </c>
      <c r="C5" s="541" t="str">
        <f>'2069 A'!C8</f>
        <v>7211Z</v>
      </c>
      <c r="D5" s="541"/>
      <c r="G5" s="180"/>
    </row>
    <row r="6" spans="2:7" ht="16.5" thickBot="1" x14ac:dyDescent="0.35">
      <c r="B6" s="160" t="s">
        <v>76</v>
      </c>
      <c r="C6" s="541" t="str">
        <f>'2069 A'!C9</f>
        <v>B1</v>
      </c>
      <c r="D6" s="541"/>
      <c r="G6" s="181"/>
    </row>
    <row r="7" spans="2:7" ht="16.5" thickBot="1" x14ac:dyDescent="0.35">
      <c r="B7" s="160" t="s">
        <v>77</v>
      </c>
      <c r="C7" s="543" t="str">
        <f>'2069 A'!C10</f>
        <v>BATIMENT BIOPOLIS, 5 AVENUE DU GRAND SABLON, 38700 LA TRONCHE</v>
      </c>
      <c r="D7" s="541"/>
    </row>
    <row r="10" spans="2:7" ht="16.5" thickBot="1" x14ac:dyDescent="0.35">
      <c r="B10" s="183" t="s">
        <v>326</v>
      </c>
      <c r="C10" s="183"/>
      <c r="D10" s="184"/>
      <c r="E10" s="183" t="s">
        <v>327</v>
      </c>
      <c r="F10" s="185"/>
      <c r="G10" s="183"/>
    </row>
    <row r="11" spans="2:7" ht="16.5" thickBot="1" x14ac:dyDescent="0.35">
      <c r="B11" s="522" t="s">
        <v>328</v>
      </c>
      <c r="C11" s="522" t="s">
        <v>329</v>
      </c>
      <c r="D11" s="522" t="s">
        <v>330</v>
      </c>
      <c r="E11" s="522" t="s">
        <v>331</v>
      </c>
      <c r="F11" s="522" t="s">
        <v>332</v>
      </c>
      <c r="G11" s="522" t="s">
        <v>333</v>
      </c>
    </row>
    <row r="12" spans="2:7" x14ac:dyDescent="0.25">
      <c r="B12">
        <v>775684897</v>
      </c>
      <c r="C12" t="s">
        <v>949</v>
      </c>
      <c r="D12" t="s">
        <v>951</v>
      </c>
      <c r="E12" t="s">
        <v>13</v>
      </c>
      <c r="F12" t="s">
        <v>1013</v>
      </c>
      <c r="G12" s="149">
        <v>52917</v>
      </c>
    </row>
    <row r="13" spans="2:7" x14ac:dyDescent="0.25">
      <c r="B13" s="194" t="s">
        <v>335</v>
      </c>
      <c r="C13" s="194"/>
      <c r="D13" s="194"/>
      <c r="E13" s="194"/>
      <c r="F13" s="194"/>
      <c r="G13" s="195">
        <v>52917</v>
      </c>
    </row>
  </sheetData>
  <mergeCells count="5">
    <mergeCell ref="C3:D3"/>
    <mergeCell ref="C4:D4"/>
    <mergeCell ref="C5:D5"/>
    <mergeCell ref="C6:D6"/>
    <mergeCell ref="C7:D7"/>
  </mergeCells>
  <conditionalFormatting sqref="G3:G4">
    <cfRule type="containsText" dxfId="121" priority="7" operator="containsText" text="GRANDS COMPTES">
      <formula>NOT(ISERROR(SEARCH("GRANDS COMPTES",G3)))</formula>
    </cfRule>
    <cfRule type="containsText" dxfId="120" priority="8" operator="containsText" text="STANDARD">
      <formula>NOT(ISERROR(SEARCH("STANDARD",G3)))</formula>
    </cfRule>
    <cfRule type="containsText" dxfId="119" priority="9" operator="containsText" text="PREMIUM">
      <formula>NOT(ISERROR(SEARCH("PREMIUM",G3)))</formula>
    </cfRule>
    <cfRule type="containsText" dxfId="118" priority="10" operator="containsText" text="CIRANO">
      <formula>NOT(ISERROR(SEARCH("CIRANO",G3)))</formula>
    </cfRule>
    <cfRule type="cellIs" dxfId="117" priority="11" operator="equal">
      <formula>"""CIRANO"""</formula>
    </cfRule>
  </conditionalFormatting>
  <conditionalFormatting sqref="G5">
    <cfRule type="expression" dxfId="116" priority="16">
      <formula>$P$3="CIR"</formula>
    </cfRule>
    <cfRule type="expression" dxfId="115" priority="17">
      <formula>$P$3="CII"</formula>
    </cfRule>
  </conditionalFormatting>
  <conditionalFormatting sqref="G6">
    <cfRule type="cellIs" dxfId="114" priority="12" operator="equal">
      <formula>"Industrie"</formula>
    </cfRule>
    <cfRule type="cellIs" dxfId="113" priority="13" operator="equal">
      <formula>"Énergie"</formula>
    </cfRule>
    <cfRule type="cellIs" dxfId="112" priority="14" operator="equal">
      <formula>"Digital"</formula>
    </cfRule>
    <cfRule type="cellIs" dxfId="111" priority="15" operator="equal">
      <formula>"Biotech"</formula>
    </cfRule>
  </conditionalFormatting>
  <conditionalFormatting sqref="B2:B7">
    <cfRule type="expression" dxfId="110" priority="5">
      <formula>#REF!="CIR"</formula>
    </cfRule>
    <cfRule type="expression" dxfId="109" priority="6">
      <formula>#REF!="CII"</formula>
    </cfRule>
  </conditionalFormatting>
  <conditionalFormatting sqref="B10:G10">
    <cfRule type="expression" dxfId="108" priority="3">
      <formula>#REF!="CIR"</formula>
    </cfRule>
    <cfRule type="expression" dxfId="107" priority="4">
      <formula>#REF!="CII"</formula>
    </cfRule>
  </conditionalFormatting>
  <conditionalFormatting sqref="B11:G11">
    <cfRule type="expression" dxfId="106" priority="1">
      <formula>#REF!="CIR"</formula>
    </cfRule>
    <cfRule type="expression" dxfId="105" priority="2">
      <formula>#REF!="CII"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C7846-B320-432C-A1C5-EC40C1374784}">
  <sheetPr codeName="Feuil2">
    <tabColor theme="6"/>
  </sheetPr>
  <dimension ref="A1:P29"/>
  <sheetViews>
    <sheetView showGridLines="0" topLeftCell="A4" workbookViewId="0">
      <selection activeCell="C13" sqref="C13"/>
    </sheetView>
  </sheetViews>
  <sheetFormatPr baseColWidth="10" defaultColWidth="11.42578125" defaultRowHeight="15" x14ac:dyDescent="0.25"/>
  <cols>
    <col min="1" max="1" width="36" bestFit="1" customWidth="1"/>
    <col min="2" max="2" width="12.5703125" bestFit="1" customWidth="1"/>
    <col min="3" max="3" width="23.28515625" customWidth="1"/>
    <col min="4" max="5" width="21.140625" customWidth="1"/>
    <col min="6" max="6" width="22.7109375" customWidth="1"/>
    <col min="7" max="7" width="14.5703125" customWidth="1"/>
  </cols>
  <sheetData>
    <row r="1" spans="1:16" ht="18" x14ac:dyDescent="0.25">
      <c r="A1" s="545" t="s">
        <v>336</v>
      </c>
      <c r="B1" s="545"/>
      <c r="C1" s="25" t="str">
        <f>IF(B2="oui","Date début d'exercice","")</f>
        <v/>
      </c>
      <c r="D1" s="25" t="str">
        <f>IF(B2="oui","Date fin d'exercice","")</f>
        <v/>
      </c>
    </row>
    <row r="2" spans="1:16" ht="36" x14ac:dyDescent="0.55000000000000004">
      <c r="A2" s="3" t="s">
        <v>337</v>
      </c>
      <c r="B2" s="1" t="s">
        <v>28</v>
      </c>
      <c r="C2" s="2"/>
      <c r="D2" s="2"/>
      <c r="G2" s="212" t="str">
        <f>IF(OR(ISBLANK(B2),ISBLANK(B3),ISBLANK(B4),ISBLANK(B5),ISBLANK(B6),ISBLANK(B7),ISBLANK(B8),ISBLANK(B9),ISBLANK(B10),ISBLANK(B13)),"Saisie du formulaire non finalisée","")</f>
        <v/>
      </c>
      <c r="P2" s="298"/>
    </row>
    <row r="3" spans="1:16" ht="16.5" x14ac:dyDescent="0.3">
      <c r="A3" s="3" t="s">
        <v>85</v>
      </c>
      <c r="B3" s="1" t="s">
        <v>15</v>
      </c>
      <c r="C3" s="2"/>
      <c r="D3" s="2"/>
      <c r="P3" s="298"/>
    </row>
    <row r="4" spans="1:16" ht="16.5" x14ac:dyDescent="0.3">
      <c r="A4" s="3" t="s">
        <v>12</v>
      </c>
      <c r="B4" s="1" t="s">
        <v>15</v>
      </c>
      <c r="C4" s="2"/>
      <c r="D4" s="2"/>
      <c r="P4" s="298"/>
    </row>
    <row r="5" spans="1:16" ht="16.5" x14ac:dyDescent="0.3">
      <c r="A5" s="3" t="s">
        <v>338</v>
      </c>
      <c r="B5" s="1" t="s">
        <v>28</v>
      </c>
      <c r="C5" s="2"/>
      <c r="D5" s="2"/>
      <c r="P5" s="298"/>
    </row>
    <row r="6" spans="1:16" ht="16.5" x14ac:dyDescent="0.3">
      <c r="A6" s="3" t="s">
        <v>339</v>
      </c>
      <c r="B6" s="1" t="s">
        <v>18</v>
      </c>
      <c r="C6" s="2"/>
      <c r="D6" s="2"/>
      <c r="P6" s="298"/>
    </row>
    <row r="7" spans="1:16" ht="16.5" x14ac:dyDescent="0.3">
      <c r="A7" s="3" t="s">
        <v>340</v>
      </c>
      <c r="B7" s="1" t="s">
        <v>13</v>
      </c>
      <c r="C7" s="28" t="s">
        <v>341</v>
      </c>
      <c r="D7" s="28" t="s">
        <v>342</v>
      </c>
      <c r="E7" s="28" t="s">
        <v>343</v>
      </c>
      <c r="P7" s="298"/>
    </row>
    <row r="8" spans="1:16" ht="16.5" x14ac:dyDescent="0.3">
      <c r="A8" s="3" t="s">
        <v>344</v>
      </c>
      <c r="B8" s="1" t="s">
        <v>56</v>
      </c>
      <c r="C8" s="1" t="s">
        <v>868</v>
      </c>
      <c r="D8" s="1" t="s">
        <v>869</v>
      </c>
      <c r="E8" s="1" t="s">
        <v>870</v>
      </c>
      <c r="P8" s="298"/>
    </row>
    <row r="9" spans="1:16" s="54" customFormat="1" ht="81" customHeight="1" x14ac:dyDescent="0.25">
      <c r="A9" s="51" t="s">
        <v>345</v>
      </c>
      <c r="B9" s="52" t="s">
        <v>15</v>
      </c>
      <c r="C9" s="55" t="str">
        <f>IF(B9="oui","est ce que le CR est classé ?",IF(B9="non","La préparation de la matrice peut être initiée mais le chiffrage ne doit pas être fait",IF(B9="en cours","Se rapprocher du RTE pour faire valider le périmètre","")))</f>
        <v>est ce que le CR est classé ?</v>
      </c>
      <c r="D9" s="53"/>
      <c r="P9" s="299"/>
    </row>
    <row r="10" spans="1:16" ht="16.5" x14ac:dyDescent="0.25">
      <c r="A10" s="51" t="s">
        <v>346</v>
      </c>
      <c r="B10" s="52">
        <v>2025</v>
      </c>
      <c r="C10" s="156" t="str">
        <f>IF(ISBLANK(B10),"",IF(B10&lt;2023,"le Cerfa de cette matrice n'est pas compatible, les regles de calcul ne sont pas les mêmes",""))</f>
        <v/>
      </c>
      <c r="P10" s="298"/>
    </row>
    <row r="11" spans="1:16" ht="18" x14ac:dyDescent="0.35">
      <c r="D11" s="434" t="s">
        <v>828</v>
      </c>
      <c r="E11" s="434"/>
      <c r="F11" s="434"/>
      <c r="H11" s="434" t="s">
        <v>347</v>
      </c>
      <c r="I11" s="434"/>
      <c r="J11" s="434"/>
      <c r="P11" s="298"/>
    </row>
    <row r="12" spans="1:16" ht="18" x14ac:dyDescent="0.25">
      <c r="C12" s="435" t="s">
        <v>829</v>
      </c>
      <c r="D12" s="435" t="s">
        <v>13</v>
      </c>
      <c r="E12" s="435" t="s">
        <v>27</v>
      </c>
      <c r="F12" s="435" t="s">
        <v>38</v>
      </c>
      <c r="G12" s="435" t="s">
        <v>348</v>
      </c>
      <c r="H12" s="435" t="s">
        <v>13</v>
      </c>
      <c r="I12" s="435" t="s">
        <v>27</v>
      </c>
      <c r="J12" s="435" t="s">
        <v>38</v>
      </c>
      <c r="P12" s="298"/>
    </row>
    <row r="13" spans="1:16" ht="18" x14ac:dyDescent="0.25">
      <c r="A13" s="51" t="s">
        <v>349</v>
      </c>
      <c r="B13" s="432" t="s">
        <v>66</v>
      </c>
      <c r="C13" s="523">
        <f>0.05*SYNTHESE!C30</f>
        <v>1892.4048165100296</v>
      </c>
      <c r="D13" s="436">
        <f>IFERROR(C13*SYNTHESE!C28/(SYNTHESE!C28+SYNTHESE!D28+SYNTHESE!G28),0)</f>
        <v>1892.4048165100296</v>
      </c>
      <c r="E13" s="436">
        <f>IFERROR(C13*SYNTHESE!D28/(SYNTHESE!C28+SYNTHESE!D28+SYNTHESE!G28),0)</f>
        <v>0</v>
      </c>
      <c r="F13" s="436">
        <f>IFERROR(C13*SYNTHESE!G28/(SYNTHESE!C28+SYNTHESE!D28+SYNTHESE!G28),0)</f>
        <v>0</v>
      </c>
      <c r="G13" s="437"/>
      <c r="H13" s="436">
        <f>IFERROR((G13-B15)*SYNTHESE!J28/(SYNTHESE!J28+SYNTHESE!K28+SYNTHESE!L28),0)</f>
        <v>0</v>
      </c>
      <c r="I13" s="436">
        <f>IFERROR((G13-B15)*SYNTHESE!K28/(SYNTHESE!J28+SYNTHESE!K28+SYNTHESE!L28),0)</f>
        <v>0</v>
      </c>
      <c r="J13" s="436">
        <f>IFERROR((G13-B15)*SYNTHESE!L28/(SYNTHESE!J28+SYNTHESE!K28+SYNTHESE!L28),0)</f>
        <v>0</v>
      </c>
      <c r="L13" t="b">
        <f>C13=SUM(D13:F13)</f>
        <v>1</v>
      </c>
      <c r="M13" t="b">
        <f>G13-B15=SUM(H13:J13)</f>
        <v>1</v>
      </c>
      <c r="P13" s="298"/>
    </row>
    <row r="14" spans="1:16" ht="29.45" customHeight="1" x14ac:dyDescent="0.25">
      <c r="A14" s="224" t="s">
        <v>350</v>
      </c>
      <c r="B14" s="433"/>
      <c r="C14" s="436"/>
      <c r="D14" s="436"/>
      <c r="E14" s="436"/>
      <c r="F14" s="436"/>
      <c r="G14" s="436"/>
      <c r="H14" s="436">
        <f>IFERROR((G13-B14)*H13/G13,0)</f>
        <v>0</v>
      </c>
      <c r="I14" s="436">
        <f>IFERROR((G13-B14)*I13/G13,0)</f>
        <v>0</v>
      </c>
      <c r="J14" s="436">
        <f>IFERROR((G13-B14)*J13/G13,0)</f>
        <v>0</v>
      </c>
      <c r="P14" s="298"/>
    </row>
    <row r="15" spans="1:16" ht="31.15" customHeight="1" x14ac:dyDescent="0.25">
      <c r="A15" s="224" t="s">
        <v>351</v>
      </c>
      <c r="B15" s="201"/>
      <c r="P15" s="298"/>
    </row>
    <row r="16" spans="1:16" x14ac:dyDescent="0.25">
      <c r="P16" s="298"/>
    </row>
    <row r="17" spans="1:16" ht="88.15" customHeight="1" x14ac:dyDescent="0.25">
      <c r="A17" s="225" t="s">
        <v>352</v>
      </c>
      <c r="B17" s="226"/>
      <c r="P17" s="298"/>
    </row>
    <row r="20" spans="1:16" ht="16.5" x14ac:dyDescent="0.25">
      <c r="A20" s="51" t="s">
        <v>353</v>
      </c>
      <c r="B20" s="208" t="b">
        <v>0</v>
      </c>
    </row>
    <row r="21" spans="1:16" ht="16.5" x14ac:dyDescent="0.25">
      <c r="A21" s="51" t="s">
        <v>354</v>
      </c>
      <c r="B21" s="208" t="b">
        <v>1</v>
      </c>
    </row>
    <row r="24" spans="1:16" s="56" customFormat="1" ht="49.5" x14ac:dyDescent="0.25">
      <c r="C24" s="213" t="s">
        <v>355</v>
      </c>
      <c r="D24" s="213" t="s">
        <v>356</v>
      </c>
      <c r="E24" s="213" t="s">
        <v>357</v>
      </c>
      <c r="F24" s="213" t="s">
        <v>358</v>
      </c>
    </row>
    <row r="25" spans="1:16" x14ac:dyDescent="0.25">
      <c r="A25" s="544" t="s">
        <v>359</v>
      </c>
      <c r="B25" s="544"/>
      <c r="C25" s="42" t="str">
        <f>IF(SUM(VALO_AMO!B:C)&gt;0,"FAUX","VRAI")</f>
        <v>VRAI</v>
      </c>
      <c r="D25" t="b">
        <f>SYNTHESE!C5='REP cout'!E5</f>
        <v>1</v>
      </c>
      <c r="E25" t="b">
        <f>SYNTHESE!D5='REP cout'!K33</f>
        <v>1</v>
      </c>
      <c r="F25" t="b">
        <f>SYNTHESE!G5='REP cout'!Q33</f>
        <v>1</v>
      </c>
    </row>
    <row r="26" spans="1:16" x14ac:dyDescent="0.25">
      <c r="A26" s="544" t="s">
        <v>360</v>
      </c>
      <c r="B26" s="544"/>
      <c r="C26" s="42" t="str">
        <f>IF(SUM(VALO_PERSO!B:C)&gt;0,"FAUX","VRAI")</f>
        <v>VRAI</v>
      </c>
      <c r="D26" t="b">
        <f>SYNTHESE!C6+SYNTHESE!C7='REP cout'!E6+'REP cout'!E7</f>
        <v>1</v>
      </c>
      <c r="E26" t="b">
        <f>SYNTHESE!D6='REP cout'!K34</f>
        <v>1</v>
      </c>
      <c r="F26" t="b">
        <f>SYNTHESE!G6='REP cout'!Q34</f>
        <v>1</v>
      </c>
    </row>
    <row r="27" spans="1:16" x14ac:dyDescent="0.25">
      <c r="A27" s="544" t="s">
        <v>361</v>
      </c>
      <c r="B27" s="544"/>
      <c r="C27" t="s">
        <v>362</v>
      </c>
      <c r="D27" t="b">
        <f>SYNTHESE!C8='REP cout'!E8</f>
        <v>1</v>
      </c>
      <c r="E27" t="s">
        <v>362</v>
      </c>
      <c r="F27" t="b">
        <f>SYNTHESE!G8='REP cout'!Q35</f>
        <v>1</v>
      </c>
    </row>
    <row r="28" spans="1:16" x14ac:dyDescent="0.25">
      <c r="A28" s="544" t="s">
        <v>363</v>
      </c>
      <c r="B28" s="544"/>
      <c r="C28" s="42" t="str">
        <f>IF(SUM(VALO_BREVET!B:B)&gt;0,"FAUX","VRAI")</f>
        <v>VRAI</v>
      </c>
      <c r="D28" s="42" t="b">
        <f>SYNTHESE!C9+SYNTHESE!C10+SYNTHESE!C13='REP cout'!E9+'REP cout'!E10+'REP cout'!E13</f>
        <v>1</v>
      </c>
      <c r="E28" s="42" t="b">
        <f>SYNTHESE!D9+SYNTHESE!D10='REP cout'!K35+'REP cout'!K36</f>
        <v>1</v>
      </c>
      <c r="F28" s="42" t="b">
        <f>SYNTHESE!G9+SYNTHESE!G10='REP cout'!Q36+'REP cout'!Q37</f>
        <v>1</v>
      </c>
    </row>
    <row r="29" spans="1:16" x14ac:dyDescent="0.25">
      <c r="A29" s="544" t="s">
        <v>364</v>
      </c>
      <c r="B29" s="544"/>
      <c r="C29" t="str">
        <f>IF(SUM(VALO_ST!B:B)&gt;0,"FAUX","VRAI")</f>
        <v>VRAI</v>
      </c>
      <c r="D29" t="b">
        <f>SYNTHESE!C15+SYNTHESE!C16+SYNTHESE!C17+SYNTHESE!C18='REP cout'!E15+'REP cout'!E16+'REP cout'!E17+'REP cout'!E18</f>
        <v>1</v>
      </c>
      <c r="E29" t="b">
        <f>SYNTHESE!D15='REP cout'!K37</f>
        <v>1</v>
      </c>
      <c r="F29" t="b">
        <f>SYNTHESE!G15='REP cout'!Q38</f>
        <v>1</v>
      </c>
    </row>
  </sheetData>
  <mergeCells count="6">
    <mergeCell ref="A29:B29"/>
    <mergeCell ref="A1:B1"/>
    <mergeCell ref="A25:B25"/>
    <mergeCell ref="A26:B26"/>
    <mergeCell ref="A27:B27"/>
    <mergeCell ref="A28:B28"/>
  </mergeCells>
  <conditionalFormatting sqref="C1:D2">
    <cfRule type="expression" dxfId="94" priority="6">
      <formula>$B$2="oui"</formula>
    </cfRule>
  </conditionalFormatting>
  <conditionalFormatting sqref="D9">
    <cfRule type="expression" dxfId="93" priority="5">
      <formula>$B$9="oui"</formula>
    </cfRule>
  </conditionalFormatting>
  <conditionalFormatting sqref="C25:F29">
    <cfRule type="containsText" dxfId="92" priority="3" operator="containsText" text="FAUX">
      <formula>NOT(ISERROR(SEARCH("FAUX",C25)))</formula>
    </cfRule>
    <cfRule type="containsText" dxfId="91" priority="4" operator="containsText" text="VRAI">
      <formula>NOT(ISERROR(SEARCH("VRAI",C25)))</formula>
    </cfRule>
  </conditionalFormatting>
  <conditionalFormatting sqref="L1:M1048576">
    <cfRule type="containsText" dxfId="90" priority="1" operator="containsText" text="VRAI">
      <formula>NOT(ISERROR(SEARCH("VRAI",L1)))</formula>
    </cfRule>
    <cfRule type="containsText" dxfId="89" priority="2" operator="containsText" text="FAUX">
      <formula>NOT(ISERROR(SEARCH("FAUX",L1)))</formula>
    </cfRule>
  </conditionalFormatting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A2DE4A32-0504-4CBA-9BAD-58BA74C3E38A}">
          <x14:formula1>
            <xm:f>parametrage!$H$2:$H$3</xm:f>
          </x14:formula1>
          <xm:sqref>B2:B5</xm:sqref>
        </x14:dataValidation>
        <x14:dataValidation type="list" allowBlank="1" showInputMessage="1" showErrorMessage="1" xr:uid="{FA4DBA87-9CCD-4738-BB8B-B286F9D60F20}">
          <x14:formula1>
            <xm:f>parametrage!$I$2:$I$4</xm:f>
          </x14:formula1>
          <xm:sqref>B6</xm:sqref>
        </x14:dataValidation>
        <x14:dataValidation type="list" allowBlank="1" showInputMessage="1" showErrorMessage="1" xr:uid="{91467261-5BF6-494B-8C00-A87C4E6FF316}">
          <x14:formula1>
            <xm:f>parametrage!$A$2:$A$10</xm:f>
          </x14:formula1>
          <xm:sqref>B7</xm:sqref>
        </x14:dataValidation>
        <x14:dataValidation type="list" allowBlank="1" showInputMessage="1" showErrorMessage="1" xr:uid="{FE498E99-C13E-43EF-91D4-D8ECA50CCEB7}">
          <x14:formula1>
            <xm:f>parametrage!$J$2:$J$6</xm:f>
          </x14:formula1>
          <xm:sqref>B8</xm:sqref>
        </x14:dataValidation>
        <x14:dataValidation type="list" allowBlank="1" showInputMessage="1" showErrorMessage="1" xr:uid="{594232BD-649B-4B8A-B9C8-C2548C88BEAF}">
          <x14:formula1>
            <xm:f>parametrage!$K$2:$K$4</xm:f>
          </x14:formula1>
          <xm:sqref>B9</xm:sqref>
        </x14:dataValidation>
        <x14:dataValidation type="list" allowBlank="1" showInputMessage="1" showErrorMessage="1" xr:uid="{0302201D-ED84-4659-969B-7F176D89A1A1}">
          <x14:formula1>
            <xm:f>parametrage!$I$13:$I$15</xm:f>
          </x14:formula1>
          <xm:sqref>B13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1A8D2-3EFB-483B-A634-5ABE2A964801}">
  <sheetPr codeName="Feuil9"/>
  <dimension ref="A2:W46"/>
  <sheetViews>
    <sheetView showGridLines="0" workbookViewId="0">
      <selection activeCell="D29" sqref="D29"/>
    </sheetView>
  </sheetViews>
  <sheetFormatPr baseColWidth="10" defaultColWidth="11.42578125" defaultRowHeight="15" x14ac:dyDescent="0.25"/>
  <cols>
    <col min="1" max="1" width="45.5703125" customWidth="1"/>
    <col min="2" max="2" width="18.28515625" customWidth="1"/>
    <col min="3" max="7" width="12.140625" customWidth="1"/>
    <col min="8" max="8" width="14.140625" customWidth="1"/>
    <col min="9" max="10" width="12.42578125" customWidth="1"/>
  </cols>
  <sheetData>
    <row r="2" spans="1:23" ht="24" x14ac:dyDescent="0.4">
      <c r="A2" s="196" t="s">
        <v>365</v>
      </c>
    </row>
    <row r="4" spans="1:23" ht="25.5" x14ac:dyDescent="0.25">
      <c r="A4" s="198" t="s">
        <v>366</v>
      </c>
      <c r="B4" s="198" t="s">
        <v>367</v>
      </c>
      <c r="C4" s="198" t="s">
        <v>368</v>
      </c>
      <c r="D4" s="198" t="s">
        <v>369</v>
      </c>
      <c r="E4" s="198" t="s">
        <v>804</v>
      </c>
      <c r="F4" s="198" t="s">
        <v>805</v>
      </c>
      <c r="G4" s="198" t="s">
        <v>806</v>
      </c>
      <c r="H4" s="198" t="s">
        <v>48</v>
      </c>
      <c r="I4" s="198" t="s">
        <v>370</v>
      </c>
      <c r="J4" s="199" t="s">
        <v>371</v>
      </c>
      <c r="K4" s="200" t="s">
        <v>372</v>
      </c>
      <c r="L4" s="198" t="s">
        <v>373</v>
      </c>
      <c r="M4" s="199" t="s">
        <v>374</v>
      </c>
      <c r="N4" s="200" t="s">
        <v>372</v>
      </c>
      <c r="O4" s="198" t="s">
        <v>375</v>
      </c>
      <c r="P4" s="199" t="s">
        <v>376</v>
      </c>
      <c r="Q4" s="200" t="s">
        <v>372</v>
      </c>
      <c r="R4" s="198" t="s">
        <v>377</v>
      </c>
      <c r="S4" s="199" t="s">
        <v>378</v>
      </c>
      <c r="T4" s="200" t="s">
        <v>372</v>
      </c>
      <c r="U4" s="198" t="s">
        <v>379</v>
      </c>
      <c r="V4" s="199" t="s">
        <v>380</v>
      </c>
      <c r="W4" s="200" t="s">
        <v>372</v>
      </c>
    </row>
    <row r="5" spans="1:23" x14ac:dyDescent="0.25">
      <c r="A5" s="201"/>
      <c r="B5" s="201"/>
      <c r="C5" s="201"/>
      <c r="D5" s="201"/>
      <c r="E5" s="201"/>
      <c r="F5" s="201"/>
      <c r="G5" s="201"/>
      <c r="H5" s="201">
        <f>IFERROR((F5-G5)/G5,0)</f>
        <v>0</v>
      </c>
      <c r="I5" s="201"/>
      <c r="J5" s="201"/>
      <c r="K5" s="201">
        <f>IFERROR((I5-J5)/J5,0)</f>
        <v>0</v>
      </c>
      <c r="L5" s="201"/>
      <c r="M5" s="201"/>
      <c r="N5" s="201">
        <f>IFERROR((L5-M5)/M5,0)</f>
        <v>0</v>
      </c>
      <c r="O5" s="201"/>
      <c r="P5" s="201"/>
      <c r="Q5" s="201">
        <f>IFERROR((O5-P5)/P5,0)</f>
        <v>0</v>
      </c>
      <c r="R5" s="201"/>
      <c r="S5" s="201"/>
      <c r="T5" s="201">
        <f>IFERROR((R5-S5)/S5,0)</f>
        <v>0</v>
      </c>
    </row>
    <row r="6" spans="1:23" x14ac:dyDescent="0.25">
      <c r="A6" s="201"/>
      <c r="B6" s="201"/>
      <c r="C6" s="201"/>
      <c r="D6" s="201"/>
      <c r="E6" s="201"/>
      <c r="F6" s="201"/>
      <c r="G6" s="201"/>
      <c r="H6" s="201"/>
      <c r="I6" s="201"/>
      <c r="J6" s="201"/>
      <c r="K6" s="201"/>
      <c r="L6" s="201"/>
      <c r="M6" s="201"/>
      <c r="N6" s="201"/>
      <c r="O6" s="201"/>
      <c r="P6" s="201"/>
      <c r="Q6" s="201"/>
      <c r="R6" s="201"/>
      <c r="S6" s="201"/>
      <c r="T6" s="201"/>
    </row>
    <row r="7" spans="1:23" x14ac:dyDescent="0.25">
      <c r="A7" s="201"/>
      <c r="B7" s="201"/>
      <c r="C7" s="201"/>
      <c r="D7" s="201"/>
      <c r="E7" s="201"/>
      <c r="F7" s="201"/>
      <c r="G7" s="201"/>
      <c r="H7" s="201"/>
      <c r="I7" s="201"/>
      <c r="J7" s="201"/>
      <c r="K7" s="201"/>
      <c r="L7" s="201"/>
      <c r="M7" s="201"/>
      <c r="N7" s="201"/>
      <c r="O7" s="201"/>
      <c r="P7" s="201"/>
      <c r="Q7" s="201"/>
      <c r="R7" s="201"/>
      <c r="S7" s="201"/>
      <c r="T7" s="201"/>
    </row>
    <row r="8" spans="1:23" x14ac:dyDescent="0.25">
      <c r="A8" t="s">
        <v>819</v>
      </c>
    </row>
    <row r="11" spans="1:23" ht="24" x14ac:dyDescent="0.4">
      <c r="A11" s="196" t="s">
        <v>381</v>
      </c>
    </row>
    <row r="13" spans="1:23" ht="38.25" x14ac:dyDescent="0.25">
      <c r="A13" s="198" t="s">
        <v>382</v>
      </c>
      <c r="B13" s="198" t="s">
        <v>383</v>
      </c>
      <c r="C13" s="198" t="s">
        <v>384</v>
      </c>
      <c r="D13" s="198" t="s">
        <v>385</v>
      </c>
      <c r="E13" s="198" t="s">
        <v>386</v>
      </c>
      <c r="F13" s="198" t="s">
        <v>387</v>
      </c>
      <c r="G13" s="202" t="s">
        <v>388</v>
      </c>
    </row>
    <row r="14" spans="1:23" x14ac:dyDescent="0.25">
      <c r="A14" s="201"/>
      <c r="B14" s="201"/>
      <c r="C14" s="201"/>
      <c r="D14" s="201"/>
      <c r="E14" s="201"/>
      <c r="F14" s="201"/>
      <c r="G14" s="201"/>
    </row>
    <row r="15" spans="1:23" x14ac:dyDescent="0.25">
      <c r="A15" s="201"/>
      <c r="B15" s="201"/>
      <c r="C15" s="201"/>
      <c r="D15" s="201"/>
      <c r="E15" s="201"/>
      <c r="F15" s="201"/>
      <c r="G15" s="201"/>
    </row>
    <row r="16" spans="1:23" x14ac:dyDescent="0.25">
      <c r="A16" s="201"/>
      <c r="B16" s="201"/>
      <c r="C16" s="201"/>
      <c r="D16" s="201"/>
      <c r="E16" s="201"/>
      <c r="F16" s="201"/>
      <c r="G16" s="201"/>
    </row>
    <row r="17" spans="1:3" x14ac:dyDescent="0.25">
      <c r="A17" t="s">
        <v>820</v>
      </c>
    </row>
    <row r="20" spans="1:3" ht="62.25" x14ac:dyDescent="0.4">
      <c r="A20" s="196" t="s">
        <v>389</v>
      </c>
      <c r="B20" s="56" t="s">
        <v>822</v>
      </c>
      <c r="C20" s="197" t="s">
        <v>390</v>
      </c>
    </row>
    <row r="21" spans="1:3" ht="16.899999999999999" customHeight="1" x14ac:dyDescent="0.25">
      <c r="A21" t="s">
        <v>391</v>
      </c>
    </row>
    <row r="22" spans="1:3" x14ac:dyDescent="0.25">
      <c r="A22" s="198" t="s">
        <v>392</v>
      </c>
      <c r="B22" s="198" t="s">
        <v>393</v>
      </c>
    </row>
    <row r="23" spans="1:3" x14ac:dyDescent="0.25">
      <c r="A23" s="201"/>
      <c r="B23" s="201"/>
    </row>
    <row r="24" spans="1:3" x14ac:dyDescent="0.25">
      <c r="A24" s="201"/>
      <c r="B24" s="201"/>
    </row>
    <row r="25" spans="1:3" x14ac:dyDescent="0.25">
      <c r="A25" t="s">
        <v>821</v>
      </c>
    </row>
    <row r="27" spans="1:3" ht="62.25" x14ac:dyDescent="0.4">
      <c r="A27" s="196" t="s">
        <v>394</v>
      </c>
      <c r="B27" s="56" t="s">
        <v>822</v>
      </c>
      <c r="C27" s="197" t="s">
        <v>390</v>
      </c>
    </row>
    <row r="28" spans="1:3" x14ac:dyDescent="0.25">
      <c r="A28" t="s">
        <v>391</v>
      </c>
    </row>
    <row r="29" spans="1:3" x14ac:dyDescent="0.25">
      <c r="A29" s="198" t="s">
        <v>392</v>
      </c>
      <c r="B29" s="198" t="s">
        <v>393</v>
      </c>
    </row>
    <row r="30" spans="1:3" x14ac:dyDescent="0.25">
      <c r="A30" s="201"/>
      <c r="B30" s="201"/>
    </row>
    <row r="31" spans="1:3" x14ac:dyDescent="0.25">
      <c r="A31" s="201"/>
      <c r="B31" s="201"/>
    </row>
    <row r="32" spans="1:3" x14ac:dyDescent="0.25">
      <c r="A32" t="s">
        <v>821</v>
      </c>
    </row>
    <row r="34" spans="1:5" ht="62.25" x14ac:dyDescent="0.4">
      <c r="A34" s="196" t="s">
        <v>395</v>
      </c>
      <c r="B34" s="56" t="s">
        <v>822</v>
      </c>
      <c r="C34" s="197" t="s">
        <v>390</v>
      </c>
    </row>
    <row r="35" spans="1:5" x14ac:dyDescent="0.25">
      <c r="A35" t="s">
        <v>391</v>
      </c>
    </row>
    <row r="36" spans="1:5" x14ac:dyDescent="0.25">
      <c r="A36" s="198" t="s">
        <v>392</v>
      </c>
      <c r="B36" s="198" t="s">
        <v>393</v>
      </c>
    </row>
    <row r="37" spans="1:5" x14ac:dyDescent="0.25">
      <c r="A37" s="201"/>
      <c r="B37" s="201"/>
    </row>
    <row r="38" spans="1:5" x14ac:dyDescent="0.25">
      <c r="A38" s="201"/>
      <c r="B38" s="201"/>
    </row>
    <row r="39" spans="1:5" x14ac:dyDescent="0.25">
      <c r="A39" t="s">
        <v>821</v>
      </c>
    </row>
    <row r="41" spans="1:5" ht="47.25" x14ac:dyDescent="0.4">
      <c r="A41" s="196" t="s">
        <v>396</v>
      </c>
      <c r="B41" s="56" t="s">
        <v>825</v>
      </c>
      <c r="C41" s="197" t="s">
        <v>390</v>
      </c>
    </row>
    <row r="43" spans="1:5" ht="38.25" x14ac:dyDescent="0.25">
      <c r="A43" s="198" t="s">
        <v>397</v>
      </c>
      <c r="B43" s="198" t="s">
        <v>823</v>
      </c>
      <c r="C43" s="198" t="s">
        <v>824</v>
      </c>
      <c r="D43" s="198" t="s">
        <v>398</v>
      </c>
      <c r="E43" s="198"/>
    </row>
    <row r="44" spans="1:5" x14ac:dyDescent="0.25">
      <c r="A44" s="201"/>
      <c r="B44" s="201"/>
      <c r="C44" s="201"/>
      <c r="D44" s="201"/>
      <c r="E44" s="201"/>
    </row>
    <row r="45" spans="1:5" x14ac:dyDescent="0.25">
      <c r="A45" s="201"/>
      <c r="B45" s="201"/>
      <c r="C45" s="201"/>
      <c r="D45" s="201"/>
      <c r="E45" s="201"/>
    </row>
    <row r="46" spans="1:5" x14ac:dyDescent="0.25">
      <c r="A46" s="201"/>
      <c r="B46" s="201"/>
      <c r="C46" s="201"/>
      <c r="D46" s="201"/>
      <c r="E46" s="201"/>
    </row>
  </sheetData>
  <conditionalFormatting sqref="G13">
    <cfRule type="expression" dxfId="88" priority="103">
      <formula>$R$4="CIR"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InsererLigneMultiple">
                <anchor moveWithCells="1" sizeWithCells="1">
                  <from>
                    <xdr:col>0</xdr:col>
                    <xdr:colOff>819150</xdr:colOff>
                    <xdr:row>0</xdr:row>
                    <xdr:rowOff>9525</xdr:rowOff>
                  </from>
                  <to>
                    <xdr:col>0</xdr:col>
                    <xdr:colOff>2571750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5CC30-0504-4733-B75E-B07FC33A742C}">
  <sheetPr codeName="Feuil28">
    <tabColor theme="6" tint="0.79998168889431442"/>
  </sheetPr>
  <dimension ref="B1:O30"/>
  <sheetViews>
    <sheetView zoomScale="115" zoomScaleNormal="115" workbookViewId="0">
      <selection activeCell="C27" sqref="C27"/>
    </sheetView>
  </sheetViews>
  <sheetFormatPr baseColWidth="10" defaultColWidth="10.85546875" defaultRowHeight="15" outlineLevelRow="2" outlineLevelCol="1" x14ac:dyDescent="0.3"/>
  <cols>
    <col min="1" max="1" width="10.85546875" style="4"/>
    <col min="2" max="2" width="78.28515625" style="4" bestFit="1" customWidth="1"/>
    <col min="3" max="4" width="10.85546875" style="4" customWidth="1" outlineLevel="1"/>
    <col min="5" max="5" width="0.28515625" style="4" customWidth="1" outlineLevel="1"/>
    <col min="6" max="6" width="0.7109375" style="4" customWidth="1"/>
    <col min="7" max="7" width="0.28515625" style="4" customWidth="1" outlineLevel="1"/>
    <col min="8" max="8" width="0.7109375" style="4" customWidth="1"/>
    <col min="9" max="9" width="10.85546875" style="4"/>
    <col min="10" max="10" width="10.85546875" style="4" customWidth="1" outlineLevel="1"/>
    <col min="11" max="12" width="10.85546875" style="4"/>
    <col min="13" max="13" width="24.42578125" style="4" bestFit="1" customWidth="1"/>
    <col min="14" max="14" width="10.85546875" style="4"/>
    <col min="15" max="15" width="21.42578125" style="4" bestFit="1" customWidth="1"/>
    <col min="16" max="16384" width="10.85546875" style="4"/>
  </cols>
  <sheetData>
    <row r="1" spans="2:15" ht="8.4499999999999993" customHeight="1" x14ac:dyDescent="0.3"/>
    <row r="2" spans="2:15" x14ac:dyDescent="0.3">
      <c r="C2" s="9">
        <v>2025</v>
      </c>
      <c r="D2" s="9">
        <v>2023</v>
      </c>
      <c r="E2" s="24"/>
      <c r="F2" s="24"/>
      <c r="G2" s="24"/>
      <c r="I2" s="9">
        <v>2023</v>
      </c>
      <c r="J2" s="9">
        <v>2023</v>
      </c>
    </row>
    <row r="3" spans="2:15" ht="6.95" customHeight="1" thickBot="1" x14ac:dyDescent="0.35"/>
    <row r="4" spans="2:15" x14ac:dyDescent="0.3">
      <c r="B4" s="10" t="s">
        <v>399</v>
      </c>
      <c r="C4" s="20" t="s">
        <v>27</v>
      </c>
      <c r="D4" s="20" t="s">
        <v>13</v>
      </c>
      <c r="E4" s="34"/>
      <c r="F4" s="34"/>
      <c r="G4" s="34"/>
      <c r="H4" s="32"/>
      <c r="I4" s="20" t="s">
        <v>27</v>
      </c>
      <c r="J4" s="20" t="s">
        <v>27</v>
      </c>
    </row>
    <row r="5" spans="2:15" x14ac:dyDescent="0.3">
      <c r="B5" s="6" t="s">
        <v>359</v>
      </c>
      <c r="C5" s="11">
        <f>VALO_AMO!R26</f>
        <v>0</v>
      </c>
      <c r="D5" s="11"/>
      <c r="E5" s="35"/>
      <c r="F5" s="35"/>
      <c r="G5" s="35"/>
      <c r="H5" s="32"/>
      <c r="I5" s="217"/>
      <c r="J5" s="11"/>
    </row>
    <row r="6" spans="2:15" x14ac:dyDescent="0.3">
      <c r="B6" s="6" t="s">
        <v>360</v>
      </c>
      <c r="C6" s="11">
        <f>VALO_PERSO!AR16</f>
        <v>191683.92696977462</v>
      </c>
      <c r="D6" s="11"/>
      <c r="E6" s="35"/>
      <c r="F6" s="35"/>
      <c r="G6" s="35"/>
      <c r="H6" s="32"/>
      <c r="I6" s="217"/>
      <c r="J6" s="11"/>
    </row>
    <row r="7" spans="2:15" x14ac:dyDescent="0.3">
      <c r="B7" s="6" t="s">
        <v>400</v>
      </c>
      <c r="C7" s="11">
        <f>VALO_PERSO!AR14</f>
        <v>0</v>
      </c>
      <c r="D7" s="41"/>
      <c r="E7" s="35"/>
      <c r="F7" s="35"/>
      <c r="G7" s="35"/>
      <c r="H7" s="32"/>
      <c r="I7" s="217"/>
      <c r="J7" s="11"/>
    </row>
    <row r="8" spans="2:15" x14ac:dyDescent="0.3">
      <c r="B8" s="6" t="s">
        <v>401</v>
      </c>
      <c r="C8" s="11" t="b">
        <f>IF(AND(C2&gt;=2023,C2&lt;=2024,C4="CIR"),C6*0.43+C5*0.75,
IF(AND(C2=2025,C4="CIR"),C6*0.4+C5*0.75,IF(C4="CIC",C6*0.75+C5*0.75)))</f>
        <v>0</v>
      </c>
      <c r="D8" s="11">
        <f>IF(AND(D2&gt;=2023,D2&lt;=2024,D4="CIR"),D6*0.43+D5*0.75,
IF(AND(D2=2025,D4="CIR"),D6*0.4+D5*0.75,IF(D4="CIC",D6*0.75+D5*0.75)))</f>
        <v>0</v>
      </c>
      <c r="E8" s="35"/>
      <c r="F8" s="35"/>
      <c r="G8" s="35"/>
      <c r="H8" s="32"/>
      <c r="I8" s="217"/>
      <c r="J8" s="11"/>
    </row>
    <row r="9" spans="2:15" outlineLevel="2" x14ac:dyDescent="0.3">
      <c r="B9" s="6" t="s">
        <v>402</v>
      </c>
      <c r="E9" s="35"/>
      <c r="F9" s="35"/>
      <c r="G9" s="35"/>
      <c r="H9" s="32"/>
      <c r="I9" s="217"/>
      <c r="J9" s="11"/>
    </row>
    <row r="10" spans="2:15" outlineLevel="2" x14ac:dyDescent="0.3">
      <c r="B10" s="6" t="s">
        <v>403</v>
      </c>
      <c r="C10" s="11">
        <f>VALO_BREVET!P29+'VALO-autres dépenses CIR'!J39</f>
        <v>0</v>
      </c>
      <c r="D10" s="11">
        <f>VALO_BREVET!R29</f>
        <v>0</v>
      </c>
      <c r="E10" s="35"/>
      <c r="F10" s="35"/>
      <c r="G10" s="35"/>
      <c r="H10" s="32"/>
      <c r="I10" s="217"/>
      <c r="J10" s="11"/>
    </row>
    <row r="11" spans="2:15" outlineLevel="2" x14ac:dyDescent="0.3">
      <c r="B11" s="6" t="s">
        <v>404</v>
      </c>
      <c r="C11" s="11">
        <f>VALO_AMO!R24</f>
        <v>0</v>
      </c>
      <c r="D11" s="41"/>
      <c r="E11" s="35"/>
      <c r="F11" s="35"/>
      <c r="G11" s="35"/>
      <c r="H11" s="32"/>
      <c r="I11" s="217"/>
      <c r="J11" s="11"/>
    </row>
    <row r="12" spans="2:15" outlineLevel="2" x14ac:dyDescent="0.3">
      <c r="B12" s="6" t="s">
        <v>405</v>
      </c>
      <c r="C12" s="11">
        <f>'VALO-autres dépenses CIR'!J38</f>
        <v>0</v>
      </c>
      <c r="D12" s="41"/>
      <c r="E12" s="35"/>
      <c r="F12" s="35"/>
      <c r="G12" s="35"/>
      <c r="H12" s="32"/>
      <c r="I12" s="217"/>
      <c r="J12" s="11"/>
    </row>
    <row r="13" spans="2:15" outlineLevel="2" x14ac:dyDescent="0.3">
      <c r="B13" s="6" t="s">
        <v>406</v>
      </c>
      <c r="C13" s="11">
        <f>VALO_BREVET!P30</f>
        <v>0</v>
      </c>
      <c r="D13" s="41"/>
      <c r="E13" s="35"/>
      <c r="F13" s="35"/>
      <c r="G13" s="35"/>
      <c r="H13" s="32"/>
      <c r="I13" s="217"/>
      <c r="J13" s="11"/>
    </row>
    <row r="14" spans="2:15" outlineLevel="2" x14ac:dyDescent="0.3">
      <c r="B14" s="6" t="s">
        <v>407</v>
      </c>
      <c r="C14" s="11">
        <f>'VALO-autres dépenses CIR'!J41</f>
        <v>0</v>
      </c>
      <c r="D14" s="41"/>
      <c r="E14" s="35"/>
      <c r="F14" s="35"/>
      <c r="G14" s="35"/>
      <c r="H14" s="32"/>
      <c r="I14" s="217"/>
      <c r="J14" s="11"/>
    </row>
    <row r="15" spans="2:15" outlineLevel="1" x14ac:dyDescent="0.3">
      <c r="B15" s="6" t="s">
        <v>408</v>
      </c>
      <c r="C15" s="11">
        <f>VALO_ST!V8</f>
        <v>52917</v>
      </c>
      <c r="D15" s="11">
        <f>VALO_ST!X6</f>
        <v>0</v>
      </c>
      <c r="E15" s="35"/>
      <c r="F15" s="35"/>
      <c r="G15" s="35"/>
      <c r="H15" s="32"/>
      <c r="I15" s="217"/>
      <c r="J15" s="11"/>
      <c r="M15" s="157" t="s">
        <v>409</v>
      </c>
      <c r="N15" s="157" t="s">
        <v>410</v>
      </c>
      <c r="O15" s="157" t="s">
        <v>411</v>
      </c>
    </row>
    <row r="16" spans="2:15" outlineLevel="1" x14ac:dyDescent="0.3">
      <c r="B16" s="6" t="s">
        <v>412</v>
      </c>
      <c r="C16" s="11">
        <f>VALO_ST!V10</f>
        <v>0</v>
      </c>
      <c r="D16" s="41"/>
      <c r="E16" s="35"/>
      <c r="F16" s="35"/>
      <c r="G16" s="35"/>
      <c r="H16" s="32"/>
      <c r="I16" s="217"/>
      <c r="J16" s="11"/>
      <c r="M16" s="158" t="s">
        <v>413</v>
      </c>
      <c r="N16" s="158" t="str">
        <f>IF((C17+C18)&gt;2000000,"Non","Ok")</f>
        <v>Ok</v>
      </c>
      <c r="O16" s="159" t="str">
        <f>IF(N16="Non",2000000,"")</f>
        <v/>
      </c>
    </row>
    <row r="17" spans="2:15" outlineLevel="1" x14ac:dyDescent="0.3">
      <c r="B17" s="6" t="s">
        <v>414</v>
      </c>
      <c r="C17" s="11">
        <f>VALO_ST!V9</f>
        <v>0</v>
      </c>
      <c r="D17" s="41"/>
      <c r="E17" s="35"/>
      <c r="F17" s="35"/>
      <c r="G17" s="35"/>
      <c r="H17" s="32"/>
      <c r="I17" s="217"/>
      <c r="J17" s="11"/>
      <c r="M17" s="158" t="s">
        <v>415</v>
      </c>
      <c r="N17" s="158" t="str">
        <f>IF(SUM(C15:C18)&gt;10000000,"Non","Ok")</f>
        <v>Ok</v>
      </c>
      <c r="O17" s="159" t="str">
        <f>IF(N17="Non",10000000,"")</f>
        <v/>
      </c>
    </row>
    <row r="18" spans="2:15" outlineLevel="1" x14ac:dyDescent="0.3">
      <c r="B18" s="6" t="s">
        <v>416</v>
      </c>
      <c r="C18" s="11">
        <f>VALO_ST!V11</f>
        <v>0</v>
      </c>
      <c r="D18" s="41"/>
      <c r="E18" s="35"/>
      <c r="F18" s="35"/>
      <c r="G18" s="35"/>
      <c r="H18" s="32"/>
      <c r="I18" s="217"/>
      <c r="J18" s="11"/>
      <c r="M18" s="158" t="s">
        <v>417</v>
      </c>
      <c r="N18" s="158" t="str">
        <f>IF(SUM(C5:C14)*3&lt;SUM(C15:C18),"non","Ok")</f>
        <v>Ok</v>
      </c>
      <c r="O18" s="159" t="str">
        <f>IF(N18="Non",SUM(C5:C14)*3,"")</f>
        <v/>
      </c>
    </row>
    <row r="19" spans="2:15" ht="15.75" thickBot="1" x14ac:dyDescent="0.35">
      <c r="B19" s="7" t="s">
        <v>418</v>
      </c>
      <c r="C19" s="13">
        <f>IF(N18="Non",O18+SUM(C5:C14),IF(N17="Non",O17+SUM(C5:C14),IF(N16="Non",O16+SUM(C5:C16),SUM(C5:C18))))</f>
        <v>244600.92696977462</v>
      </c>
      <c r="D19" s="13">
        <f>SUM(D5:D18)</f>
        <v>0</v>
      </c>
      <c r="E19" s="36"/>
      <c r="F19" s="36"/>
      <c r="G19" s="36"/>
      <c r="H19" s="32"/>
      <c r="I19" s="14"/>
      <c r="J19" s="13"/>
    </row>
    <row r="20" spans="2:15" ht="7.5" customHeight="1" thickBot="1" x14ac:dyDescent="0.35"/>
    <row r="21" spans="2:15" outlineLevel="2" x14ac:dyDescent="0.3">
      <c r="B21" s="8" t="s">
        <v>419</v>
      </c>
      <c r="C21" s="211"/>
      <c r="D21" s="211"/>
      <c r="E21" s="193"/>
      <c r="F21" s="193"/>
      <c r="I21" s="219"/>
      <c r="J21" s="211"/>
    </row>
    <row r="22" spans="2:15" outlineLevel="2" x14ac:dyDescent="0.3">
      <c r="B22" s="6" t="s">
        <v>420</v>
      </c>
      <c r="C22" s="11"/>
      <c r="D22" s="11"/>
      <c r="E22" s="193"/>
      <c r="F22" s="193"/>
      <c r="I22" s="217"/>
      <c r="J22" s="11"/>
    </row>
    <row r="23" spans="2:15" outlineLevel="1" x14ac:dyDescent="0.3">
      <c r="B23" s="6" t="s">
        <v>421</v>
      </c>
      <c r="C23" s="11"/>
      <c r="D23" s="11"/>
      <c r="E23" s="193"/>
      <c r="F23" s="193"/>
      <c r="I23" s="217"/>
      <c r="J23" s="11"/>
    </row>
    <row r="24" spans="2:15" outlineLevel="1" x14ac:dyDescent="0.3">
      <c r="B24" s="6" t="s">
        <v>422</v>
      </c>
      <c r="C24" s="11">
        <f>-IF('parametres chiffrage'!$B$13=parametrage!$I$14,0,IF('parametres chiffrage'!$B$13=parametrage!$I$13,'parametres chiffrage'!H13,IF('parametres chiffrage'!$B$13=parametrage!$I$15,'parametres chiffrage'!H14,"")))</f>
        <v>0</v>
      </c>
      <c r="D24" s="11">
        <f>-IF('parametres chiffrage'!$B$13=parametrage!$I$14,0,IF('parametres chiffrage'!$B$13=parametrage!$I$13,'parametres chiffrage'!I13,IF('parametres chiffrage'!$B$13=parametrage!$I$15,'parametres chiffrage'!I14,"")))</f>
        <v>0</v>
      </c>
      <c r="E24" s="193"/>
      <c r="F24" s="193"/>
      <c r="I24" s="217"/>
      <c r="J24" s="11"/>
    </row>
    <row r="25" spans="2:15" ht="15.75" thickBot="1" x14ac:dyDescent="0.35">
      <c r="B25" s="7" t="s">
        <v>423</v>
      </c>
      <c r="C25" s="13">
        <f>C19+SUM(C21:C24)</f>
        <v>244600.92696977462</v>
      </c>
      <c r="D25" s="13">
        <f>IF(D19&gt;400000,400000+SUM(D21:D24),SUM(D19:D24))</f>
        <v>0</v>
      </c>
      <c r="E25" s="36"/>
      <c r="F25" s="36"/>
      <c r="G25" s="36"/>
      <c r="I25" s="14"/>
      <c r="J25" s="13"/>
    </row>
    <row r="26" spans="2:15" ht="15" customHeight="1" thickBot="1" x14ac:dyDescent="0.35"/>
    <row r="27" spans="2:15" x14ac:dyDescent="0.3">
      <c r="B27" s="8" t="s">
        <v>424</v>
      </c>
      <c r="C27" s="429" cm="1">
        <f t="array" ref="C27">_xlfn.IFS(C4="CIR",30%,(C4="CII")*((C2=2025)),20%,C4="CIC",30%,C4="CIMA",10%,C4="CIMA EPV",15%,C4="CICO",50%,(C4="CII")*((C2=2024)+(C2=2023)),30%)</f>
        <v>0.2</v>
      </c>
      <c r="D27" s="429" t="s">
        <v>830</v>
      </c>
      <c r="E27" s="37"/>
      <c r="F27" s="37"/>
      <c r="G27" s="37"/>
      <c r="I27" s="429" cm="1">
        <f t="array" ref="I27">_xlfn.IFS(I4="CIR",30%,(I4="CII")*((I2=2025)),20%,I4="CIC",30%,I4="CIMA",10%,I4="CIMA EPV",15%,I4="CICO",50%,(I4="CII")*((I2=2024)+(I2=2023)),30%)</f>
        <v>0.3</v>
      </c>
      <c r="J27" s="429" cm="1">
        <f t="array" ref="J27">_xlfn.IFS(J4="CIR",30%,(J4="CII")*((J2=2025)),20%,J4="CIC",30%,J4="CIMA",10%,J4="CIMA EPV",15%,J4="CICO",50%,(J4="CII")*((J2=2024)+(J2=2023)),30%)</f>
        <v>0.3</v>
      </c>
    </row>
    <row r="28" spans="2:15" ht="15.75" thickBot="1" x14ac:dyDescent="0.35">
      <c r="B28" s="7" t="s">
        <v>425</v>
      </c>
      <c r="C28" s="428">
        <f>C27*C25</f>
        <v>48920.185393954926</v>
      </c>
      <c r="D28" s="13" t="e">
        <f>D27*D25</f>
        <v>#VALUE!</v>
      </c>
      <c r="E28" s="36"/>
      <c r="F28" s="36"/>
      <c r="G28" s="36"/>
      <c r="I28" s="14"/>
      <c r="J28" s="13"/>
    </row>
    <row r="30" spans="2:15" ht="15.75" thickBot="1" x14ac:dyDescent="0.35">
      <c r="B30" s="7" t="s">
        <v>426</v>
      </c>
      <c r="C30" s="221" t="e">
        <f>C28+D28+#REF!+#REF!</f>
        <v>#VALUE!</v>
      </c>
      <c r="D30" s="221"/>
      <c r="E30" s="221"/>
      <c r="F30" s="221"/>
      <c r="I30" s="222" t="e">
        <f>I28+J28+#REF!</f>
        <v>#REF!</v>
      </c>
      <c r="J30" s="22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3" name="Button 1">
              <controlPr defaultSize="0" print="0" autoFill="0" autoPict="0" macro="[0]!Macro1">
                <anchor moveWithCells="1" sizeWithCells="1">
                  <from>
                    <xdr:col>11</xdr:col>
                    <xdr:colOff>47625</xdr:colOff>
                    <xdr:row>1</xdr:row>
                    <xdr:rowOff>161925</xdr:rowOff>
                  </from>
                  <to>
                    <xdr:col>12</xdr:col>
                    <xdr:colOff>571500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4" name="Button 2">
              <controlPr defaultSize="0" print="0" autoFill="0" autoPict="0" macro="[0]!Macro2">
                <anchor moveWithCells="1" sizeWithCells="1">
                  <from>
                    <xdr:col>11</xdr:col>
                    <xdr:colOff>66675</xdr:colOff>
                    <xdr:row>5</xdr:row>
                    <xdr:rowOff>104775</xdr:rowOff>
                  </from>
                  <to>
                    <xdr:col>12</xdr:col>
                    <xdr:colOff>571500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5" name="Button 3">
              <controlPr defaultSize="0" print="0" autoFill="0" autoPict="0" macro="[0]!TS_Valeur">
                <anchor moveWithCells="1" sizeWithCells="1">
                  <from>
                    <xdr:col>11</xdr:col>
                    <xdr:colOff>57150</xdr:colOff>
                    <xdr:row>8</xdr:row>
                    <xdr:rowOff>180975</xdr:rowOff>
                  </from>
                  <to>
                    <xdr:col>12</xdr:col>
                    <xdr:colOff>552450</xdr:colOff>
                    <xdr:row>11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8D40FDE-2A36-4664-9953-97A136A0BDCA}">
          <x14:formula1>
            <xm:f>parametrage!$C$28:$C$35</xm:f>
          </x14:formula1>
          <xm:sqref>C2:D2 I2:J2</xm:sqref>
        </x14:dataValidation>
        <x14:dataValidation type="list" allowBlank="1" showInputMessage="1" showErrorMessage="1" xr:uid="{82331E11-C560-4FCF-8FE2-14000D8E2465}">
          <x14:formula1>
            <xm:f>parametrage!$A$28:$A$33</xm:f>
          </x14:formula1>
          <xm:sqref>C4:D4 I4:J4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E3E34-6EB7-4C4E-AFAC-4EAF27D51A09}">
  <sheetPr codeName="Feuil3">
    <tabColor theme="6" tint="0.79998168889431442"/>
  </sheetPr>
  <dimension ref="B1:V46"/>
  <sheetViews>
    <sheetView showGridLines="0" zoomScaleNormal="100" workbookViewId="0">
      <selection activeCell="P51" sqref="P51"/>
    </sheetView>
  </sheetViews>
  <sheetFormatPr baseColWidth="10" defaultColWidth="10.85546875" defaultRowHeight="15" outlineLevelRow="2" outlineLevelCol="2" x14ac:dyDescent="0.3"/>
  <cols>
    <col min="1" max="1" width="10.85546875" style="4"/>
    <col min="2" max="2" width="78.28515625" style="4" bestFit="1" customWidth="1"/>
    <col min="3" max="3" width="10.85546875" style="4" customWidth="1" outlineLevel="1"/>
    <col min="4" max="4" width="10.85546875" style="4" hidden="1" customWidth="1" outlineLevel="1"/>
    <col min="5" max="5" width="0.28515625" style="4" hidden="1" customWidth="1" outlineLevel="1"/>
    <col min="6" max="6" width="0.140625" style="4" hidden="1" customWidth="1"/>
    <col min="7" max="7" width="10.85546875" style="4" hidden="1" customWidth="1" outlineLevel="1"/>
    <col min="8" max="8" width="0.28515625" style="4" hidden="1" customWidth="1" outlineLevel="1"/>
    <col min="9" max="9" width="0.7109375" style="4" hidden="1" customWidth="1" collapsed="1"/>
    <col min="10" max="10" width="0" style="4" hidden="1" customWidth="1"/>
    <col min="11" max="11" width="10.85546875" style="4" hidden="1" customWidth="1" outlineLevel="1"/>
    <col min="12" max="12" width="10.85546875" style="4" hidden="1" customWidth="1" outlineLevel="2"/>
    <col min="13" max="13" width="9.5703125" style="4" customWidth="1" collapsed="1"/>
    <col min="14" max="14" width="10.85546875" style="4"/>
    <col min="15" max="15" width="14.42578125" style="4" customWidth="1"/>
    <col min="16" max="16" width="33" style="4" bestFit="1" customWidth="1"/>
    <col min="17" max="17" width="8.7109375" style="4" bestFit="1" customWidth="1"/>
    <col min="18" max="18" width="22.5703125" style="4" bestFit="1" customWidth="1"/>
    <col min="19" max="19" width="10.85546875" style="4"/>
    <col min="20" max="20" width="12" style="4" bestFit="1" customWidth="1"/>
    <col min="21" max="16384" width="10.85546875" style="4"/>
  </cols>
  <sheetData>
    <row r="1" spans="2:18" ht="8.4499999999999993" customHeight="1" x14ac:dyDescent="0.3"/>
    <row r="2" spans="2:18" x14ac:dyDescent="0.3">
      <c r="C2" s="9">
        <f>'parametres chiffrage'!B10</f>
        <v>2025</v>
      </c>
      <c r="D2" s="9">
        <f>'parametres chiffrage'!B10</f>
        <v>2025</v>
      </c>
      <c r="E2" s="24"/>
      <c r="F2" s="24"/>
      <c r="G2" s="9">
        <f>'parametres chiffrage'!B10</f>
        <v>2025</v>
      </c>
      <c r="H2" s="24"/>
      <c r="J2" s="210">
        <f>'parametres chiffrage'!B10-1</f>
        <v>2024</v>
      </c>
      <c r="K2" s="210"/>
      <c r="L2" s="210"/>
    </row>
    <row r="3" spans="2:18" ht="6.95" customHeight="1" thickBot="1" x14ac:dyDescent="0.35"/>
    <row r="4" spans="2:18" x14ac:dyDescent="0.3">
      <c r="B4" s="10" t="s">
        <v>399</v>
      </c>
      <c r="C4" s="20" t="s">
        <v>13</v>
      </c>
      <c r="D4" s="20" t="s">
        <v>27</v>
      </c>
      <c r="E4" s="34"/>
      <c r="F4" s="34"/>
      <c r="G4" s="20" t="s">
        <v>38</v>
      </c>
      <c r="H4" s="34"/>
      <c r="I4" s="32"/>
      <c r="J4" s="38" t="s">
        <v>13</v>
      </c>
      <c r="K4" s="39" t="s">
        <v>27</v>
      </c>
      <c r="L4" s="40" t="s">
        <v>38</v>
      </c>
      <c r="P4" s="157"/>
      <c r="Q4" s="157" t="s">
        <v>836</v>
      </c>
      <c r="R4" s="157" t="s">
        <v>604</v>
      </c>
    </row>
    <row r="5" spans="2:18" x14ac:dyDescent="0.3">
      <c r="B5" s="6" t="s">
        <v>359</v>
      </c>
      <c r="C5" s="11">
        <f>VALO_AMO!R26</f>
        <v>0</v>
      </c>
      <c r="D5" s="11">
        <f>VALO_AMO!W22</f>
        <v>0</v>
      </c>
      <c r="E5" s="35"/>
      <c r="F5" s="35"/>
      <c r="G5" s="11">
        <f>VALO_AMO!AB4</f>
        <v>0</v>
      </c>
      <c r="H5" s="35"/>
      <c r="I5" s="32"/>
      <c r="J5" s="217"/>
      <c r="K5" s="11"/>
      <c r="L5" s="218"/>
      <c r="P5" s="158" t="s">
        <v>834</v>
      </c>
      <c r="Q5" s="158">
        <v>251</v>
      </c>
      <c r="R5" s="431">
        <v>1</v>
      </c>
    </row>
    <row r="6" spans="2:18" x14ac:dyDescent="0.3">
      <c r="B6" s="6" t="s">
        <v>360</v>
      </c>
      <c r="C6" s="11">
        <f>VALO_PERSO!AR12-'Calcul FF'!O18/2</f>
        <v>191683.92696977462</v>
      </c>
      <c r="D6" s="11">
        <f>VALO_PERSO!AV12</f>
        <v>0</v>
      </c>
      <c r="E6" s="35"/>
      <c r="F6" s="35"/>
      <c r="G6" s="11">
        <f>VALO_PERSO!AZ12</f>
        <v>0</v>
      </c>
      <c r="H6" s="35"/>
      <c r="I6" s="32"/>
      <c r="J6" s="217"/>
      <c r="K6" s="11"/>
      <c r="L6" s="218"/>
      <c r="P6" s="158" t="s">
        <v>835</v>
      </c>
      <c r="Q6" s="158">
        <v>32</v>
      </c>
      <c r="R6" s="431">
        <f>Q6/Q5</f>
        <v>0.12749003984063745</v>
      </c>
    </row>
    <row r="7" spans="2:18" hidden="1" x14ac:dyDescent="0.3">
      <c r="B7" s="6" t="s">
        <v>400</v>
      </c>
      <c r="C7" s="11">
        <f>'Calcul FF'!O18</f>
        <v>0</v>
      </c>
      <c r="D7" s="41"/>
      <c r="E7" s="35"/>
      <c r="F7" s="35"/>
      <c r="G7" s="41"/>
      <c r="H7" s="35"/>
      <c r="I7" s="32"/>
      <c r="J7" s="217"/>
      <c r="K7" s="11"/>
      <c r="L7" s="218"/>
      <c r="P7" s="158" t="s">
        <v>837</v>
      </c>
      <c r="Q7" s="158">
        <v>219</v>
      </c>
      <c r="R7" s="431">
        <f>Q7/Q5</f>
        <v>0.87250996015936255</v>
      </c>
    </row>
    <row r="8" spans="2:18" x14ac:dyDescent="0.3">
      <c r="B8" s="6" t="s">
        <v>401</v>
      </c>
      <c r="C8" s="11">
        <f>'Calcul FF'!K13+'Calcul FF'!L13+'Calcul FF'!K27+'Calcul FF'!L27+(C5*0.75)</f>
        <v>77103.976337887623</v>
      </c>
      <c r="D8" s="41"/>
      <c r="E8" s="35"/>
      <c r="F8" s="35"/>
      <c r="G8" s="11">
        <f>G6*0.75</f>
        <v>0</v>
      </c>
      <c r="H8" s="35"/>
      <c r="I8" s="32"/>
      <c r="J8" s="217"/>
      <c r="K8" s="11"/>
      <c r="L8" s="218"/>
    </row>
    <row r="9" spans="2:18" outlineLevel="2" x14ac:dyDescent="0.3">
      <c r="B9" s="6" t="s">
        <v>402</v>
      </c>
      <c r="C9" s="11">
        <f>VALO_BREVET!P28</f>
        <v>0</v>
      </c>
      <c r="D9" s="11">
        <f>VALO_BREVET!R28</f>
        <v>0</v>
      </c>
      <c r="E9" s="35"/>
      <c r="F9" s="35"/>
      <c r="G9" s="11">
        <f>VALO_BREVET!T28</f>
        <v>0</v>
      </c>
      <c r="H9" s="35"/>
      <c r="I9" s="32"/>
      <c r="J9" s="217"/>
      <c r="K9" s="11"/>
      <c r="L9" s="218"/>
    </row>
    <row r="10" spans="2:18" outlineLevel="2" x14ac:dyDescent="0.3">
      <c r="B10" s="6" t="s">
        <v>403</v>
      </c>
      <c r="C10" s="11">
        <f>VALO_BREVET!P29+'VALO-autres dépenses CIR'!J39</f>
        <v>0</v>
      </c>
      <c r="D10" s="11">
        <f>VALO_BREVET!R29</f>
        <v>0</v>
      </c>
      <c r="E10" s="35"/>
      <c r="F10" s="35"/>
      <c r="G10" s="11">
        <f>VALO_BREVET!T29</f>
        <v>0</v>
      </c>
      <c r="H10" s="35"/>
      <c r="I10" s="32"/>
      <c r="J10" s="217"/>
      <c r="K10" s="11"/>
      <c r="L10" s="218"/>
    </row>
    <row r="11" spans="2:18" outlineLevel="2" x14ac:dyDescent="0.3">
      <c r="B11" s="6" t="s">
        <v>404</v>
      </c>
      <c r="C11" s="11">
        <f>VALO_AMO!R24</f>
        <v>0</v>
      </c>
      <c r="D11" s="41"/>
      <c r="E11" s="35"/>
      <c r="F11" s="35"/>
      <c r="G11" s="41"/>
      <c r="H11" s="35"/>
      <c r="I11" s="32"/>
      <c r="J11" s="217"/>
      <c r="K11" s="11"/>
      <c r="L11" s="218"/>
    </row>
    <row r="12" spans="2:18" outlineLevel="2" x14ac:dyDescent="0.3">
      <c r="B12" s="6" t="s">
        <v>405</v>
      </c>
      <c r="C12" s="11">
        <f>'VALO-autres dépenses CIR'!J38</f>
        <v>0</v>
      </c>
      <c r="D12" s="41"/>
      <c r="E12" s="35"/>
      <c r="F12" s="35"/>
      <c r="G12" s="41"/>
      <c r="H12" s="35"/>
      <c r="I12" s="32"/>
      <c r="J12" s="217"/>
      <c r="K12" s="11"/>
      <c r="L12" s="218"/>
    </row>
    <row r="13" spans="2:18" outlineLevel="2" x14ac:dyDescent="0.3">
      <c r="B13" s="6" t="s">
        <v>406</v>
      </c>
      <c r="C13" s="11">
        <f>VALO_BREVET!P30</f>
        <v>0</v>
      </c>
      <c r="D13" s="41"/>
      <c r="E13" s="35"/>
      <c r="F13" s="35"/>
      <c r="G13" s="41"/>
      <c r="H13" s="35"/>
      <c r="I13" s="32"/>
      <c r="J13" s="217"/>
      <c r="K13" s="11"/>
      <c r="L13" s="218"/>
    </row>
    <row r="14" spans="2:18" outlineLevel="2" x14ac:dyDescent="0.3">
      <c r="B14" s="6" t="s">
        <v>407</v>
      </c>
      <c r="C14" s="11">
        <f>'VALO-autres dépenses CIR'!J41</f>
        <v>0</v>
      </c>
      <c r="D14" s="41"/>
      <c r="E14" s="35"/>
      <c r="F14" s="35"/>
      <c r="G14" s="41"/>
      <c r="H14" s="35"/>
      <c r="I14" s="32"/>
      <c r="J14" s="217"/>
      <c r="K14" s="11"/>
      <c r="L14" s="218"/>
    </row>
    <row r="15" spans="2:18" outlineLevel="1" x14ac:dyDescent="0.3">
      <c r="B15" s="6" t="s">
        <v>408</v>
      </c>
      <c r="C15" s="11">
        <f>VALO_ST!V8</f>
        <v>52917</v>
      </c>
      <c r="D15" s="11">
        <f>VALO_ST!X6</f>
        <v>0</v>
      </c>
      <c r="E15" s="35"/>
      <c r="F15" s="35"/>
      <c r="G15" s="11">
        <f>VALO_ST!Z6</f>
        <v>0</v>
      </c>
      <c r="H15" s="35"/>
      <c r="I15" s="32"/>
      <c r="J15" s="217"/>
      <c r="K15" s="11"/>
      <c r="L15" s="218"/>
      <c r="P15" s="157" t="s">
        <v>409</v>
      </c>
      <c r="Q15" s="157" t="s">
        <v>410</v>
      </c>
      <c r="R15" s="157" t="s">
        <v>411</v>
      </c>
    </row>
    <row r="16" spans="2:18" hidden="1" outlineLevel="1" x14ac:dyDescent="0.3">
      <c r="B16" s="6" t="s">
        <v>412</v>
      </c>
      <c r="C16" s="11">
        <f>VALO_ST!V10</f>
        <v>0</v>
      </c>
      <c r="D16" s="41"/>
      <c r="E16" s="35"/>
      <c r="F16" s="35"/>
      <c r="G16" s="41"/>
      <c r="H16" s="35"/>
      <c r="I16" s="32"/>
      <c r="J16" s="217"/>
      <c r="K16" s="11"/>
      <c r="L16" s="218"/>
      <c r="P16" s="158" t="s">
        <v>413</v>
      </c>
      <c r="Q16" s="158" t="str">
        <f>IF((C17+C18)&gt;2000000,"Non","Ok")</f>
        <v>Ok</v>
      </c>
      <c r="R16" s="159" t="str">
        <f>IF(Q16="Non",2000000,"")</f>
        <v/>
      </c>
    </row>
    <row r="17" spans="2:22" hidden="1" outlineLevel="1" x14ac:dyDescent="0.3">
      <c r="B17" s="6" t="s">
        <v>414</v>
      </c>
      <c r="C17" s="11">
        <f>VALO_ST!V9</f>
        <v>0</v>
      </c>
      <c r="D17" s="41"/>
      <c r="E17" s="35"/>
      <c r="F17" s="35"/>
      <c r="G17" s="41"/>
      <c r="H17" s="35"/>
      <c r="I17" s="32"/>
      <c r="J17" s="217"/>
      <c r="K17" s="11"/>
      <c r="L17" s="218"/>
      <c r="P17" s="158" t="s">
        <v>415</v>
      </c>
      <c r="Q17" s="158" t="str">
        <f>IF(SUM(C15:C18)&gt;10000000,"Non","Ok")</f>
        <v>Ok</v>
      </c>
      <c r="R17" s="159" t="str">
        <f>IF(Q17="Non",10000000,"")</f>
        <v/>
      </c>
    </row>
    <row r="18" spans="2:22" hidden="1" outlineLevel="1" x14ac:dyDescent="0.3">
      <c r="B18" s="6" t="s">
        <v>416</v>
      </c>
      <c r="C18" s="11">
        <f>VALO_ST!V11</f>
        <v>0</v>
      </c>
      <c r="D18" s="41"/>
      <c r="E18" s="35"/>
      <c r="F18" s="35"/>
      <c r="G18" s="41"/>
      <c r="H18" s="35"/>
      <c r="I18" s="32"/>
      <c r="J18" s="217"/>
      <c r="K18" s="11"/>
      <c r="L18" s="218"/>
      <c r="P18" s="158" t="s">
        <v>417</v>
      </c>
      <c r="Q18" s="158" t="str">
        <f>IF(SUM(C5:C14)*3&lt;SUM(C15:C18),"non","Ok")</f>
        <v>Ok</v>
      </c>
      <c r="R18" s="159" t="str">
        <f>IF(Q18="Non",SUM(C5:C14)*3,"")</f>
        <v/>
      </c>
    </row>
    <row r="19" spans="2:22" ht="15.75" thickBot="1" x14ac:dyDescent="0.35">
      <c r="B19" s="7" t="s">
        <v>418</v>
      </c>
      <c r="C19" s="13">
        <f>IF(Q18="Non",R18+SUM(C5:C14),IF(Q17="Non",R17+SUM(C5:C14),IF(Q16="Non",R16+SUM(C5:C16),SUM(C5:C18))))</f>
        <v>321704.90330766223</v>
      </c>
      <c r="D19" s="13">
        <f>SUM(D5:D18)</f>
        <v>0</v>
      </c>
      <c r="E19" s="36"/>
      <c r="F19" s="36"/>
      <c r="G19" s="13">
        <f>SUM(G5:G18)</f>
        <v>0</v>
      </c>
      <c r="H19" s="36"/>
      <c r="I19" s="32"/>
      <c r="J19" s="14">
        <f>SUM(J5:J18)</f>
        <v>0</v>
      </c>
      <c r="K19" s="14">
        <f t="shared" ref="K19:L19" si="0">SUM(K5:K18)</f>
        <v>0</v>
      </c>
      <c r="L19" s="14">
        <f t="shared" si="0"/>
        <v>0</v>
      </c>
    </row>
    <row r="20" spans="2:22" ht="15.75" thickBot="1" x14ac:dyDescent="0.35">
      <c r="G20" s="30"/>
    </row>
    <row r="21" spans="2:22" outlineLevel="2" x14ac:dyDescent="0.3">
      <c r="B21" s="8" t="s">
        <v>419</v>
      </c>
      <c r="C21" s="211">
        <f>'REP cout'!B21</f>
        <v>-195544.5822069936</v>
      </c>
      <c r="D21" s="211"/>
      <c r="E21" s="193"/>
      <c r="F21" s="193"/>
      <c r="G21" s="211"/>
      <c r="J21" s="219"/>
      <c r="K21" s="211"/>
      <c r="L21" s="220"/>
      <c r="N21" s="4">
        <v>-325500</v>
      </c>
    </row>
    <row r="22" spans="2:22" hidden="1" outlineLevel="2" x14ac:dyDescent="0.3">
      <c r="B22" s="6" t="s">
        <v>420</v>
      </c>
      <c r="C22" s="11"/>
      <c r="D22" s="11"/>
      <c r="E22" s="193"/>
      <c r="F22" s="193"/>
      <c r="G22" s="11"/>
      <c r="J22" s="217"/>
      <c r="K22" s="11"/>
      <c r="L22" s="218"/>
      <c r="N22" s="477"/>
    </row>
    <row r="23" spans="2:22" hidden="1" outlineLevel="1" x14ac:dyDescent="0.3">
      <c r="B23" s="6" t="s">
        <v>421</v>
      </c>
      <c r="C23" s="11"/>
      <c r="D23" s="11"/>
      <c r="E23" s="193"/>
      <c r="F23" s="193"/>
      <c r="G23" s="11"/>
      <c r="J23" s="217"/>
      <c r="K23" s="11"/>
      <c r="L23" s="218"/>
      <c r="P23" s="4" t="s">
        <v>952</v>
      </c>
      <c r="R23" s="4" t="s">
        <v>956</v>
      </c>
      <c r="V23" s="4" t="s">
        <v>957</v>
      </c>
    </row>
    <row r="24" spans="2:22" hidden="1" outlineLevel="1" x14ac:dyDescent="0.3">
      <c r="B24" s="6" t="s">
        <v>422</v>
      </c>
      <c r="C24" s="11">
        <f>-IF('parametres chiffrage'!$B$13=parametrage!$I$14,0,IF('parametres chiffrage'!$B$13=parametrage!$I$13,'parametres chiffrage'!H13,IF('parametres chiffrage'!$B$13=parametrage!$I$15,'parametres chiffrage'!H14,"")))</f>
        <v>0</v>
      </c>
      <c r="D24" s="11">
        <f>-IF('parametres chiffrage'!$B$13=parametrage!$I$14,0,IF('parametres chiffrage'!$B$13=parametrage!$I$13,'parametres chiffrage'!I13,IF('parametres chiffrage'!$B$13=parametrage!$I$15,'parametres chiffrage'!I14,"")))</f>
        <v>0</v>
      </c>
      <c r="E24" s="193"/>
      <c r="F24" s="193"/>
      <c r="G24" s="11">
        <f>-IF('parametres chiffrage'!$B$13=parametrage!$I$14,0,IF('parametres chiffrage'!$B$13=parametrage!$I$13,'parametres chiffrage'!J13,IF('parametres chiffrage'!$B$13=parametrage!$I$15,'parametres chiffrage'!J14,"")))</f>
        <v>0</v>
      </c>
      <c r="J24" s="217"/>
      <c r="K24" s="11"/>
      <c r="L24" s="218"/>
      <c r="N24" s="477"/>
      <c r="O24" s="4" t="s">
        <v>953</v>
      </c>
      <c r="P24" s="193">
        <v>63000</v>
      </c>
      <c r="Q24" s="193"/>
      <c r="R24" s="193">
        <v>262500</v>
      </c>
    </row>
    <row r="25" spans="2:22" ht="15.75" thickBot="1" x14ac:dyDescent="0.35">
      <c r="B25" s="7" t="s">
        <v>423</v>
      </c>
      <c r="C25" s="13">
        <f>C19+SUM(C21:C24)</f>
        <v>126160.32110066863</v>
      </c>
      <c r="D25" s="13">
        <f>IF(D19&gt;400000,400000+SUM(D21:D24),SUM(D19:D24))</f>
        <v>0</v>
      </c>
      <c r="E25" s="36"/>
      <c r="F25" s="36"/>
      <c r="G25" s="13">
        <f>G19+SUM(G21:G24)</f>
        <v>0</v>
      </c>
      <c r="H25" s="36"/>
      <c r="J25" s="14">
        <f>J19+J21+J22+J23+J24</f>
        <v>0</v>
      </c>
      <c r="K25" s="14">
        <f t="shared" ref="K25:L25" si="1">K19+K21+K22+K23+K24</f>
        <v>0</v>
      </c>
      <c r="L25" s="14">
        <f t="shared" si="1"/>
        <v>0</v>
      </c>
      <c r="O25" s="4" t="s">
        <v>954</v>
      </c>
      <c r="P25" s="193">
        <f>P24</f>
        <v>63000</v>
      </c>
      <c r="Q25" s="193"/>
      <c r="R25" s="193">
        <f>V25-P25</f>
        <v>132544.5822069936</v>
      </c>
      <c r="V25" s="193">
        <f>'REP cout'!B19</f>
        <v>195544.5822069936</v>
      </c>
    </row>
    <row r="26" spans="2:22" ht="15.75" thickBot="1" x14ac:dyDescent="0.35">
      <c r="G26" s="30"/>
      <c r="O26" s="4" t="s">
        <v>955</v>
      </c>
      <c r="P26" s="193">
        <v>0</v>
      </c>
      <c r="Q26" s="193"/>
      <c r="R26" s="193">
        <f>R24-R25</f>
        <v>129955.4177930064</v>
      </c>
    </row>
    <row r="27" spans="2:22" x14ac:dyDescent="0.3">
      <c r="B27" s="8" t="s">
        <v>424</v>
      </c>
      <c r="C27" s="15" cm="1">
        <f t="array" ref="C27">_xlfn.IFS(C2=2025,30%,C2=2024,30%,C2=2023,30%)</f>
        <v>0.3</v>
      </c>
      <c r="D27" s="33" cm="1">
        <f t="array" ref="D27">_xlfn.IFS(D2=2025,20%,D2=2024,30%,D2=2023,30%)</f>
        <v>0.2</v>
      </c>
      <c r="E27" s="37"/>
      <c r="F27" s="37"/>
      <c r="G27" s="31" cm="1">
        <f t="array" ref="G27">_xlfn.IFS(G2=2025,30%,G2=2024,30%,G2=2023,30%)</f>
        <v>0.3</v>
      </c>
      <c r="H27" s="37"/>
      <c r="J27" s="15">
        <v>0.3</v>
      </c>
      <c r="K27" s="15">
        <v>0.3</v>
      </c>
      <c r="L27" s="15">
        <v>0.3</v>
      </c>
    </row>
    <row r="28" spans="2:22" ht="15.75" thickBot="1" x14ac:dyDescent="0.35">
      <c r="B28" s="7" t="s">
        <v>425</v>
      </c>
      <c r="C28" s="13">
        <f>C27*C25</f>
        <v>37848.096330200591</v>
      </c>
      <c r="D28" s="13">
        <f>D27*D25</f>
        <v>0</v>
      </c>
      <c r="E28" s="36"/>
      <c r="F28" s="36"/>
      <c r="G28" s="13">
        <f>G27*G25</f>
        <v>0</v>
      </c>
      <c r="H28" s="36"/>
      <c r="J28" s="14">
        <f>J25*J27</f>
        <v>0</v>
      </c>
      <c r="K28" s="14">
        <f t="shared" ref="K28:L28" si="2">K25*K27</f>
        <v>0</v>
      </c>
      <c r="L28" s="14">
        <f t="shared" si="2"/>
        <v>0</v>
      </c>
    </row>
    <row r="30" spans="2:22" ht="15.75" thickBot="1" x14ac:dyDescent="0.35">
      <c r="B30" s="7" t="s">
        <v>426</v>
      </c>
      <c r="C30" s="221">
        <f>C28+D28+G28+C45</f>
        <v>37848.096330200591</v>
      </c>
      <c r="D30" s="221"/>
      <c r="E30" s="221"/>
      <c r="F30" s="221"/>
      <c r="G30" s="221"/>
      <c r="J30" s="546">
        <f>J28+K28+L28</f>
        <v>0</v>
      </c>
      <c r="K30" s="547"/>
      <c r="L30" s="548"/>
    </row>
    <row r="32" spans="2:22" hidden="1" outlineLevel="1" x14ac:dyDescent="0.3">
      <c r="C32" s="9">
        <f>'parametres chiffrage'!B10</f>
        <v>2025</v>
      </c>
    </row>
    <row r="33" spans="2:3" ht="15.75" hidden="1" outlineLevel="1" thickBot="1" x14ac:dyDescent="0.35"/>
    <row r="34" spans="2:3" ht="15.75" hidden="1" outlineLevel="1" thickBot="1" x14ac:dyDescent="0.35">
      <c r="B34" s="10" t="s">
        <v>399</v>
      </c>
      <c r="C34" s="160" t="s">
        <v>41</v>
      </c>
    </row>
    <row r="35" spans="2:3" hidden="1" outlineLevel="1" x14ac:dyDescent="0.3">
      <c r="B35" s="6" t="s">
        <v>427</v>
      </c>
      <c r="C35" s="29">
        <f>VALO_ST!AB8</f>
        <v>0</v>
      </c>
    </row>
    <row r="36" spans="2:3" hidden="1" outlineLevel="1" x14ac:dyDescent="0.3">
      <c r="B36" s="6" t="s">
        <v>428</v>
      </c>
      <c r="C36" s="29">
        <f>VALO_ST!AB10</f>
        <v>0</v>
      </c>
    </row>
    <row r="37" spans="2:3" ht="15.75" hidden="1" outlineLevel="1" thickBot="1" x14ac:dyDescent="0.35">
      <c r="B37" s="7" t="s">
        <v>418</v>
      </c>
      <c r="C37" s="13">
        <f>IF(SUM(C35:C36)&gt;6000000,6000000,SUM(C35:C36))</f>
        <v>0</v>
      </c>
    </row>
    <row r="38" spans="2:3" ht="15.75" hidden="1" outlineLevel="1" thickBot="1" x14ac:dyDescent="0.35"/>
    <row r="39" spans="2:3" hidden="1" outlineLevel="1" x14ac:dyDescent="0.3">
      <c r="B39" s="8" t="s">
        <v>419</v>
      </c>
      <c r="C39" s="12"/>
    </row>
    <row r="40" spans="2:3" hidden="1" outlineLevel="1" x14ac:dyDescent="0.3">
      <c r="B40" s="6" t="s">
        <v>420</v>
      </c>
      <c r="C40" s="12"/>
    </row>
    <row r="41" spans="2:3" hidden="1" outlineLevel="1" x14ac:dyDescent="0.3">
      <c r="B41" s="6" t="s">
        <v>422</v>
      </c>
      <c r="C41" s="12"/>
    </row>
    <row r="42" spans="2:3" ht="15.75" hidden="1" outlineLevel="1" thickBot="1" x14ac:dyDescent="0.35">
      <c r="B42" s="7" t="s">
        <v>423</v>
      </c>
      <c r="C42" s="13">
        <f>C37+C39+C40+C41</f>
        <v>0</v>
      </c>
    </row>
    <row r="43" spans="2:3" ht="15.75" hidden="1" outlineLevel="1" thickBot="1" x14ac:dyDescent="0.35"/>
    <row r="44" spans="2:3" hidden="1" outlineLevel="1" x14ac:dyDescent="0.3">
      <c r="B44" s="8" t="s">
        <v>424</v>
      </c>
      <c r="C44" s="15">
        <f>IF(ISBLANK('parametres chiffrage'!B3),0,IF('parametres chiffrage'!B3="oui",50%,40%))</f>
        <v>0.5</v>
      </c>
    </row>
    <row r="45" spans="2:3" ht="15.75" hidden="1" outlineLevel="1" thickBot="1" x14ac:dyDescent="0.35">
      <c r="B45" s="7" t="s">
        <v>425</v>
      </c>
      <c r="C45" s="13">
        <f>C42*C44</f>
        <v>0</v>
      </c>
    </row>
    <row r="46" spans="2:3" hidden="1" collapsed="1" x14ac:dyDescent="0.3"/>
  </sheetData>
  <mergeCells count="1">
    <mergeCell ref="J30:L3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Macro1">
                <anchor moveWithCells="1" sizeWithCells="1">
                  <from>
                    <xdr:col>13</xdr:col>
                    <xdr:colOff>47625</xdr:colOff>
                    <xdr:row>1</xdr:row>
                    <xdr:rowOff>161925</xdr:rowOff>
                  </from>
                  <to>
                    <xdr:col>14</xdr:col>
                    <xdr:colOff>571500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5" name="Button 3">
              <controlPr defaultSize="0" print="0" autoFill="0" autoPict="0" macro="[0]!Macro2">
                <anchor moveWithCells="1" sizeWithCells="1">
                  <from>
                    <xdr:col>13</xdr:col>
                    <xdr:colOff>66675</xdr:colOff>
                    <xdr:row>5</xdr:row>
                    <xdr:rowOff>104775</xdr:rowOff>
                  </from>
                  <to>
                    <xdr:col>14</xdr:col>
                    <xdr:colOff>571500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6" name="Button 8">
              <controlPr defaultSize="0" print="0" autoFill="0" autoPict="0" macro="[0]!TS_Valeur">
                <anchor moveWithCells="1" sizeWithCells="1">
                  <from>
                    <xdr:col>13</xdr:col>
                    <xdr:colOff>57150</xdr:colOff>
                    <xdr:row>8</xdr:row>
                    <xdr:rowOff>180975</xdr:rowOff>
                  </from>
                  <to>
                    <xdr:col>14</xdr:col>
                    <xdr:colOff>552450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7" name="Button 10">
              <controlPr defaultSize="0" print="0" autoFill="0" autoPict="0" macro="[0]!masquer_les_TS">
                <anchor moveWithCells="1" sizeWithCells="1">
                  <from>
                    <xdr:col>13</xdr:col>
                    <xdr:colOff>76200</xdr:colOff>
                    <xdr:row>12</xdr:row>
                    <xdr:rowOff>76200</xdr:rowOff>
                  </from>
                  <to>
                    <xdr:col>14</xdr:col>
                    <xdr:colOff>504825</xdr:colOff>
                    <xdr:row>14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8" name="Button 11">
              <controlPr defaultSize="0" print="0" autoFill="0" autoPict="0" macro="[0]!afficher_les_ts">
                <anchor moveWithCells="1" sizeWithCells="1">
                  <from>
                    <xdr:col>13</xdr:col>
                    <xdr:colOff>85725</xdr:colOff>
                    <xdr:row>15</xdr:row>
                    <xdr:rowOff>76200</xdr:rowOff>
                  </from>
                  <to>
                    <xdr:col>14</xdr:col>
                    <xdr:colOff>457200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DC452-8231-4553-A178-1EE1CC88279C}">
  <sheetPr codeName="Feuil20">
    <tabColor rgb="FF2D44EA"/>
  </sheetPr>
  <dimension ref="B2:E29"/>
  <sheetViews>
    <sheetView showGridLines="0" workbookViewId="0">
      <selection activeCell="A23" sqref="A23:XFD25"/>
    </sheetView>
  </sheetViews>
  <sheetFormatPr baseColWidth="10" defaultColWidth="11.42578125" defaultRowHeight="15" x14ac:dyDescent="0.25"/>
  <cols>
    <col min="2" max="2" width="46.28515625" customWidth="1"/>
    <col min="3" max="3" width="49.28515625" customWidth="1"/>
    <col min="4" max="4" width="18.7109375" hidden="1" customWidth="1"/>
    <col min="5" max="5" width="16.5703125" hidden="1" customWidth="1"/>
  </cols>
  <sheetData>
    <row r="2" spans="2:5" x14ac:dyDescent="0.25">
      <c r="B2" s="549" t="s">
        <v>826</v>
      </c>
      <c r="C2" s="550"/>
      <c r="D2" s="550"/>
      <c r="E2" s="550"/>
    </row>
    <row r="3" spans="2:5" x14ac:dyDescent="0.25">
      <c r="B3" s="257"/>
      <c r="C3" s="258"/>
    </row>
    <row r="4" spans="2:5" x14ac:dyDescent="0.25">
      <c r="B4" s="257"/>
      <c r="C4" s="257"/>
    </row>
    <row r="5" spans="2:5" x14ac:dyDescent="0.25">
      <c r="B5" s="263" t="s">
        <v>429</v>
      </c>
      <c r="C5" s="263" t="s">
        <v>13</v>
      </c>
      <c r="D5" s="263" t="s">
        <v>27</v>
      </c>
      <c r="E5" s="263" t="s">
        <v>38</v>
      </c>
    </row>
    <row r="6" spans="2:5" hidden="1" x14ac:dyDescent="0.25">
      <c r="B6" s="259" t="s">
        <v>359</v>
      </c>
      <c r="C6" s="260">
        <f>SYNTHESE!C5</f>
        <v>0</v>
      </c>
      <c r="D6" s="260">
        <f>SYNTHESE!D5</f>
        <v>0</v>
      </c>
      <c r="E6" s="260">
        <f>SYNTHESE!G5</f>
        <v>0</v>
      </c>
    </row>
    <row r="7" spans="2:5" x14ac:dyDescent="0.25">
      <c r="B7" s="259" t="s">
        <v>360</v>
      </c>
      <c r="C7" s="260">
        <f>SYNTHESE!C6</f>
        <v>191683.92696977462</v>
      </c>
      <c r="D7" s="260">
        <f>SYNTHESE!D6</f>
        <v>0</v>
      </c>
      <c r="E7" s="260">
        <f>SYNTHESE!G6</f>
        <v>0</v>
      </c>
    </row>
    <row r="8" spans="2:5" hidden="1" x14ac:dyDescent="0.25">
      <c r="B8" s="259" t="s">
        <v>400</v>
      </c>
      <c r="C8" s="260">
        <f>SYNTHESE!C7</f>
        <v>0</v>
      </c>
      <c r="D8" s="260">
        <f>SYNTHESE!D7</f>
        <v>0</v>
      </c>
      <c r="E8" s="260">
        <f>SYNTHESE!G7</f>
        <v>0</v>
      </c>
    </row>
    <row r="9" spans="2:5" x14ac:dyDescent="0.25">
      <c r="B9" s="259" t="s">
        <v>401</v>
      </c>
      <c r="C9" s="260">
        <f>SYNTHESE!C8</f>
        <v>77103.976337887623</v>
      </c>
      <c r="D9" s="260">
        <f>SYNTHESE!D8</f>
        <v>0</v>
      </c>
      <c r="E9" s="260">
        <f>SYNTHESE!G8</f>
        <v>0</v>
      </c>
    </row>
    <row r="10" spans="2:5" hidden="1" x14ac:dyDescent="0.25">
      <c r="B10" s="259" t="s">
        <v>402</v>
      </c>
      <c r="C10" s="260">
        <f>SYNTHESE!C9</f>
        <v>0</v>
      </c>
      <c r="D10" s="260">
        <f>SYNTHESE!D9</f>
        <v>0</v>
      </c>
      <c r="E10" s="260">
        <f>SYNTHESE!G9</f>
        <v>0</v>
      </c>
    </row>
    <row r="11" spans="2:5" hidden="1" x14ac:dyDescent="0.25">
      <c r="B11" s="259" t="s">
        <v>403</v>
      </c>
      <c r="C11" s="260">
        <f>SYNTHESE!C10</f>
        <v>0</v>
      </c>
      <c r="D11" s="260">
        <f>SYNTHESE!D10</f>
        <v>0</v>
      </c>
      <c r="E11" s="260">
        <f>SYNTHESE!G10</f>
        <v>0</v>
      </c>
    </row>
    <row r="12" spans="2:5" hidden="1" x14ac:dyDescent="0.25">
      <c r="B12" s="259" t="s">
        <v>404</v>
      </c>
      <c r="C12" s="260">
        <f>SYNTHESE!C11</f>
        <v>0</v>
      </c>
      <c r="D12" s="260">
        <f>SYNTHESE!D11</f>
        <v>0</v>
      </c>
      <c r="E12" s="260">
        <f>SYNTHESE!G11</f>
        <v>0</v>
      </c>
    </row>
    <row r="13" spans="2:5" hidden="1" x14ac:dyDescent="0.25">
      <c r="B13" s="259" t="s">
        <v>405</v>
      </c>
      <c r="C13" s="260">
        <f>SYNTHESE!C12</f>
        <v>0</v>
      </c>
      <c r="D13" s="260">
        <f>SYNTHESE!D12</f>
        <v>0</v>
      </c>
      <c r="E13" s="260">
        <f>SYNTHESE!G12</f>
        <v>0</v>
      </c>
    </row>
    <row r="14" spans="2:5" hidden="1" x14ac:dyDescent="0.25">
      <c r="B14" s="259" t="s">
        <v>406</v>
      </c>
      <c r="C14" s="260">
        <f>SYNTHESE!C13</f>
        <v>0</v>
      </c>
      <c r="D14" s="260">
        <f>SYNTHESE!D13</f>
        <v>0</v>
      </c>
      <c r="E14" s="260">
        <f>SYNTHESE!G13</f>
        <v>0</v>
      </c>
    </row>
    <row r="15" spans="2:5" hidden="1" x14ac:dyDescent="0.25">
      <c r="B15" s="259" t="s">
        <v>407</v>
      </c>
      <c r="C15" s="260">
        <f>SYNTHESE!C14</f>
        <v>0</v>
      </c>
      <c r="D15" s="260">
        <f>SYNTHESE!D14</f>
        <v>0</v>
      </c>
      <c r="E15" s="260">
        <f>SYNTHESE!G14</f>
        <v>0</v>
      </c>
    </row>
    <row r="16" spans="2:5" x14ac:dyDescent="0.25">
      <c r="B16" s="259" t="s">
        <v>430</v>
      </c>
      <c r="C16" s="260">
        <f>SYNTHESE!C15</f>
        <v>52917</v>
      </c>
      <c r="D16" s="260">
        <f>SYNTHESE!D15</f>
        <v>0</v>
      </c>
      <c r="E16" s="260">
        <f>SYNTHESE!G15</f>
        <v>0</v>
      </c>
    </row>
    <row r="17" spans="2:5" hidden="1" x14ac:dyDescent="0.25">
      <c r="B17" s="259" t="s">
        <v>431</v>
      </c>
      <c r="C17" s="260">
        <f>SYNTHESE!C16</f>
        <v>0</v>
      </c>
      <c r="D17" s="260">
        <f>SYNTHESE!D16</f>
        <v>0</v>
      </c>
      <c r="E17" s="260">
        <f>SYNTHESE!G16</f>
        <v>0</v>
      </c>
    </row>
    <row r="18" spans="2:5" hidden="1" x14ac:dyDescent="0.25">
      <c r="B18" s="259" t="s">
        <v>414</v>
      </c>
      <c r="C18" s="260">
        <f>SYNTHESE!C17</f>
        <v>0</v>
      </c>
      <c r="D18" s="260">
        <f>SYNTHESE!D17</f>
        <v>0</v>
      </c>
      <c r="E18" s="260">
        <f>SYNTHESE!G17</f>
        <v>0</v>
      </c>
    </row>
    <row r="19" spans="2:5" hidden="1" x14ac:dyDescent="0.25">
      <c r="B19" s="259" t="s">
        <v>416</v>
      </c>
      <c r="C19" s="260">
        <f>SYNTHESE!C18</f>
        <v>0</v>
      </c>
      <c r="D19" s="260">
        <f>SYNTHESE!D18</f>
        <v>0</v>
      </c>
      <c r="E19" s="260">
        <f>SYNTHESE!G18</f>
        <v>0</v>
      </c>
    </row>
    <row r="20" spans="2:5" x14ac:dyDescent="0.25">
      <c r="B20" s="263" t="s">
        <v>432</v>
      </c>
      <c r="C20" s="264">
        <f>+SUM(C6:C19)</f>
        <v>321704.90330766223</v>
      </c>
      <c r="D20" s="264">
        <f t="shared" ref="D20:E20" si="0">+SUM(D6:D19)</f>
        <v>0</v>
      </c>
      <c r="E20" s="264">
        <f t="shared" si="0"/>
        <v>0</v>
      </c>
    </row>
    <row r="21" spans="2:5" x14ac:dyDescent="0.25">
      <c r="B21" s="257"/>
      <c r="C21" s="257"/>
      <c r="D21" s="257"/>
      <c r="E21" s="257"/>
    </row>
    <row r="22" spans="2:5" x14ac:dyDescent="0.25">
      <c r="B22" s="259" t="s">
        <v>419</v>
      </c>
      <c r="C22" s="260">
        <f>SYNTHESE!C21</f>
        <v>-195544.5822069936</v>
      </c>
      <c r="D22" s="260">
        <f>SYNTHESE!D21</f>
        <v>0</v>
      </c>
      <c r="E22" s="260">
        <f>SYNTHESE!G21</f>
        <v>0</v>
      </c>
    </row>
    <row r="23" spans="2:5" hidden="1" x14ac:dyDescent="0.25">
      <c r="B23" s="259" t="s">
        <v>420</v>
      </c>
      <c r="C23" s="260">
        <f>SYNTHESE!C22</f>
        <v>0</v>
      </c>
      <c r="D23" s="260">
        <f>SYNTHESE!D22</f>
        <v>0</v>
      </c>
      <c r="E23" s="260">
        <f>SYNTHESE!G22</f>
        <v>0</v>
      </c>
    </row>
    <row r="24" spans="2:5" hidden="1" x14ac:dyDescent="0.25">
      <c r="B24" s="259" t="s">
        <v>421</v>
      </c>
      <c r="C24" s="260">
        <f>SYNTHESE!C23</f>
        <v>0</v>
      </c>
      <c r="D24" s="260">
        <f>SYNTHESE!D23</f>
        <v>0</v>
      </c>
      <c r="E24" s="260">
        <f>SYNTHESE!G23</f>
        <v>0</v>
      </c>
    </row>
    <row r="25" spans="2:5" hidden="1" x14ac:dyDescent="0.25">
      <c r="B25" s="259" t="s">
        <v>422</v>
      </c>
      <c r="C25" s="260">
        <f>SYNTHESE!C24</f>
        <v>0</v>
      </c>
      <c r="D25" s="260">
        <f>SYNTHESE!D24</f>
        <v>0</v>
      </c>
      <c r="E25" s="260">
        <f>SYNTHESE!G24</f>
        <v>0</v>
      </c>
    </row>
    <row r="26" spans="2:5" x14ac:dyDescent="0.25">
      <c r="B26" s="263" t="s">
        <v>433</v>
      </c>
      <c r="C26" s="264">
        <f>+SUM(C20:C25)</f>
        <v>126160.32110066863</v>
      </c>
      <c r="D26" s="264">
        <f t="shared" ref="D26:E26" si="1">+SUM(D20:D25)</f>
        <v>0</v>
      </c>
      <c r="E26" s="264">
        <f t="shared" si="1"/>
        <v>0</v>
      </c>
    </row>
    <row r="27" spans="2:5" x14ac:dyDescent="0.25">
      <c r="B27" s="257"/>
      <c r="C27" s="257"/>
      <c r="D27" s="257"/>
      <c r="E27" s="257"/>
    </row>
    <row r="28" spans="2:5" x14ac:dyDescent="0.25">
      <c r="B28" s="261" t="s">
        <v>424</v>
      </c>
      <c r="C28" s="262">
        <f>SYNTHESE!C27</f>
        <v>0.3</v>
      </c>
      <c r="D28" s="262">
        <f>SYNTHESE!D27</f>
        <v>0.2</v>
      </c>
      <c r="E28" s="262">
        <f>SYNTHESE!G27</f>
        <v>0.3</v>
      </c>
    </row>
    <row r="29" spans="2:5" x14ac:dyDescent="0.25">
      <c r="B29" s="263" t="s">
        <v>434</v>
      </c>
      <c r="C29" s="265">
        <f>+C26*C28</f>
        <v>37848.096330200591</v>
      </c>
      <c r="D29" s="265">
        <f t="shared" ref="D29" si="2">+D26*D28</f>
        <v>0</v>
      </c>
      <c r="E29" s="265">
        <f>+E26*E28</f>
        <v>0</v>
      </c>
    </row>
  </sheetData>
  <mergeCells count="1">
    <mergeCell ref="B2:E2"/>
  </mergeCells>
  <phoneticPr fontId="8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44B7A-63BB-4970-AF1C-903DB204F1DA}">
  <sheetPr codeName="Feuil4">
    <tabColor theme="6" tint="0.79998168889431442"/>
  </sheetPr>
  <dimension ref="A1:R90"/>
  <sheetViews>
    <sheetView showGridLines="0" workbookViewId="0">
      <selection activeCell="D36" sqref="D36"/>
    </sheetView>
  </sheetViews>
  <sheetFormatPr baseColWidth="10" defaultColWidth="10.85546875" defaultRowHeight="15" outlineLevelRow="1" outlineLevelCol="1" x14ac:dyDescent="0.3"/>
  <cols>
    <col min="1" max="1" width="83" style="4" bestFit="1" customWidth="1" outlineLevel="1"/>
    <col min="2" max="2" width="19" style="4" customWidth="1" outlineLevel="1"/>
    <col min="3" max="3" width="13.42578125" style="4" bestFit="1" customWidth="1" outlineLevel="1"/>
    <col min="4" max="4" width="23.42578125" style="4" customWidth="1" outlineLevel="1"/>
    <col min="5" max="5" width="14.7109375" style="4" customWidth="1" outlineLevel="1"/>
    <col min="6" max="6" width="4.42578125" style="4" customWidth="1"/>
    <col min="7" max="7" width="12" style="4" customWidth="1"/>
    <col min="8" max="8" width="83" style="4" hidden="1" customWidth="1" outlineLevel="1"/>
    <col min="9" max="9" width="13.42578125" style="4" hidden="1" customWidth="1" outlineLevel="1"/>
    <col min="10" max="10" width="23.42578125" style="4" hidden="1" customWidth="1" outlineLevel="1"/>
    <col min="11" max="11" width="10.85546875" style="4" hidden="1" customWidth="1" outlineLevel="1"/>
    <col min="12" max="12" width="4.42578125" style="4" customWidth="1" collapsed="1"/>
    <col min="13" max="13" width="4" style="4" customWidth="1"/>
    <col min="14" max="14" width="83" style="4" hidden="1" customWidth="1" outlineLevel="1"/>
    <col min="15" max="15" width="13.42578125" style="4" hidden="1" customWidth="1" outlineLevel="1"/>
    <col min="16" max="16" width="23.42578125" style="4" hidden="1" customWidth="1" outlineLevel="1"/>
    <col min="17" max="17" width="10.85546875" style="4" hidden="1" customWidth="1" outlineLevel="1"/>
    <col min="18" max="18" width="3.42578125" style="4" customWidth="1" collapsed="1"/>
    <col min="19" max="19" width="4.140625" style="4" customWidth="1"/>
    <col min="20" max="16384" width="10.85546875" style="4"/>
  </cols>
  <sheetData>
    <row r="1" spans="1:15" ht="15.75" thickBot="1" x14ac:dyDescent="0.35">
      <c r="B1" s="4" t="s">
        <v>13</v>
      </c>
      <c r="C1" s="4" t="s">
        <v>13</v>
      </c>
      <c r="J1" s="4" t="s">
        <v>27</v>
      </c>
      <c r="O1" s="4" t="s">
        <v>38</v>
      </c>
    </row>
    <row r="2" spans="1:15" ht="22.5" x14ac:dyDescent="0.3">
      <c r="A2" s="21" t="s">
        <v>13</v>
      </c>
    </row>
    <row r="3" spans="1:15" ht="8.4499999999999993" customHeight="1" thickBot="1" x14ac:dyDescent="0.35"/>
    <row r="4" spans="1:15" ht="49.15" customHeight="1" x14ac:dyDescent="0.3">
      <c r="A4" s="5" t="s">
        <v>435</v>
      </c>
      <c r="B4" s="5" t="s">
        <v>927</v>
      </c>
      <c r="C4" s="5" t="s">
        <v>928</v>
      </c>
      <c r="D4" s="5" t="s">
        <v>436</v>
      </c>
      <c r="E4" s="5" t="s">
        <v>437</v>
      </c>
    </row>
    <row r="5" spans="1:15" hidden="1" x14ac:dyDescent="0.3">
      <c r="A5" s="16" t="s">
        <v>359</v>
      </c>
      <c r="B5" s="186">
        <f>VALO_AMO!O26</f>
        <v>0</v>
      </c>
      <c r="C5" s="186">
        <f>VALO_AMO!Q26</f>
        <v>0</v>
      </c>
      <c r="D5" s="186"/>
      <c r="E5" s="187">
        <f t="shared" ref="E5:E18" si="0">SUM(B5:D5)</f>
        <v>0</v>
      </c>
    </row>
    <row r="6" spans="1:15" x14ac:dyDescent="0.3">
      <c r="A6" s="17" t="s">
        <v>360</v>
      </c>
      <c r="B6" s="188">
        <f>VALO_PERSO!AO16</f>
        <v>139451.0428253783</v>
      </c>
      <c r="C6" s="188">
        <f>VALO_PERSO!AP16</f>
        <v>52232.884144396317</v>
      </c>
      <c r="D6" s="188"/>
      <c r="E6" s="187">
        <f t="shared" si="0"/>
        <v>191683.92696977462</v>
      </c>
    </row>
    <row r="7" spans="1:15" hidden="1" x14ac:dyDescent="0.3">
      <c r="A7" s="17" t="s">
        <v>400</v>
      </c>
      <c r="B7" s="188">
        <f>VALO_PERSO!AO14</f>
        <v>0</v>
      </c>
      <c r="C7" s="188">
        <f>VALO_PERSO!AP14</f>
        <v>0</v>
      </c>
      <c r="D7" s="188"/>
      <c r="E7" s="187">
        <f t="shared" si="0"/>
        <v>0</v>
      </c>
    </row>
    <row r="8" spans="1:15" x14ac:dyDescent="0.3">
      <c r="A8" s="17" t="s">
        <v>401</v>
      </c>
      <c r="B8" s="188">
        <f>(B6+B7)/($E$6+$E$7)*($E$8-$E$5*0.75)</f>
        <v>56093.539381615286</v>
      </c>
      <c r="C8" s="188">
        <f>(C6+C7)/($E$6+$E$7)*($E$8-$E$5*0.75)</f>
        <v>21010.43695627233</v>
      </c>
      <c r="D8" s="188"/>
      <c r="E8" s="187">
        <f>SYNTHESE!C8</f>
        <v>77103.976337887623</v>
      </c>
    </row>
    <row r="9" spans="1:15" hidden="1" outlineLevel="1" x14ac:dyDescent="0.3">
      <c r="A9" s="17" t="s">
        <v>402</v>
      </c>
      <c r="B9" s="188"/>
      <c r="C9" s="188"/>
      <c r="D9" s="188">
        <f>VALO_BREVET!P28</f>
        <v>0</v>
      </c>
      <c r="E9" s="187">
        <f t="shared" si="0"/>
        <v>0</v>
      </c>
    </row>
    <row r="10" spans="1:15" hidden="1" outlineLevel="1" x14ac:dyDescent="0.3">
      <c r="A10" s="17" t="s">
        <v>403</v>
      </c>
      <c r="B10" s="188"/>
      <c r="C10" s="188"/>
      <c r="D10" s="188">
        <f>VALO_BREVET!P29</f>
        <v>0</v>
      </c>
      <c r="E10" s="187">
        <f t="shared" si="0"/>
        <v>0</v>
      </c>
    </row>
    <row r="11" spans="1:15" hidden="1" outlineLevel="1" x14ac:dyDescent="0.3">
      <c r="A11" s="17" t="s">
        <v>404</v>
      </c>
      <c r="B11" s="188"/>
      <c r="C11" s="188"/>
      <c r="D11" s="188"/>
      <c r="E11" s="187">
        <f t="shared" si="0"/>
        <v>0</v>
      </c>
    </row>
    <row r="12" spans="1:15" hidden="1" outlineLevel="1" x14ac:dyDescent="0.3">
      <c r="A12" s="17" t="s">
        <v>405</v>
      </c>
      <c r="B12" s="188"/>
      <c r="C12" s="188"/>
      <c r="D12" s="188">
        <f>'VALO-autres dépenses CIR'!J38</f>
        <v>0</v>
      </c>
      <c r="E12" s="187">
        <f t="shared" si="0"/>
        <v>0</v>
      </c>
    </row>
    <row r="13" spans="1:15" hidden="1" outlineLevel="1" x14ac:dyDescent="0.3">
      <c r="A13" s="17" t="s">
        <v>406</v>
      </c>
      <c r="B13" s="188"/>
      <c r="C13" s="188"/>
      <c r="D13" s="188">
        <f>VALO_BREVET!P30</f>
        <v>0</v>
      </c>
      <c r="E13" s="187">
        <f t="shared" si="0"/>
        <v>0</v>
      </c>
    </row>
    <row r="14" spans="1:15" hidden="1" collapsed="1" x14ac:dyDescent="0.3">
      <c r="A14" s="17" t="s">
        <v>407</v>
      </c>
      <c r="B14" s="188"/>
      <c r="C14" s="188"/>
      <c r="D14" s="188">
        <f>'VALO-autres dépenses CIR'!J41</f>
        <v>0</v>
      </c>
      <c r="E14" s="187">
        <f t="shared" si="0"/>
        <v>0</v>
      </c>
    </row>
    <row r="15" spans="1:15" outlineLevel="1" x14ac:dyDescent="0.3">
      <c r="A15" s="17" t="s">
        <v>408</v>
      </c>
      <c r="B15" s="188">
        <f>SUMIFS(VALO_ST!$V:$V,VALO_ST!$AD:$AD,"16a",VALO_ST!$K:$K,'REP cout'!B4)</f>
        <v>0</v>
      </c>
      <c r="C15" s="188">
        <f>SUMIFS(VALO_ST!$V:$V,VALO_ST!$AD:$AD,"16a",VALO_ST!$K:$K,'REP cout'!C4)</f>
        <v>0</v>
      </c>
      <c r="D15" s="188">
        <f>SUMIF('REP cout'!K5,"",VALO_ST!V6)</f>
        <v>52917</v>
      </c>
      <c r="E15" s="187">
        <f t="shared" si="0"/>
        <v>52917</v>
      </c>
    </row>
    <row r="16" spans="1:15" hidden="1" outlineLevel="1" x14ac:dyDescent="0.3">
      <c r="A16" s="17" t="s">
        <v>412</v>
      </c>
      <c r="B16" s="188">
        <f>SUMIFS(VALO_ST!$V:$V,VALO_ST!$AD:$AD,"16b",VALO_ST!$K:$K,'REP cout'!B4)</f>
        <v>0</v>
      </c>
      <c r="C16" s="188">
        <f>SUMIFS(VALO_ST!$V:$V,VALO_ST!$AD:$AD,"16b",VALO_ST!$K:$K,'REP cout'!C4)</f>
        <v>0</v>
      </c>
      <c r="D16" s="188"/>
      <c r="E16" s="187">
        <f t="shared" si="0"/>
        <v>0</v>
      </c>
    </row>
    <row r="17" spans="1:17" hidden="1" outlineLevel="1" x14ac:dyDescent="0.3">
      <c r="A17" s="17" t="s">
        <v>414</v>
      </c>
      <c r="B17" s="188">
        <f>SUMIFS(VALO_ST!$V:$V,VALO_ST!$AD:$AD,"15a",VALO_ST!$K:$K,'REP cout'!B4)</f>
        <v>0</v>
      </c>
      <c r="C17" s="188">
        <f>SUMIFS(VALO_ST!$V:$V,VALO_ST!$AD:$AD,"15a",VALO_ST!$K:$K,'REP cout'!C4)</f>
        <v>0</v>
      </c>
      <c r="D17" s="188"/>
      <c r="E17" s="187">
        <f t="shared" si="0"/>
        <v>0</v>
      </c>
    </row>
    <row r="18" spans="1:17" hidden="1" outlineLevel="1" x14ac:dyDescent="0.3">
      <c r="A18" s="18" t="s">
        <v>416</v>
      </c>
      <c r="B18" s="188">
        <f>SUMIFS(VALO_ST!$V:$V,VALO_ST!$AD:$AD,"15b",VALO_ST!$K:$K,'REP cout'!B4)</f>
        <v>0</v>
      </c>
      <c r="C18" s="188">
        <f>SUMIFS(VALO_ST!$V:$V,VALO_ST!$AD:$AD,"15b",VALO_ST!$K:$K,'REP cout'!C4)</f>
        <v>0</v>
      </c>
      <c r="D18" s="189"/>
      <c r="E18" s="187">
        <f t="shared" si="0"/>
        <v>0</v>
      </c>
    </row>
    <row r="19" spans="1:17" ht="18.75" thickBot="1" x14ac:dyDescent="0.4">
      <c r="A19" s="154" t="s">
        <v>438</v>
      </c>
      <c r="B19" s="13">
        <f>SUM(B5:B18)</f>
        <v>195544.5822069936</v>
      </c>
      <c r="C19" s="13">
        <f>SUM(C5:C18)</f>
        <v>73243.321100668647</v>
      </c>
      <c r="D19" s="13">
        <f>SUM(D5:D18)</f>
        <v>52917</v>
      </c>
      <c r="E19" s="13">
        <f>SUM(E5:E18)</f>
        <v>321704.90330766223</v>
      </c>
      <c r="H19" s="480"/>
    </row>
    <row r="20" spans="1:17" ht="15.6" customHeight="1" thickBot="1" x14ac:dyDescent="0.35">
      <c r="H20" s="429"/>
    </row>
    <row r="21" spans="1:17" outlineLevel="1" x14ac:dyDescent="0.3">
      <c r="A21" s="150" t="s">
        <v>419</v>
      </c>
      <c r="B21" s="190">
        <f>-B19</f>
        <v>-195544.5822069936</v>
      </c>
      <c r="C21" s="190"/>
      <c r="D21" s="190"/>
      <c r="E21" s="151">
        <f>SUM(B21:D21)</f>
        <v>-195544.5822069936</v>
      </c>
    </row>
    <row r="22" spans="1:17" hidden="1" outlineLevel="1" x14ac:dyDescent="0.3">
      <c r="A22" s="17" t="s">
        <v>420</v>
      </c>
      <c r="B22" s="188"/>
      <c r="C22" s="188"/>
      <c r="D22" s="188"/>
      <c r="E22" s="191">
        <f>SUM(B22:D22)</f>
        <v>0</v>
      </c>
    </row>
    <row r="23" spans="1:17" hidden="1" outlineLevel="1" x14ac:dyDescent="0.3">
      <c r="A23" s="17" t="s">
        <v>421</v>
      </c>
      <c r="B23" s="188"/>
      <c r="C23" s="188"/>
      <c r="D23" s="188"/>
      <c r="E23" s="191">
        <f>SUM(B23:D23)</f>
        <v>0</v>
      </c>
    </row>
    <row r="24" spans="1:17" hidden="1" outlineLevel="1" x14ac:dyDescent="0.3">
      <c r="A24" s="18" t="s">
        <v>422</v>
      </c>
      <c r="B24" s="189"/>
      <c r="C24" s="189"/>
      <c r="D24" s="189">
        <f>SYNTHESE!C24</f>
        <v>0</v>
      </c>
      <c r="E24" s="191">
        <f>SUM(B24:D24)</f>
        <v>0</v>
      </c>
    </row>
    <row r="25" spans="1:17" ht="18.75" thickBot="1" x14ac:dyDescent="0.4">
      <c r="A25" s="154" t="s">
        <v>439</v>
      </c>
      <c r="B25" s="13">
        <f>B19+SUM(B21:B24)</f>
        <v>0</v>
      </c>
      <c r="C25" s="13">
        <f>C19+SUM(C21:C24)</f>
        <v>73243.321100668647</v>
      </c>
      <c r="D25" s="13">
        <f t="shared" ref="D25" si="1">D19+SUM(D21:D24)</f>
        <v>52917</v>
      </c>
      <c r="E25" s="13">
        <f>E19+SUM(E21:E24)</f>
        <v>126160.32110066863</v>
      </c>
    </row>
    <row r="26" spans="1:17" ht="6" customHeight="1" thickBot="1" x14ac:dyDescent="0.35"/>
    <row r="27" spans="1:17" x14ac:dyDescent="0.3">
      <c r="A27" s="19" t="s">
        <v>424</v>
      </c>
      <c r="B27" s="152">
        <f>SYNTHESE!$C$27</f>
        <v>0.3</v>
      </c>
      <c r="C27" s="152">
        <f>SYNTHESE!$C$27</f>
        <v>0.3</v>
      </c>
      <c r="D27" s="152">
        <f>SYNTHESE!$C$27</f>
        <v>0.3</v>
      </c>
      <c r="E27" s="152">
        <f>SYNTHESE!$C$27</f>
        <v>0.3</v>
      </c>
    </row>
    <row r="28" spans="1:17" ht="18.75" thickBot="1" x14ac:dyDescent="0.4">
      <c r="A28" s="154" t="s">
        <v>440</v>
      </c>
      <c r="B28" s="13">
        <f>B25*B27</f>
        <v>0</v>
      </c>
      <c r="C28" s="13">
        <f t="shared" ref="C28" si="2">C25*C27</f>
        <v>21972.996330200593</v>
      </c>
      <c r="D28" s="13">
        <f t="shared" ref="D28" si="3">D25*D27</f>
        <v>15875.099999999999</v>
      </c>
      <c r="E28" s="13">
        <f>E25*E27</f>
        <v>37848.096330200591</v>
      </c>
    </row>
    <row r="29" spans="1:17" ht="15.75" thickBot="1" x14ac:dyDescent="0.35"/>
    <row r="30" spans="1:17" ht="22.5" x14ac:dyDescent="0.3">
      <c r="H30" s="22" t="s">
        <v>27</v>
      </c>
      <c r="N30" s="22" t="s">
        <v>38</v>
      </c>
    </row>
    <row r="31" spans="1:17" ht="13.9" customHeight="1" thickBot="1" x14ac:dyDescent="0.35">
      <c r="A31" s="23"/>
    </row>
    <row r="32" spans="1:17" ht="30" x14ac:dyDescent="0.3">
      <c r="H32" s="10" t="s">
        <v>441</v>
      </c>
      <c r="I32" s="5" t="s">
        <v>827</v>
      </c>
      <c r="J32" s="5" t="s">
        <v>436</v>
      </c>
      <c r="K32" s="5" t="s">
        <v>437</v>
      </c>
      <c r="N32" s="10" t="s">
        <v>443</v>
      </c>
      <c r="O32" s="5" t="s">
        <v>442</v>
      </c>
      <c r="P32" s="5" t="s">
        <v>436</v>
      </c>
      <c r="Q32" s="5" t="s">
        <v>437</v>
      </c>
    </row>
    <row r="33" spans="1:17" x14ac:dyDescent="0.3">
      <c r="A33" s="24"/>
      <c r="B33" s="25"/>
      <c r="C33" s="25"/>
      <c r="D33" s="25"/>
      <c r="E33" s="25"/>
      <c r="H33" s="6" t="s">
        <v>359</v>
      </c>
      <c r="I33" s="63">
        <f>VALO_AMO!W22</f>
        <v>0</v>
      </c>
      <c r="J33" s="63"/>
      <c r="K33" s="192">
        <f t="shared" ref="K33:K37" si="4">SUM(I33:J33)</f>
        <v>0</v>
      </c>
      <c r="N33" s="6" t="s">
        <v>359</v>
      </c>
      <c r="O33" s="63">
        <f>VALO_AMO!AB22</f>
        <v>0</v>
      </c>
      <c r="P33" s="63"/>
      <c r="Q33" s="192">
        <f t="shared" ref="Q33:Q38" si="5">SUM(O33:P33)</f>
        <v>0</v>
      </c>
    </row>
    <row r="34" spans="1:17" x14ac:dyDescent="0.3">
      <c r="H34" s="6" t="s">
        <v>360</v>
      </c>
      <c r="I34" s="11">
        <f>VALO_PERSO!AT12</f>
        <v>0</v>
      </c>
      <c r="J34" s="11"/>
      <c r="K34" s="192">
        <f t="shared" si="4"/>
        <v>0</v>
      </c>
      <c r="N34" s="6" t="s">
        <v>360</v>
      </c>
      <c r="O34" s="11">
        <f>VALO_PERSO!AX12</f>
        <v>0</v>
      </c>
      <c r="P34" s="11"/>
      <c r="Q34" s="192">
        <f t="shared" si="5"/>
        <v>0</v>
      </c>
    </row>
    <row r="35" spans="1:17" x14ac:dyDescent="0.3">
      <c r="H35" s="6" t="s">
        <v>402</v>
      </c>
      <c r="I35" s="11"/>
      <c r="J35" s="11">
        <f>VALO_BREVET!R28</f>
        <v>0</v>
      </c>
      <c r="K35" s="192">
        <f t="shared" si="4"/>
        <v>0</v>
      </c>
      <c r="N35" s="6" t="s">
        <v>401</v>
      </c>
      <c r="O35" s="11"/>
      <c r="P35" s="11"/>
      <c r="Q35" s="192">
        <f t="shared" si="5"/>
        <v>0</v>
      </c>
    </row>
    <row r="36" spans="1:17" x14ac:dyDescent="0.3">
      <c r="H36" s="6" t="s">
        <v>403</v>
      </c>
      <c r="I36" s="11"/>
      <c r="J36" s="11">
        <f>VALO_BREVET!R29</f>
        <v>0</v>
      </c>
      <c r="K36" s="192">
        <f t="shared" si="4"/>
        <v>0</v>
      </c>
      <c r="N36" s="6" t="s">
        <v>402</v>
      </c>
      <c r="O36" s="11"/>
      <c r="P36" s="11">
        <f>VALO_BREVET!T28</f>
        <v>0</v>
      </c>
      <c r="Q36" s="192">
        <f t="shared" si="5"/>
        <v>0</v>
      </c>
    </row>
    <row r="37" spans="1:17" x14ac:dyDescent="0.3">
      <c r="H37" s="6" t="s">
        <v>408</v>
      </c>
      <c r="I37" s="11">
        <f>SUMIFS(VALO_ST!$X:$X,VALO_ST!$AD:$AD,"69",VALO_ST!$K:$K,'REP cout'!I32)</f>
        <v>0</v>
      </c>
      <c r="J37" s="11"/>
      <c r="K37" s="192">
        <f t="shared" si="4"/>
        <v>0</v>
      </c>
      <c r="N37" s="6" t="s">
        <v>403</v>
      </c>
      <c r="O37" s="11"/>
      <c r="P37" s="11">
        <f>VALO_BREVET!T29</f>
        <v>0</v>
      </c>
      <c r="Q37" s="192">
        <f t="shared" si="5"/>
        <v>0</v>
      </c>
    </row>
    <row r="38" spans="1:17" ht="15.75" thickBot="1" x14ac:dyDescent="0.35">
      <c r="H38" s="7" t="s">
        <v>438</v>
      </c>
      <c r="I38" s="13">
        <f>SUM(I33:I37)</f>
        <v>0</v>
      </c>
      <c r="J38" s="13">
        <f>SUM(J33:J37)</f>
        <v>0</v>
      </c>
      <c r="K38" s="13">
        <f>SUM(K33:K37)</f>
        <v>0</v>
      </c>
      <c r="N38" s="6" t="s">
        <v>408</v>
      </c>
      <c r="O38" s="11">
        <f>SUMIFS(VALO_ST!$Z:$Z,VALO_ST!$Q:$Q,"CIC",VALO_ST!$K:$K,'REP cout'!O32)</f>
        <v>0</v>
      </c>
      <c r="P38" s="11"/>
      <c r="Q38" s="192">
        <f t="shared" si="5"/>
        <v>0</v>
      </c>
    </row>
    <row r="39" spans="1:17" ht="15.75" thickBot="1" x14ac:dyDescent="0.35">
      <c r="I39" s="193"/>
      <c r="J39" s="193"/>
      <c r="K39" s="63"/>
      <c r="N39" s="7" t="s">
        <v>438</v>
      </c>
      <c r="O39" s="13">
        <f>SUM(O33:O38)</f>
        <v>0</v>
      </c>
      <c r="P39" s="13">
        <f>SUM(P33:P38)</f>
        <v>0</v>
      </c>
      <c r="Q39" s="13">
        <f>SUM(Q33:Q38)</f>
        <v>0</v>
      </c>
    </row>
    <row r="40" spans="1:17" ht="15.75" thickBot="1" x14ac:dyDescent="0.35">
      <c r="H40" s="150" t="s">
        <v>419</v>
      </c>
      <c r="I40" s="190"/>
      <c r="J40" s="190"/>
      <c r="K40" s="151">
        <f>SUM(I40:J40)</f>
        <v>0</v>
      </c>
    </row>
    <row r="41" spans="1:17" x14ac:dyDescent="0.3">
      <c r="H41" s="17" t="s">
        <v>420</v>
      </c>
      <c r="I41" s="188"/>
      <c r="J41" s="188"/>
      <c r="K41" s="191">
        <f>SUM(I41:J41)</f>
        <v>0</v>
      </c>
      <c r="N41" s="150" t="s">
        <v>419</v>
      </c>
      <c r="O41" s="190"/>
      <c r="P41" s="190"/>
      <c r="Q41" s="151">
        <f>SUM(O41:P41)</f>
        <v>0</v>
      </c>
    </row>
    <row r="42" spans="1:17" x14ac:dyDescent="0.3">
      <c r="H42" s="17" t="s">
        <v>421</v>
      </c>
      <c r="I42" s="188"/>
      <c r="J42" s="188"/>
      <c r="K42" s="191">
        <f>SUM(I42:J42)</f>
        <v>0</v>
      </c>
      <c r="N42" s="17" t="s">
        <v>420</v>
      </c>
      <c r="O42" s="188"/>
      <c r="P42" s="188"/>
      <c r="Q42" s="191">
        <f>SUM(O42:P42)</f>
        <v>0</v>
      </c>
    </row>
    <row r="43" spans="1:17" x14ac:dyDescent="0.3">
      <c r="H43" s="18" t="s">
        <v>422</v>
      </c>
      <c r="I43" s="189"/>
      <c r="J43" s="189">
        <f>SYNTHESE!D24</f>
        <v>0</v>
      </c>
      <c r="K43" s="191">
        <f>SUM(I43:J43)</f>
        <v>0</v>
      </c>
      <c r="N43" s="17" t="s">
        <v>421</v>
      </c>
      <c r="O43" s="188"/>
      <c r="P43" s="188"/>
      <c r="Q43" s="191">
        <f>SUM(O43:P43)</f>
        <v>0</v>
      </c>
    </row>
    <row r="44" spans="1:17" ht="18.75" thickBot="1" x14ac:dyDescent="0.4">
      <c r="H44" s="154" t="s">
        <v>439</v>
      </c>
      <c r="I44" s="13">
        <f>I38+SUM(I40:I43)</f>
        <v>0</v>
      </c>
      <c r="J44" s="13">
        <f>J38+SUM(J40:J43)</f>
        <v>0</v>
      </c>
      <c r="K44" s="13">
        <f>K38+SUM(K40:K43)</f>
        <v>0</v>
      </c>
      <c r="N44" s="18" t="s">
        <v>422</v>
      </c>
      <c r="O44" s="189"/>
      <c r="P44" s="189">
        <f>SYNTHESE!G24</f>
        <v>0</v>
      </c>
      <c r="Q44" s="191">
        <f>SUM(O44:P44)</f>
        <v>0</v>
      </c>
    </row>
    <row r="45" spans="1:17" ht="18.75" thickBot="1" x14ac:dyDescent="0.4">
      <c r="N45" s="154" t="s">
        <v>439</v>
      </c>
      <c r="O45" s="13">
        <f>O39+SUM(O41:O44)</f>
        <v>0</v>
      </c>
      <c r="P45" s="13">
        <f>P39+SUM(P41:P44)</f>
        <v>0</v>
      </c>
      <c r="Q45" s="13">
        <f>Q39+SUM(Q41:Q44)</f>
        <v>0</v>
      </c>
    </row>
    <row r="46" spans="1:17" ht="15.75" thickBot="1" x14ac:dyDescent="0.35">
      <c r="H46" s="19" t="s">
        <v>424</v>
      </c>
      <c r="I46" s="152">
        <f>SYNTHESE!$D$27</f>
        <v>0.2</v>
      </c>
      <c r="J46" s="152">
        <f>SYNTHESE!$D$27</f>
        <v>0.2</v>
      </c>
      <c r="K46" s="152">
        <f>SYNTHESE!$D$27</f>
        <v>0.2</v>
      </c>
    </row>
    <row r="47" spans="1:17" ht="18.75" thickBot="1" x14ac:dyDescent="0.4">
      <c r="H47" s="154" t="s">
        <v>444</v>
      </c>
      <c r="I47" s="13">
        <f>I44*I46</f>
        <v>0</v>
      </c>
      <c r="J47" s="13">
        <f>J44*J46</f>
        <v>0</v>
      </c>
      <c r="K47" s="13">
        <f>K44*K46</f>
        <v>0</v>
      </c>
      <c r="N47" s="19" t="s">
        <v>424</v>
      </c>
      <c r="O47" s="152">
        <v>0.3</v>
      </c>
      <c r="P47" s="152">
        <v>0.3</v>
      </c>
      <c r="Q47" s="153">
        <v>0.3</v>
      </c>
    </row>
    <row r="48" spans="1:17" ht="18.75" thickBot="1" x14ac:dyDescent="0.4">
      <c r="N48" s="154" t="s">
        <v>445</v>
      </c>
      <c r="O48" s="13">
        <f>O45*O47</f>
        <v>0</v>
      </c>
      <c r="P48" s="13">
        <f>P45*P47</f>
        <v>0</v>
      </c>
      <c r="Q48" s="13">
        <f>Q45*Q47</f>
        <v>0</v>
      </c>
    </row>
    <row r="49" spans="1:5" x14ac:dyDescent="0.3">
      <c r="A49" s="24"/>
      <c r="B49" s="26"/>
      <c r="C49" s="26"/>
      <c r="D49" s="26"/>
      <c r="E49" s="26"/>
    </row>
    <row r="55" spans="1:5" x14ac:dyDescent="0.3">
      <c r="A55" s="24"/>
      <c r="B55" s="26"/>
      <c r="C55" s="26"/>
      <c r="D55" s="26"/>
      <c r="E55" s="26"/>
    </row>
    <row r="58" spans="1:5" x14ac:dyDescent="0.3">
      <c r="A58" s="24"/>
      <c r="B58" s="26"/>
      <c r="C58" s="26"/>
      <c r="D58" s="26"/>
      <c r="E58" s="26"/>
    </row>
    <row r="62" spans="1:5" ht="22.5" x14ac:dyDescent="0.3">
      <c r="A62" s="27"/>
    </row>
    <row r="64" spans="1:5" x14ac:dyDescent="0.3">
      <c r="A64" s="24"/>
      <c r="B64" s="25"/>
      <c r="C64" s="25"/>
      <c r="D64" s="25"/>
      <c r="E64" s="25"/>
    </row>
    <row r="81" spans="1:5" x14ac:dyDescent="0.3">
      <c r="A81" s="24"/>
      <c r="B81" s="26"/>
      <c r="C81" s="26"/>
      <c r="D81" s="26"/>
      <c r="E81" s="26"/>
    </row>
    <row r="87" spans="1:5" x14ac:dyDescent="0.3">
      <c r="A87" s="24"/>
      <c r="B87" s="26"/>
      <c r="C87" s="26"/>
      <c r="D87" s="26"/>
      <c r="E87" s="26"/>
    </row>
    <row r="90" spans="1:5" x14ac:dyDescent="0.3">
      <c r="A90" s="24"/>
      <c r="B90" s="26"/>
      <c r="C90" s="26"/>
      <c r="D90" s="26"/>
      <c r="E90" s="26"/>
    </row>
  </sheetData>
  <phoneticPr fontId="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DupliquerProjetColonneEtire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1600200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4" name="Button 3">
              <controlPr defaultSize="0" print="0" autoFill="0" autoPict="0" macro="[0]!EtirerColonnesVersDroite_PleinBloc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7</xdr:col>
                    <xdr:colOff>781050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0C221-09B7-41A6-A8DF-16B2BABCB615}">
  <sheetPr codeName="Feuil21">
    <tabColor rgb="FF2D44EA"/>
  </sheetPr>
  <dimension ref="B1:P47"/>
  <sheetViews>
    <sheetView showGridLines="0" workbookViewId="0">
      <selection activeCell="H8" sqref="H1:P1048576"/>
    </sheetView>
  </sheetViews>
  <sheetFormatPr baseColWidth="10" defaultColWidth="11.42578125" defaultRowHeight="15" x14ac:dyDescent="0.25"/>
  <cols>
    <col min="2" max="2" width="72.140625" bestFit="1" customWidth="1"/>
    <col min="3" max="4" width="17.28515625" customWidth="1"/>
    <col min="5" max="5" width="16.5703125" customWidth="1"/>
    <col min="6" max="6" width="23.7109375" customWidth="1"/>
    <col min="8" max="8" width="70" hidden="1" customWidth="1"/>
    <col min="9" max="9" width="0" hidden="1" customWidth="1"/>
    <col min="10" max="11" width="18" hidden="1" customWidth="1"/>
    <col min="12" max="12" width="0" hidden="1" customWidth="1"/>
    <col min="13" max="13" width="70" hidden="1" customWidth="1"/>
    <col min="14" max="14" width="14.28515625" hidden="1" customWidth="1"/>
    <col min="15" max="15" width="16.42578125" hidden="1" customWidth="1"/>
    <col min="16" max="16" width="0" hidden="1" customWidth="1"/>
  </cols>
  <sheetData>
    <row r="1" spans="2:14" x14ac:dyDescent="0.25">
      <c r="C1" t="s">
        <v>13</v>
      </c>
      <c r="D1" t="s">
        <v>13</v>
      </c>
      <c r="I1" t="s">
        <v>27</v>
      </c>
      <c r="N1" t="s">
        <v>38</v>
      </c>
    </row>
    <row r="2" spans="2:14" x14ac:dyDescent="0.25">
      <c r="B2" s="286" t="s">
        <v>446</v>
      </c>
      <c r="C2" s="286"/>
      <c r="D2" s="286"/>
      <c r="E2" s="286"/>
      <c r="F2" s="286"/>
    </row>
    <row r="3" spans="2:14" x14ac:dyDescent="0.25">
      <c r="B3" s="266"/>
      <c r="C3" s="267"/>
      <c r="D3" s="267"/>
      <c r="E3" s="267"/>
      <c r="F3" s="267"/>
    </row>
    <row r="4" spans="2:14" ht="25.5" x14ac:dyDescent="0.25">
      <c r="B4" s="274" t="s">
        <v>429</v>
      </c>
      <c r="C4" s="275" t="str">
        <f>'REP cout'!B4</f>
        <v>Opération 1: Bioluminescence</v>
      </c>
      <c r="D4" s="275" t="str">
        <f>'REP cout'!C4</f>
        <v>Opération 2: Nouveaux outils</v>
      </c>
      <c r="E4" s="276" t="s">
        <v>447</v>
      </c>
      <c r="F4" s="275" t="s">
        <v>448</v>
      </c>
    </row>
    <row r="5" spans="2:14" hidden="1" x14ac:dyDescent="0.25">
      <c r="B5" s="268" t="s">
        <v>359</v>
      </c>
      <c r="C5" s="269">
        <f>'REP cout'!B5</f>
        <v>0</v>
      </c>
      <c r="D5" s="269">
        <f>'REP cout'!C5</f>
        <v>0</v>
      </c>
      <c r="E5" s="269">
        <f>'REP cout'!D5</f>
        <v>0</v>
      </c>
      <c r="F5" s="269">
        <f t="shared" ref="F5:F18" si="0">+SUM(C5:E5)</f>
        <v>0</v>
      </c>
    </row>
    <row r="6" spans="2:14" x14ac:dyDescent="0.25">
      <c r="B6" s="268" t="s">
        <v>360</v>
      </c>
      <c r="C6" s="269">
        <f>'REP cout'!B6</f>
        <v>139451.0428253783</v>
      </c>
      <c r="D6" s="269">
        <f>'REP cout'!C6</f>
        <v>52232.884144396317</v>
      </c>
      <c r="E6" s="269">
        <f>'REP cout'!D6</f>
        <v>0</v>
      </c>
      <c r="F6" s="269">
        <f>'REP cout'!E6</f>
        <v>191683.92696977462</v>
      </c>
    </row>
    <row r="7" spans="2:14" hidden="1" x14ac:dyDescent="0.25">
      <c r="B7" s="268" t="s">
        <v>400</v>
      </c>
      <c r="C7" s="269">
        <f>'REP cout'!B7</f>
        <v>0</v>
      </c>
      <c r="D7" s="269">
        <f>'REP cout'!C7</f>
        <v>0</v>
      </c>
      <c r="E7" s="269">
        <f>'REP cout'!D7</f>
        <v>0</v>
      </c>
      <c r="F7" s="269">
        <f>'REP cout'!E7</f>
        <v>0</v>
      </c>
    </row>
    <row r="8" spans="2:14" x14ac:dyDescent="0.25">
      <c r="B8" s="268" t="s">
        <v>401</v>
      </c>
      <c r="C8" s="269">
        <f>'REP cout'!B8</f>
        <v>56093.539381615286</v>
      </c>
      <c r="D8" s="269">
        <f>'REP cout'!C8</f>
        <v>21010.43695627233</v>
      </c>
      <c r="E8" s="269">
        <f>'REP cout'!D8</f>
        <v>0</v>
      </c>
      <c r="F8" s="269">
        <f>'REP cout'!E8</f>
        <v>77103.976337887623</v>
      </c>
    </row>
    <row r="9" spans="2:14" hidden="1" x14ac:dyDescent="0.25">
      <c r="B9" s="268" t="s">
        <v>402</v>
      </c>
      <c r="C9" s="269">
        <f>'REP cout'!B9</f>
        <v>0</v>
      </c>
      <c r="D9" s="269">
        <f>'REP cout'!C9</f>
        <v>0</v>
      </c>
      <c r="E9" s="269">
        <f>'REP cout'!D9</f>
        <v>0</v>
      </c>
      <c r="F9" s="269">
        <f t="shared" si="0"/>
        <v>0</v>
      </c>
    </row>
    <row r="10" spans="2:14" hidden="1" x14ac:dyDescent="0.25">
      <c r="B10" s="268" t="s">
        <v>403</v>
      </c>
      <c r="C10" s="269">
        <f>'REP cout'!B10</f>
        <v>0</v>
      </c>
      <c r="D10" s="269">
        <f>'REP cout'!C10</f>
        <v>0</v>
      </c>
      <c r="E10" s="269">
        <f>'REP cout'!D10</f>
        <v>0</v>
      </c>
      <c r="F10" s="269">
        <f t="shared" si="0"/>
        <v>0</v>
      </c>
    </row>
    <row r="11" spans="2:14" hidden="1" x14ac:dyDescent="0.25">
      <c r="B11" s="268" t="s">
        <v>404</v>
      </c>
      <c r="C11" s="269">
        <f>'REP cout'!B11</f>
        <v>0</v>
      </c>
      <c r="D11" s="269">
        <f>'REP cout'!C11</f>
        <v>0</v>
      </c>
      <c r="E11" s="269">
        <f>'REP cout'!D11</f>
        <v>0</v>
      </c>
      <c r="F11" s="269">
        <f t="shared" si="0"/>
        <v>0</v>
      </c>
    </row>
    <row r="12" spans="2:14" hidden="1" x14ac:dyDescent="0.25">
      <c r="B12" s="268" t="s">
        <v>405</v>
      </c>
      <c r="C12" s="269">
        <f>'REP cout'!B12</f>
        <v>0</v>
      </c>
      <c r="D12" s="269">
        <f>'REP cout'!C12</f>
        <v>0</v>
      </c>
      <c r="E12" s="269">
        <f>'REP cout'!D12</f>
        <v>0</v>
      </c>
      <c r="F12" s="269">
        <f t="shared" si="0"/>
        <v>0</v>
      </c>
    </row>
    <row r="13" spans="2:14" hidden="1" x14ac:dyDescent="0.25">
      <c r="B13" s="268" t="s">
        <v>406</v>
      </c>
      <c r="C13" s="269">
        <f>'REP cout'!B13</f>
        <v>0</v>
      </c>
      <c r="D13" s="269">
        <f>'REP cout'!C13</f>
        <v>0</v>
      </c>
      <c r="E13" s="269">
        <f>'REP cout'!D13</f>
        <v>0</v>
      </c>
      <c r="F13" s="269">
        <f t="shared" si="0"/>
        <v>0</v>
      </c>
    </row>
    <row r="14" spans="2:14" hidden="1" x14ac:dyDescent="0.25">
      <c r="B14" s="268" t="s">
        <v>407</v>
      </c>
      <c r="C14" s="269">
        <f>'REP cout'!B14</f>
        <v>0</v>
      </c>
      <c r="D14" s="269">
        <f>'REP cout'!C14</f>
        <v>0</v>
      </c>
      <c r="E14" s="269">
        <f>'REP cout'!D14</f>
        <v>0</v>
      </c>
      <c r="F14" s="269">
        <f t="shared" si="0"/>
        <v>0</v>
      </c>
    </row>
    <row r="15" spans="2:14" x14ac:dyDescent="0.25">
      <c r="B15" s="268" t="s">
        <v>430</v>
      </c>
      <c r="C15" s="269">
        <f>'REP cout'!B15</f>
        <v>0</v>
      </c>
      <c r="D15" s="269">
        <f>'REP cout'!C15</f>
        <v>0</v>
      </c>
      <c r="E15" s="269">
        <f>'REP cout'!D15</f>
        <v>52917</v>
      </c>
      <c r="F15" s="269">
        <f t="shared" si="0"/>
        <v>52917</v>
      </c>
    </row>
    <row r="16" spans="2:14" hidden="1" x14ac:dyDescent="0.25">
      <c r="B16" s="268" t="s">
        <v>431</v>
      </c>
      <c r="C16" s="269">
        <f>'REP cout'!B16</f>
        <v>0</v>
      </c>
      <c r="D16" s="269">
        <f>'REP cout'!C16</f>
        <v>0</v>
      </c>
      <c r="E16" s="269">
        <f>'REP cout'!D16</f>
        <v>0</v>
      </c>
      <c r="F16" s="269">
        <f t="shared" si="0"/>
        <v>0</v>
      </c>
    </row>
    <row r="17" spans="2:16" hidden="1" x14ac:dyDescent="0.25">
      <c r="B17" s="270" t="s">
        <v>414</v>
      </c>
      <c r="C17" s="269">
        <f>'REP cout'!B17</f>
        <v>0</v>
      </c>
      <c r="D17" s="269">
        <f>'REP cout'!C17</f>
        <v>0</v>
      </c>
      <c r="E17" s="269">
        <f>'REP cout'!D17</f>
        <v>0</v>
      </c>
      <c r="F17" s="269">
        <f t="shared" si="0"/>
        <v>0</v>
      </c>
    </row>
    <row r="18" spans="2:16" hidden="1" x14ac:dyDescent="0.25">
      <c r="B18" s="270" t="s">
        <v>416</v>
      </c>
      <c r="C18" s="269">
        <f>'REP cout'!B18</f>
        <v>0</v>
      </c>
      <c r="D18" s="269">
        <f>'REP cout'!C18</f>
        <v>0</v>
      </c>
      <c r="E18" s="269">
        <f>'REP cout'!D18</f>
        <v>0</v>
      </c>
      <c r="F18" s="269">
        <f t="shared" si="0"/>
        <v>0</v>
      </c>
    </row>
    <row r="19" spans="2:16" x14ac:dyDescent="0.25">
      <c r="B19" s="275" t="s">
        <v>432</v>
      </c>
      <c r="C19" s="277">
        <f t="shared" ref="C19:F19" si="1">+SUM(C5:C18)</f>
        <v>195544.5822069936</v>
      </c>
      <c r="D19" s="277">
        <f t="shared" ref="D19" si="2">+SUM(D5:D18)</f>
        <v>73243.321100668647</v>
      </c>
      <c r="E19" s="277">
        <f t="shared" si="1"/>
        <v>52917</v>
      </c>
      <c r="F19" s="278">
        <f t="shared" si="1"/>
        <v>321704.90330766223</v>
      </c>
    </row>
    <row r="20" spans="2:16" x14ac:dyDescent="0.25">
      <c r="B20" s="271"/>
      <c r="C20" s="272"/>
      <c r="D20" s="272"/>
      <c r="E20" s="272"/>
      <c r="F20" s="272"/>
    </row>
    <row r="21" spans="2:16" x14ac:dyDescent="0.25">
      <c r="B21" s="270" t="s">
        <v>419</v>
      </c>
      <c r="C21" s="269">
        <f>'REP cout'!B21</f>
        <v>-195544.5822069936</v>
      </c>
      <c r="D21" s="269"/>
      <c r="E21" s="269"/>
      <c r="F21" s="269">
        <f>+SUM(C21:E21)</f>
        <v>-195544.5822069936</v>
      </c>
    </row>
    <row r="22" spans="2:16" hidden="1" x14ac:dyDescent="0.25">
      <c r="B22" s="270" t="s">
        <v>420</v>
      </c>
      <c r="C22" s="269"/>
      <c r="D22" s="269"/>
      <c r="E22" s="269"/>
      <c r="F22" s="269">
        <f>+SUM(C22:E22)</f>
        <v>0</v>
      </c>
    </row>
    <row r="23" spans="2:16" hidden="1" x14ac:dyDescent="0.25">
      <c r="B23" s="270" t="s">
        <v>421</v>
      </c>
      <c r="C23" s="269"/>
      <c r="D23" s="269"/>
      <c r="E23" s="269"/>
      <c r="F23" s="269">
        <f>+SUM(C23:E23)</f>
        <v>0</v>
      </c>
    </row>
    <row r="24" spans="2:16" hidden="1" x14ac:dyDescent="0.25">
      <c r="B24" s="259" t="s">
        <v>422</v>
      </c>
      <c r="C24" s="269"/>
      <c r="D24" s="269"/>
      <c r="E24" s="269">
        <f>'REP cout'!D24</f>
        <v>0</v>
      </c>
      <c r="F24" s="269">
        <f>+SUM(C24:E24)</f>
        <v>0</v>
      </c>
    </row>
    <row r="25" spans="2:16" x14ac:dyDescent="0.25">
      <c r="B25" s="275" t="s">
        <v>433</v>
      </c>
      <c r="C25" s="277">
        <f>SUM(C19:C24)</f>
        <v>0</v>
      </c>
      <c r="D25" s="277">
        <f>SUM(D19:D24)</f>
        <v>73243.321100668647</v>
      </c>
      <c r="E25" s="277">
        <f>E19+SUM(E21:E24)</f>
        <v>52917</v>
      </c>
      <c r="F25" s="278">
        <f>SUM(F19:F24)</f>
        <v>126160.32110066863</v>
      </c>
    </row>
    <row r="26" spans="2:16" x14ac:dyDescent="0.25">
      <c r="B26" s="273"/>
      <c r="C26" s="272"/>
      <c r="D26" s="272"/>
      <c r="E26" s="272"/>
      <c r="F26" s="272"/>
    </row>
    <row r="27" spans="2:16" x14ac:dyDescent="0.25">
      <c r="B27" s="275" t="s">
        <v>434</v>
      </c>
      <c r="C27" s="277">
        <f>'REP cout'!B28</f>
        <v>0</v>
      </c>
      <c r="D27" s="277">
        <f>'REP cout'!C28</f>
        <v>21972.996330200593</v>
      </c>
      <c r="E27" s="277">
        <f>'REP cout'!D28</f>
        <v>15875.099999999999</v>
      </c>
      <c r="F27" s="277">
        <f>'REP cout'!E28</f>
        <v>37848.096330200591</v>
      </c>
    </row>
    <row r="28" spans="2:16" ht="15.75" thickBot="1" x14ac:dyDescent="0.3"/>
    <row r="29" spans="2:16" ht="22.5" x14ac:dyDescent="0.3">
      <c r="H29" s="22" t="s">
        <v>27</v>
      </c>
      <c r="I29" s="4"/>
      <c r="J29" s="4"/>
      <c r="K29" s="4"/>
      <c r="M29" s="22" t="s">
        <v>38</v>
      </c>
      <c r="N29" s="4"/>
      <c r="O29" s="4"/>
      <c r="P29" s="4"/>
    </row>
    <row r="30" spans="2:16" ht="16.5" thickBot="1" x14ac:dyDescent="0.35">
      <c r="H30" s="4"/>
      <c r="I30" s="4"/>
      <c r="J30" s="4"/>
      <c r="K30" s="4"/>
      <c r="M30" s="4"/>
      <c r="N30" s="4"/>
      <c r="O30" s="4"/>
      <c r="P30" s="4"/>
    </row>
    <row r="31" spans="2:16" ht="45" x14ac:dyDescent="0.3">
      <c r="H31" s="10" t="s">
        <v>441</v>
      </c>
      <c r="I31" s="5" t="str">
        <f>'REP cout'!I32</f>
        <v>Projet 1</v>
      </c>
      <c r="J31" s="5" t="s">
        <v>436</v>
      </c>
      <c r="K31" s="5" t="s">
        <v>437</v>
      </c>
      <c r="M31" s="10" t="s">
        <v>443</v>
      </c>
      <c r="N31" s="5" t="s">
        <v>442</v>
      </c>
      <c r="O31" s="5" t="s">
        <v>436</v>
      </c>
      <c r="P31" s="5" t="s">
        <v>437</v>
      </c>
    </row>
    <row r="32" spans="2:16" ht="15.75" x14ac:dyDescent="0.3">
      <c r="H32" s="6" t="s">
        <v>359</v>
      </c>
      <c r="I32" s="63">
        <f>'REP cout'!I33</f>
        <v>0</v>
      </c>
      <c r="J32" s="63">
        <f>'REP cout'!J33</f>
        <v>0</v>
      </c>
      <c r="K32" s="63">
        <f>'REP cout'!K33</f>
        <v>0</v>
      </c>
      <c r="M32" s="6" t="s">
        <v>359</v>
      </c>
      <c r="N32" s="63">
        <f>'REP cout'!O33</f>
        <v>0</v>
      </c>
      <c r="O32" s="63">
        <f>'REP cout'!P33</f>
        <v>0</v>
      </c>
      <c r="P32" s="63">
        <f>'REP cout'!Q33</f>
        <v>0</v>
      </c>
    </row>
    <row r="33" spans="8:16" ht="15.75" x14ac:dyDescent="0.3">
      <c r="H33" s="6" t="s">
        <v>360</v>
      </c>
      <c r="I33" s="63">
        <f>'REP cout'!I34</f>
        <v>0</v>
      </c>
      <c r="J33" s="63">
        <f>'REP cout'!J34</f>
        <v>0</v>
      </c>
      <c r="K33" s="63">
        <f>'REP cout'!K34</f>
        <v>0</v>
      </c>
      <c r="M33" s="6" t="s">
        <v>360</v>
      </c>
      <c r="N33" s="63">
        <f>'REP cout'!O34</f>
        <v>0</v>
      </c>
      <c r="O33" s="63">
        <f>'REP cout'!P34</f>
        <v>0</v>
      </c>
      <c r="P33" s="63">
        <f>'REP cout'!Q34</f>
        <v>0</v>
      </c>
    </row>
    <row r="34" spans="8:16" ht="15.75" x14ac:dyDescent="0.3">
      <c r="H34" s="6" t="s">
        <v>402</v>
      </c>
      <c r="I34" s="63">
        <f>'REP cout'!I35</f>
        <v>0</v>
      </c>
      <c r="J34" s="63">
        <f>'REP cout'!J35</f>
        <v>0</v>
      </c>
      <c r="K34" s="63">
        <f>'REP cout'!K35</f>
        <v>0</v>
      </c>
      <c r="M34" s="6" t="s">
        <v>401</v>
      </c>
      <c r="N34" s="63">
        <f>'REP cout'!O35</f>
        <v>0</v>
      </c>
      <c r="O34" s="63">
        <f>'REP cout'!P35</f>
        <v>0</v>
      </c>
      <c r="P34" s="63">
        <f>'REP cout'!Q35</f>
        <v>0</v>
      </c>
    </row>
    <row r="35" spans="8:16" ht="15.75" x14ac:dyDescent="0.3">
      <c r="H35" s="6" t="s">
        <v>403</v>
      </c>
      <c r="I35" s="63">
        <f>'REP cout'!I36</f>
        <v>0</v>
      </c>
      <c r="J35" s="63">
        <f>'REP cout'!J36</f>
        <v>0</v>
      </c>
      <c r="K35" s="63">
        <f>'REP cout'!K36</f>
        <v>0</v>
      </c>
      <c r="M35" s="6" t="s">
        <v>402</v>
      </c>
      <c r="N35" s="63">
        <f>'REP cout'!O36</f>
        <v>0</v>
      </c>
      <c r="O35" s="63">
        <f>'REP cout'!P36</f>
        <v>0</v>
      </c>
      <c r="P35" s="63">
        <f>'REP cout'!Q36</f>
        <v>0</v>
      </c>
    </row>
    <row r="36" spans="8:16" ht="15.75" x14ac:dyDescent="0.3">
      <c r="H36" s="6" t="s">
        <v>408</v>
      </c>
      <c r="I36" s="63">
        <f>'REP cout'!I37</f>
        <v>0</v>
      </c>
      <c r="J36" s="63">
        <f>'REP cout'!J37</f>
        <v>0</v>
      </c>
      <c r="K36" s="63">
        <f>'REP cout'!K37</f>
        <v>0</v>
      </c>
      <c r="M36" s="6" t="s">
        <v>403</v>
      </c>
      <c r="N36" s="63">
        <f>'REP cout'!O37</f>
        <v>0</v>
      </c>
      <c r="O36" s="63">
        <f>'REP cout'!P37</f>
        <v>0</v>
      </c>
      <c r="P36" s="63">
        <f>'REP cout'!Q37</f>
        <v>0</v>
      </c>
    </row>
    <row r="37" spans="8:16" ht="16.5" thickBot="1" x14ac:dyDescent="0.35">
      <c r="H37" s="7" t="s">
        <v>438</v>
      </c>
      <c r="I37" s="13">
        <f>SUM(I32:I36)</f>
        <v>0</v>
      </c>
      <c r="J37" s="13">
        <f>SUM(J32:J36)</f>
        <v>0</v>
      </c>
      <c r="K37" s="13">
        <f>SUM(K32:K36)</f>
        <v>0</v>
      </c>
      <c r="M37" s="6" t="s">
        <v>408</v>
      </c>
      <c r="N37" s="63">
        <f>'REP cout'!O38</f>
        <v>0</v>
      </c>
      <c r="O37" s="63">
        <f>'REP cout'!P38</f>
        <v>0</v>
      </c>
      <c r="P37" s="63">
        <f>'REP cout'!Q38</f>
        <v>0</v>
      </c>
    </row>
    <row r="38" spans="8:16" ht="16.5" thickBot="1" x14ac:dyDescent="0.35">
      <c r="H38" s="4"/>
      <c r="I38" s="193"/>
      <c r="J38" s="193"/>
      <c r="K38" s="63"/>
      <c r="M38" s="7" t="s">
        <v>438</v>
      </c>
      <c r="N38" s="7">
        <f>'REP cout'!O39</f>
        <v>0</v>
      </c>
      <c r="O38" s="7">
        <f>'REP cout'!P39</f>
        <v>0</v>
      </c>
      <c r="P38" s="7">
        <f>'REP cout'!Q39</f>
        <v>0</v>
      </c>
    </row>
    <row r="39" spans="8:16" ht="16.5" thickBot="1" x14ac:dyDescent="0.35">
      <c r="H39" s="150" t="s">
        <v>419</v>
      </c>
      <c r="I39" s="190">
        <f>'REP cout'!I40</f>
        <v>0</v>
      </c>
      <c r="J39" s="190">
        <f>'REP cout'!J40</f>
        <v>0</v>
      </c>
      <c r="K39" s="190">
        <f>'REP cout'!K40</f>
        <v>0</v>
      </c>
      <c r="M39" s="4"/>
      <c r="N39" s="4"/>
      <c r="O39" s="4"/>
      <c r="P39" s="4"/>
    </row>
    <row r="40" spans="8:16" ht="16.5" thickBot="1" x14ac:dyDescent="0.35">
      <c r="H40" s="17" t="s">
        <v>420</v>
      </c>
      <c r="I40" s="190">
        <f>'REP cout'!I41</f>
        <v>0</v>
      </c>
      <c r="J40" s="190">
        <f>'REP cout'!J41</f>
        <v>0</v>
      </c>
      <c r="K40" s="190">
        <f>'REP cout'!K41</f>
        <v>0</v>
      </c>
      <c r="M40" s="150" t="s">
        <v>419</v>
      </c>
      <c r="N40" s="190">
        <f>'REP cout'!O41</f>
        <v>0</v>
      </c>
      <c r="O40" s="190">
        <f>'REP cout'!P41</f>
        <v>0</v>
      </c>
      <c r="P40" s="190">
        <f>'REP cout'!Q41</f>
        <v>0</v>
      </c>
    </row>
    <row r="41" spans="8:16" ht="16.5" thickBot="1" x14ac:dyDescent="0.35">
      <c r="H41" s="17" t="s">
        <v>421</v>
      </c>
      <c r="I41" s="190">
        <f>'REP cout'!I42</f>
        <v>0</v>
      </c>
      <c r="J41" s="190">
        <f>'REP cout'!J42</f>
        <v>0</v>
      </c>
      <c r="K41" s="190">
        <f>'REP cout'!K42</f>
        <v>0</v>
      </c>
      <c r="M41" s="17" t="s">
        <v>420</v>
      </c>
      <c r="N41" s="190">
        <f>'REP cout'!O42</f>
        <v>0</v>
      </c>
      <c r="O41" s="190">
        <f>'REP cout'!P42</f>
        <v>0</v>
      </c>
      <c r="P41" s="190">
        <f>'REP cout'!Q42</f>
        <v>0</v>
      </c>
    </row>
    <row r="42" spans="8:16" ht="16.5" thickBot="1" x14ac:dyDescent="0.35">
      <c r="H42" s="18" t="s">
        <v>422</v>
      </c>
      <c r="I42" s="190">
        <f>'REP cout'!I43</f>
        <v>0</v>
      </c>
      <c r="J42" s="190">
        <f>'REP cout'!J43</f>
        <v>0</v>
      </c>
      <c r="K42" s="190">
        <f>'REP cout'!K43</f>
        <v>0</v>
      </c>
      <c r="M42" s="17" t="s">
        <v>421</v>
      </c>
      <c r="N42" s="190">
        <f>'REP cout'!O43</f>
        <v>0</v>
      </c>
      <c r="O42" s="190">
        <f>'REP cout'!P43</f>
        <v>0</v>
      </c>
      <c r="P42" s="190">
        <f>'REP cout'!Q43</f>
        <v>0</v>
      </c>
    </row>
    <row r="43" spans="8:16" ht="18.75" thickBot="1" x14ac:dyDescent="0.4">
      <c r="H43" s="154" t="s">
        <v>439</v>
      </c>
      <c r="I43" s="13">
        <f>'REP cout'!I44</f>
        <v>0</v>
      </c>
      <c r="J43" s="13">
        <f>'REP cout'!J44</f>
        <v>0</v>
      </c>
      <c r="K43" s="13">
        <f>'REP cout'!K44</f>
        <v>0</v>
      </c>
      <c r="M43" s="18" t="s">
        <v>422</v>
      </c>
      <c r="N43" s="190">
        <f>'REP cout'!O44</f>
        <v>0</v>
      </c>
      <c r="O43" s="190">
        <f>'REP cout'!P44</f>
        <v>0</v>
      </c>
      <c r="P43" s="190">
        <f>'REP cout'!Q44</f>
        <v>0</v>
      </c>
    </row>
    <row r="44" spans="8:16" ht="18.75" thickBot="1" x14ac:dyDescent="0.4">
      <c r="H44" s="4"/>
      <c r="I44" s="4"/>
      <c r="J44" s="4"/>
      <c r="K44" s="4"/>
      <c r="M44" s="154" t="s">
        <v>439</v>
      </c>
      <c r="N44" s="13">
        <f>'REP cout'!O45</f>
        <v>0</v>
      </c>
      <c r="O44" s="13">
        <f>'REP cout'!P45</f>
        <v>0</v>
      </c>
      <c r="P44" s="13">
        <f>'REP cout'!Q45</f>
        <v>0</v>
      </c>
    </row>
    <row r="45" spans="8:16" ht="16.5" thickBot="1" x14ac:dyDescent="0.35">
      <c r="H45" s="19" t="s">
        <v>424</v>
      </c>
      <c r="I45" s="152">
        <v>0.3</v>
      </c>
      <c r="J45" s="152">
        <v>0.3</v>
      </c>
      <c r="K45" s="153">
        <v>0.3</v>
      </c>
      <c r="M45" s="4"/>
      <c r="N45" s="4"/>
      <c r="O45" s="4"/>
      <c r="P45" s="4"/>
    </row>
    <row r="46" spans="8:16" ht="18.75" thickBot="1" x14ac:dyDescent="0.4">
      <c r="H46" s="154" t="s">
        <v>444</v>
      </c>
      <c r="I46" s="13">
        <f>I43*I45</f>
        <v>0</v>
      </c>
      <c r="J46" s="13">
        <f>J43*J45</f>
        <v>0</v>
      </c>
      <c r="K46" s="13">
        <f>K43*K45</f>
        <v>0</v>
      </c>
      <c r="M46" s="19" t="s">
        <v>424</v>
      </c>
      <c r="N46" s="152">
        <v>0.3</v>
      </c>
      <c r="O46" s="152">
        <v>0.3</v>
      </c>
      <c r="P46" s="153">
        <v>0.3</v>
      </c>
    </row>
    <row r="47" spans="8:16" ht="18.75" thickBot="1" x14ac:dyDescent="0.4">
      <c r="M47" s="154" t="s">
        <v>445</v>
      </c>
      <c r="N47" s="13">
        <f>'REP cout'!O48</f>
        <v>0</v>
      </c>
      <c r="O47" s="13">
        <f>'REP cout'!P48</f>
        <v>0</v>
      </c>
      <c r="P47" s="13">
        <f>'REP cout'!Q48</f>
        <v>0</v>
      </c>
    </row>
  </sheetData>
  <conditionalFormatting sqref="B4">
    <cfRule type="expression" dxfId="87" priority="12">
      <formula>#REF!="CII"</formula>
    </cfRule>
  </conditionalFormatting>
  <conditionalFormatting sqref="B4:B16">
    <cfRule type="containsText" dxfId="86" priority="13" operator="containsText" text="Rien">
      <formula>NOT(ISERROR(SEARCH("Rien",B4)))</formula>
    </cfRule>
  </conditionalFormatting>
  <conditionalFormatting sqref="B17:B18">
    <cfRule type="containsText" dxfId="85" priority="10" operator="containsText" text="Rien">
      <formula>NOT(ISERROR(SEARCH("Rien",B17)))</formula>
    </cfRule>
  </conditionalFormatting>
  <conditionalFormatting sqref="B21:B24">
    <cfRule type="containsText" dxfId="84" priority="7" operator="containsText" text="Rien">
      <formula>NOT(ISERROR(SEARCH("Rien",B21)))</formula>
    </cfRule>
  </conditionalFormatting>
  <conditionalFormatting sqref="F5 F9:F18">
    <cfRule type="containsText" dxfId="83" priority="16" operator="containsText" text="erreur">
      <formula>NOT(ISERROR(SEARCH("erreur",F5)))</formula>
    </cfRule>
  </conditionalFormatting>
  <conditionalFormatting sqref="C19:E19 C25:E25 C27:F27">
    <cfRule type="containsText" dxfId="82" priority="3" operator="containsText" text="erreur">
      <formula>NOT(ISERROR(SEARCH("erreur",C19)))</formula>
    </cfRule>
    <cfRule type="containsText" dxfId="81" priority="4" operator="containsText" text="diff de">
      <formula>NOT(ISERROR(SEARCH("diff de",C19)))</formula>
    </cfRule>
  </conditionalFormatting>
  <conditionalFormatting sqref="F5 F21:F24 F9:F18">
    <cfRule type="containsText" dxfId="80" priority="14" operator="containsText" text="diff de">
      <formula>NOT(ISERROR(SEARCH("diff de",F5)))</formula>
    </cfRule>
  </conditionalFormatting>
  <conditionalFormatting sqref="F19">
    <cfRule type="expression" dxfId="79" priority="1">
      <formula>$G$3="CII"</formula>
    </cfRule>
    <cfRule type="expression" priority="2">
      <formula>$G$3="CII"</formula>
    </cfRule>
  </conditionalFormatting>
  <conditionalFormatting sqref="F21:F24">
    <cfRule type="containsText" dxfId="78" priority="15" operator="containsText" text="erreur">
      <formula>NOT(ISERROR(SEARCH("erreur",F21)))</formula>
    </cfRule>
  </conditionalFormatting>
  <conditionalFormatting sqref="F25">
    <cfRule type="expression" dxfId="77" priority="8">
      <formula>$G$3="CII"</formula>
    </cfRule>
    <cfRule type="expression" priority="9">
      <formula>$G$3="CII"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54C8CA-19D0-42BF-B6FA-2D829B5B71AE}">
  <sheetPr codeName="Feuil6">
    <tabColor theme="7" tint="0.79998168889431442"/>
  </sheetPr>
  <dimension ref="A1:AQ26"/>
  <sheetViews>
    <sheetView showGridLines="0" workbookViewId="0">
      <selection activeCell="M39" sqref="M39"/>
    </sheetView>
  </sheetViews>
  <sheetFormatPr baseColWidth="10" defaultColWidth="11.42578125" defaultRowHeight="15" outlineLevelCol="1" x14ac:dyDescent="0.25"/>
  <cols>
    <col min="1" max="1" width="7.7109375" style="43" customWidth="1"/>
    <col min="2" max="3" width="2" style="50" bestFit="1" customWidth="1"/>
    <col min="4" max="4" width="8.140625" style="43" bestFit="1" customWidth="1"/>
    <col min="5" max="5" width="10.140625" style="43" bestFit="1" customWidth="1"/>
    <col min="6" max="6" width="15.5703125" style="43" customWidth="1"/>
    <col min="7" max="7" width="15.7109375" style="43" customWidth="1"/>
    <col min="8" max="8" width="36.7109375" style="43" customWidth="1"/>
    <col min="9" max="10" width="11.28515625" style="43" bestFit="1" customWidth="1"/>
    <col min="11" max="11" width="12.28515625" style="43" bestFit="1" customWidth="1"/>
    <col min="12" max="12" width="11.5703125" style="43" customWidth="1"/>
    <col min="13" max="13" width="12.28515625" style="43" bestFit="1" customWidth="1"/>
    <col min="14" max="14" width="16.140625" style="43" customWidth="1" outlineLevel="1"/>
    <col min="15" max="16" width="13.28515625" style="43" customWidth="1" outlineLevel="1"/>
    <col min="17" max="17" width="11.28515625" style="69" hidden="1" customWidth="1" outlineLevel="1"/>
    <col min="18" max="18" width="10.7109375" style="43" bestFit="1" customWidth="1" outlineLevel="1"/>
    <col min="19" max="19" width="2.140625" style="43" bestFit="1" customWidth="1" outlineLevel="1"/>
    <col min="20" max="20" width="15.140625" style="43" hidden="1" customWidth="1" outlineLevel="1"/>
    <col min="21" max="21" width="11.140625" style="43" hidden="1" customWidth="1" outlineLevel="1"/>
    <col min="22" max="22" width="11.140625" style="69" hidden="1" customWidth="1" outlineLevel="1"/>
    <col min="23" max="23" width="0" style="43" hidden="1" customWidth="1" outlineLevel="1"/>
    <col min="24" max="24" width="11.42578125" style="43"/>
    <col min="25" max="25" width="0" style="43" hidden="1" customWidth="1" outlineLevel="1"/>
    <col min="26" max="26" width="6.7109375" style="43" hidden="1" customWidth="1" outlineLevel="1"/>
    <col min="27" max="27" width="11.140625" style="69" hidden="1" customWidth="1" outlineLevel="1"/>
    <col min="28" max="28" width="0" style="43" hidden="1" customWidth="1" outlineLevel="1"/>
    <col min="29" max="29" width="11.42578125" style="43" collapsed="1"/>
    <col min="30" max="32" width="11.42578125" style="43"/>
    <col min="33" max="33" width="10.7109375" style="43" bestFit="1" customWidth="1"/>
    <col min="34" max="34" width="28.28515625" style="43" bestFit="1" customWidth="1"/>
    <col min="35" max="35" width="12.28515625" style="86" customWidth="1"/>
    <col min="36" max="36" width="5.5703125" style="89" customWidth="1"/>
    <col min="37" max="38" width="11.42578125" style="43"/>
    <col min="39" max="39" width="4" style="43" bestFit="1" customWidth="1"/>
    <col min="40" max="40" width="20.5703125" style="43" bestFit="1" customWidth="1"/>
    <col min="41" max="41" width="4.85546875" style="86" bestFit="1" customWidth="1"/>
    <col min="42" max="42" width="3.7109375" style="89" bestFit="1" customWidth="1"/>
    <col min="43" max="16384" width="11.42578125" style="43"/>
  </cols>
  <sheetData>
    <row r="1" spans="2:43" ht="31.15" customHeight="1" thickBot="1" x14ac:dyDescent="0.3">
      <c r="O1" s="43" t="s">
        <v>13</v>
      </c>
      <c r="P1" s="43" t="s">
        <v>13</v>
      </c>
      <c r="Q1" s="71" t="s">
        <v>449</v>
      </c>
      <c r="U1" s="43" t="s">
        <v>27</v>
      </c>
      <c r="V1" s="71" t="s">
        <v>449</v>
      </c>
      <c r="AA1" s="71" t="s">
        <v>449</v>
      </c>
    </row>
    <row r="2" spans="2:43" ht="16.5" customHeight="1" thickBot="1" x14ac:dyDescent="0.3">
      <c r="D2" s="99"/>
      <c r="E2" s="100"/>
      <c r="F2" s="100"/>
      <c r="G2" s="100"/>
      <c r="H2" s="100"/>
      <c r="I2" s="100"/>
      <c r="J2" s="100"/>
      <c r="K2" s="100"/>
      <c r="L2" s="100"/>
      <c r="M2" s="99"/>
      <c r="N2" s="44" t="s">
        <v>13</v>
      </c>
      <c r="O2" s="45"/>
      <c r="P2" s="45"/>
      <c r="Q2" s="70"/>
      <c r="R2" s="46"/>
      <c r="S2" s="232">
        <v>1</v>
      </c>
      <c r="T2" s="44" t="s">
        <v>450</v>
      </c>
      <c r="U2" s="45"/>
      <c r="V2" s="70"/>
      <c r="W2" s="46"/>
      <c r="Y2" s="44" t="s">
        <v>38</v>
      </c>
      <c r="Z2" s="45"/>
      <c r="AA2" s="70"/>
      <c r="AB2" s="46"/>
    </row>
    <row r="3" spans="2:43" ht="60.75" thickBot="1" x14ac:dyDescent="0.3">
      <c r="D3" s="64" t="s">
        <v>451</v>
      </c>
      <c r="E3" s="64" t="s">
        <v>452</v>
      </c>
      <c r="F3" s="64" t="s">
        <v>453</v>
      </c>
      <c r="G3" s="64" t="s">
        <v>454</v>
      </c>
      <c r="H3" s="64" t="s">
        <v>383</v>
      </c>
      <c r="I3" s="64" t="s">
        <v>384</v>
      </c>
      <c r="J3" s="64" t="s">
        <v>385</v>
      </c>
      <c r="K3" s="214" t="s">
        <v>386</v>
      </c>
      <c r="L3" s="64" t="s">
        <v>455</v>
      </c>
      <c r="M3" s="48" t="s">
        <v>456</v>
      </c>
      <c r="N3" s="48" t="s">
        <v>457</v>
      </c>
      <c r="O3" s="49" t="str">
        <f>'REP cout'!B4</f>
        <v>Opération 1: Bioluminescence</v>
      </c>
      <c r="P3" s="49" t="str">
        <f>'REP cout'!C4</f>
        <v>Opération 2: Nouveaux outils</v>
      </c>
      <c r="Q3" s="67" t="s">
        <v>458</v>
      </c>
      <c r="R3" s="81" t="s">
        <v>459</v>
      </c>
      <c r="S3" s="233">
        <v>1</v>
      </c>
      <c r="T3" s="48" t="s">
        <v>460</v>
      </c>
      <c r="U3" s="47" t="str">
        <f>'REP cout'!I32</f>
        <v>Projet 1</v>
      </c>
      <c r="V3" s="67" t="s">
        <v>458</v>
      </c>
      <c r="W3" s="47" t="s">
        <v>461</v>
      </c>
      <c r="Y3" s="48" t="s">
        <v>462</v>
      </c>
      <c r="Z3" s="47" t="str">
        <f>'REP cout'!O32</f>
        <v>Nom projet</v>
      </c>
      <c r="AA3" s="67" t="s">
        <v>458</v>
      </c>
      <c r="AB3" s="47" t="s">
        <v>463</v>
      </c>
    </row>
    <row r="4" spans="2:43" ht="14.45" customHeight="1" x14ac:dyDescent="0.3">
      <c r="B4" s="50">
        <f t="shared" ref="B4:B21" si="0">IFERROR(IF((N4+T4+Y4)&gt;1,1,0),0)</f>
        <v>0</v>
      </c>
      <c r="C4" s="60">
        <f t="shared" ref="C4:C21" si="1">IFERROR(IF((R4+W4+AB4)&gt;L4,1,0),0)</f>
        <v>0</v>
      </c>
      <c r="D4" s="72" t="b">
        <v>1</v>
      </c>
      <c r="E4" s="63"/>
      <c r="F4" s="63"/>
      <c r="G4" s="63"/>
      <c r="H4" s="63"/>
      <c r="I4" s="287"/>
      <c r="J4" s="63"/>
      <c r="K4" s="63"/>
      <c r="L4" s="63"/>
      <c r="M4" s="63"/>
      <c r="N4" s="93"/>
      <c r="O4" s="41">
        <f>IFERROR(IF(OR($M4=parametrage!$M$2,$M4=parametrage!$M$3),VALO_AMO!$N4*VALO_AMO!$L4*VALO_PERSO!Y$12/VALO_PERSO!$AB$12,0),0)</f>
        <v>0</v>
      </c>
      <c r="P4" s="41">
        <f>IFERROR(IF(OR($M4=parametrage!$M$2,$M4=parametrage!$M$3),VALO_AMO!$N4*VALO_AMO!$L4*VALO_PERSO!Z$12/VALO_PERSO!$AB$12,0),0)</f>
        <v>0</v>
      </c>
      <c r="Q4" s="41"/>
      <c r="R4" s="80">
        <f t="shared" ref="R4:R21" si="2">SUM(O4:Q4)</f>
        <v>0</v>
      </c>
      <c r="S4" s="234"/>
      <c r="T4" s="93" t="str">
        <f>IF(M4=parametrage!$M$2,VALO_AMO!$AJ$7,IF(M4=parametrage!$M$3,VALO_AMO!$AP$7,"à définir"))</f>
        <v>à définir</v>
      </c>
      <c r="U4" s="41">
        <f>IFERROR(IF(OR($M4=parametrage!$M$2,$M4=parametrage!$M$3),VALO_AMO!$T4*VALO_AMO!$L4*VALO_PERSO!#REF!/VALO_PERSO!#REF!,0),0)</f>
        <v>0</v>
      </c>
      <c r="V4" s="41"/>
      <c r="W4" s="80">
        <f>SUM(U4:V4)</f>
        <v>0</v>
      </c>
      <c r="Y4" s="93" t="str">
        <f>IF(M4=parametrage!$M$2,VALO_AMO!$AJ$10,IF(M4=parametrage!$M$3,VALO_AMO!$AP$10,"à définir"))</f>
        <v>à définir</v>
      </c>
      <c r="Z4" s="41">
        <f>IFERROR(IF(OR($M4=parametrage!$M$2,$M4=parametrage!$M$3),VALO_AMO!$Y4*VALO_AMO!$L4*VALO_PERSO!AJ$12/VALO_PERSO!$AL$12,0),0)</f>
        <v>0</v>
      </c>
      <c r="AA4" s="41"/>
      <c r="AB4" s="80">
        <f>SUM(Z4:AA4)</f>
        <v>0</v>
      </c>
      <c r="AF4" s="554" t="s">
        <v>21</v>
      </c>
      <c r="AG4" s="555" t="s">
        <v>13</v>
      </c>
      <c r="AH4" s="57" t="s">
        <v>464</v>
      </c>
      <c r="AI4" s="87">
        <f>VALO_PERSO!AB12</f>
        <v>4815.5380000000005</v>
      </c>
      <c r="AJ4" s="553">
        <f>IFERROR(AI4/AI5,0)</f>
        <v>0.81163397459018338</v>
      </c>
      <c r="AK4" s="58"/>
      <c r="AL4" s="554" t="s">
        <v>465</v>
      </c>
      <c r="AM4" s="555" t="s">
        <v>13</v>
      </c>
      <c r="AN4" s="57" t="s">
        <v>464</v>
      </c>
      <c r="AO4" s="87">
        <f>VALO_PERSO!AB12</f>
        <v>4815.5380000000005</v>
      </c>
      <c r="AP4" s="553">
        <f>IFERROR(AO4/AO5,0)</f>
        <v>0</v>
      </c>
      <c r="AQ4" s="58"/>
    </row>
    <row r="5" spans="2:43" ht="15.75" x14ac:dyDescent="0.3">
      <c r="B5" s="50">
        <f t="shared" si="0"/>
        <v>0</v>
      </c>
      <c r="C5" s="60">
        <f t="shared" si="1"/>
        <v>0</v>
      </c>
      <c r="D5" s="72" t="b">
        <v>1</v>
      </c>
      <c r="E5" s="63"/>
      <c r="F5" s="63"/>
      <c r="G5" s="63"/>
      <c r="H5" s="63"/>
      <c r="I5" s="287"/>
      <c r="J5" s="63"/>
      <c r="K5" s="63"/>
      <c r="L5" s="63"/>
      <c r="M5" s="63"/>
      <c r="N5" s="93"/>
      <c r="O5" s="41">
        <f>IFERROR(IF(OR($M5=parametrage!$M$2,$M5=parametrage!$M$3),VALO_AMO!$N5*VALO_AMO!$L5*VALO_PERSO!Y$12/VALO_PERSO!$AB$12,0),0)</f>
        <v>0</v>
      </c>
      <c r="P5" s="41">
        <f>IFERROR(IF(OR($M5=parametrage!$M$2,$M5=parametrage!$M$3),VALO_AMO!$N5*VALO_AMO!$L5*VALO_PERSO!AA$12/VALO_PERSO!$AB$12,0),0)</f>
        <v>0</v>
      </c>
      <c r="Q5" s="41"/>
      <c r="R5" s="80">
        <f t="shared" si="2"/>
        <v>0</v>
      </c>
      <c r="S5" s="234"/>
      <c r="T5" s="93" t="str">
        <f>IF(M5=parametrage!$M$2,VALO_AMO!$AJ$7,IF(M5=parametrage!$M$3,VALO_AMO!$AP$7,"à définir"))</f>
        <v>à définir</v>
      </c>
      <c r="U5" s="41">
        <f>IFERROR(IF(OR($M5=parametrage!$M$2,$M5=parametrage!$M$3),VALO_AMO!$T5*VALO_AMO!$L5*VALO_PERSO!AE$12/VALO_PERSO!$AG$12,0),0)</f>
        <v>0</v>
      </c>
      <c r="V5" s="41"/>
      <c r="W5" s="80">
        <f t="shared" ref="W5:W21" si="3">SUM(U5:V5)</f>
        <v>0</v>
      </c>
      <c r="Y5" s="93" t="str">
        <f>IF(M5=parametrage!$M$2,VALO_AMO!$AJ$10,IF(M5=parametrage!$M$3,VALO_AMO!$AP$10,"à définir"))</f>
        <v>à définir</v>
      </c>
      <c r="Z5" s="41">
        <f>IFERROR(IF(OR($M5=parametrage!$M$2,$M5=parametrage!$M$3),VALO_AMO!$Y5*VALO_AMO!$L5*VALO_PERSO!AJ$12/VALO_PERSO!$AL$12,0),0)</f>
        <v>0</v>
      </c>
      <c r="AA5" s="41"/>
      <c r="AB5" s="80">
        <f t="shared" ref="AB5:AB21" si="4">SUM(Z5:AA5)</f>
        <v>0</v>
      </c>
      <c r="AF5" s="554"/>
      <c r="AG5" s="555"/>
      <c r="AH5" s="57" t="s">
        <v>466</v>
      </c>
      <c r="AI5" s="87">
        <f>VALO_PERSO!BC12</f>
        <v>5933.1399999999994</v>
      </c>
      <c r="AJ5" s="553"/>
      <c r="AK5" s="58"/>
      <c r="AL5" s="554"/>
      <c r="AM5" s="555"/>
      <c r="AN5" s="57" t="s">
        <v>467</v>
      </c>
      <c r="AO5" s="91"/>
      <c r="AP5" s="553"/>
      <c r="AQ5" s="58"/>
    </row>
    <row r="6" spans="2:43" ht="15.75" x14ac:dyDescent="0.3">
      <c r="B6" s="50">
        <f t="shared" si="0"/>
        <v>0</v>
      </c>
      <c r="C6" s="60">
        <f t="shared" si="1"/>
        <v>0</v>
      </c>
      <c r="D6" s="72" t="b">
        <v>1</v>
      </c>
      <c r="E6" s="63"/>
      <c r="F6" s="63"/>
      <c r="G6" s="63"/>
      <c r="H6" s="63"/>
      <c r="I6" s="287"/>
      <c r="J6" s="63"/>
      <c r="K6" s="63"/>
      <c r="L6" s="63"/>
      <c r="M6" s="63"/>
      <c r="N6" s="93"/>
      <c r="O6" s="41">
        <f>IFERROR(IF(OR($M6=parametrage!$M$2,$M6=parametrage!$M$3),VALO_AMO!$N6*VALO_AMO!$L6*VALO_PERSO!Y$12/VALO_PERSO!$AB$12,0),0)</f>
        <v>0</v>
      </c>
      <c r="P6" s="41">
        <f>IFERROR(IF(OR($M6=parametrage!$M$2,$M6=parametrage!$M$3),VALO_AMO!$N6*VALO_AMO!$L6*VALO_PERSO!AA$12/VALO_PERSO!$AB$12,0),0)</f>
        <v>0</v>
      </c>
      <c r="Q6" s="41"/>
      <c r="R6" s="80">
        <f t="shared" si="2"/>
        <v>0</v>
      </c>
      <c r="S6" s="234"/>
      <c r="T6" s="93" t="str">
        <f>IF(M6=parametrage!$M$2,VALO_AMO!$AJ$7,IF(M6=parametrage!$M$3,VALO_AMO!$AP$7,"à définir"))</f>
        <v>à définir</v>
      </c>
      <c r="U6" s="41">
        <f>IFERROR(IF(OR($M6=parametrage!$M$2,$M6=parametrage!$M$3),VALO_AMO!$T6*VALO_AMO!$L6*VALO_PERSO!AE$12/VALO_PERSO!$AG$12,0),0)</f>
        <v>0</v>
      </c>
      <c r="V6" s="41"/>
      <c r="W6" s="80">
        <f t="shared" si="3"/>
        <v>0</v>
      </c>
      <c r="Y6" s="93" t="str">
        <f>IF(M6=parametrage!$M$2,VALO_AMO!$AJ$10,IF(M6=parametrage!$M$3,VALO_AMO!$AP$10,"à définir"))</f>
        <v>à définir</v>
      </c>
      <c r="Z6" s="41">
        <f>IFERROR(IF(OR($M6=parametrage!$M$2,$M6=parametrage!$M$3),VALO_AMO!$Y6*VALO_AMO!$L6*VALO_PERSO!AJ$12/VALO_PERSO!$AL$12,0),0)</f>
        <v>0</v>
      </c>
      <c r="AA6" s="41"/>
      <c r="AB6" s="80">
        <f t="shared" si="4"/>
        <v>0</v>
      </c>
      <c r="AF6" s="58"/>
      <c r="AG6" s="58"/>
      <c r="AH6" s="58"/>
      <c r="AI6" s="88"/>
      <c r="AJ6" s="90"/>
      <c r="AK6" s="58"/>
      <c r="AL6" s="58"/>
      <c r="AM6" s="58"/>
      <c r="AN6" s="58"/>
      <c r="AO6" s="88"/>
      <c r="AP6" s="90"/>
      <c r="AQ6" s="58"/>
    </row>
    <row r="7" spans="2:43" ht="14.45" hidden="1" customHeight="1" x14ac:dyDescent="0.3">
      <c r="B7" s="50">
        <f t="shared" si="0"/>
        <v>0</v>
      </c>
      <c r="C7" s="60">
        <f t="shared" si="1"/>
        <v>0</v>
      </c>
      <c r="D7" s="72" t="b">
        <v>0</v>
      </c>
      <c r="E7" s="63"/>
      <c r="F7" s="63"/>
      <c r="G7" s="63"/>
      <c r="H7" s="63"/>
      <c r="I7" s="287"/>
      <c r="J7" s="63"/>
      <c r="K7" s="63"/>
      <c r="L7" s="63"/>
      <c r="M7" s="63" t="s">
        <v>60</v>
      </c>
      <c r="N7" s="93" t="str">
        <f>IF(M7=parametrage!$M$2,VALO_AMO!$AJ$4,IF(M7=parametrage!$M$3,VALO_AMO!$AP$4,"à définir"))</f>
        <v>à définir</v>
      </c>
      <c r="O7" s="41">
        <f>IFERROR(IF(OR($M7=parametrage!$M$2,$M7=parametrage!$M$3),VALO_AMO!$N7*VALO_AMO!$L7*VALO_PERSO!Y$12/VALO_PERSO!$AB$12,0),0)</f>
        <v>0</v>
      </c>
      <c r="P7" s="41">
        <f>IFERROR(IF(OR($M7=parametrage!$M$2,$M7=parametrage!$M$3),VALO_AMO!$N7*VALO_AMO!$L7*VALO_PERSO!AA$12/VALO_PERSO!$AB$12,0),0)</f>
        <v>0</v>
      </c>
      <c r="Q7" s="41"/>
      <c r="R7" s="80">
        <f t="shared" si="2"/>
        <v>0</v>
      </c>
      <c r="S7" s="234"/>
      <c r="T7" s="93" t="str">
        <f>IF(M7=parametrage!$M$2,VALO_AMO!$AJ$7,IF(M7=parametrage!$M$3,VALO_AMO!$AP$7,"à définir"))</f>
        <v>à définir</v>
      </c>
      <c r="U7" s="41">
        <f>IFERROR(IF(OR($M7=parametrage!$M$2,$M7=parametrage!$M$3),VALO_AMO!$T7*VALO_AMO!$L7*VALO_PERSO!AE$12/VALO_PERSO!$AG$12,0),0)</f>
        <v>0</v>
      </c>
      <c r="V7" s="41"/>
      <c r="W7" s="80">
        <f t="shared" si="3"/>
        <v>0</v>
      </c>
      <c r="Y7" s="93" t="str">
        <f>IF(M7=parametrage!$M$2,VALO_AMO!$AJ$10,IF(M7=parametrage!$M$3,VALO_AMO!$AP$10,"à définir"))</f>
        <v>à définir</v>
      </c>
      <c r="Z7" s="41">
        <f>IFERROR(IF(OR($M7=parametrage!$M$2,$M7=parametrage!$M$3),VALO_AMO!$Y7*VALO_AMO!$L7*VALO_PERSO!AJ$12/VALO_PERSO!$AL$12,0),0)</f>
        <v>0</v>
      </c>
      <c r="AA7" s="41"/>
      <c r="AB7" s="80">
        <f t="shared" si="4"/>
        <v>0</v>
      </c>
      <c r="AF7" s="554" t="s">
        <v>21</v>
      </c>
      <c r="AG7" s="555" t="s">
        <v>27</v>
      </c>
      <c r="AH7" s="57" t="s">
        <v>464</v>
      </c>
      <c r="AI7" s="87">
        <f>VALO_PERSO!AG12</f>
        <v>0</v>
      </c>
      <c r="AJ7" s="553">
        <f>IFERROR(AI7/AI8,0)</f>
        <v>0</v>
      </c>
      <c r="AK7" s="58"/>
      <c r="AL7" s="554" t="s">
        <v>465</v>
      </c>
      <c r="AM7" s="555" t="s">
        <v>27</v>
      </c>
      <c r="AN7" s="57" t="s">
        <v>464</v>
      </c>
      <c r="AO7" s="87">
        <f>VALO_PERSO!AG12</f>
        <v>0</v>
      </c>
      <c r="AP7" s="553">
        <f>IFERROR(AO7/AO8,0)</f>
        <v>0</v>
      </c>
      <c r="AQ7" s="58"/>
    </row>
    <row r="8" spans="2:43" ht="15.75" hidden="1" x14ac:dyDescent="0.3">
      <c r="B8" s="50">
        <f t="shared" si="0"/>
        <v>0</v>
      </c>
      <c r="C8" s="60">
        <f t="shared" si="1"/>
        <v>0</v>
      </c>
      <c r="D8" s="72" t="b">
        <v>0</v>
      </c>
      <c r="E8" s="63"/>
      <c r="F8" s="63"/>
      <c r="G8" s="63"/>
      <c r="H8" s="63"/>
      <c r="I8" s="287"/>
      <c r="J8" s="63"/>
      <c r="K8" s="63"/>
      <c r="L8" s="63"/>
      <c r="M8" s="63" t="s">
        <v>60</v>
      </c>
      <c r="N8" s="93" t="str">
        <f>IF(M8=parametrage!$M$2,VALO_AMO!$AJ$4,IF(M8=parametrage!$M$3,VALO_AMO!$AP$4,"à définir"))</f>
        <v>à définir</v>
      </c>
      <c r="O8" s="41">
        <f>IFERROR(IF(OR($M8=parametrage!$M$2,$M8=parametrage!$M$3),VALO_AMO!$N8*VALO_AMO!$L8*VALO_PERSO!Y$12/VALO_PERSO!$AB$12,0),0)</f>
        <v>0</v>
      </c>
      <c r="P8" s="41">
        <f>IFERROR(IF(OR($M8=parametrage!$M$2,$M8=parametrage!$M$3),VALO_AMO!$N8*VALO_AMO!$L8*VALO_PERSO!AA$12/VALO_PERSO!$AB$12,0),0)</f>
        <v>0</v>
      </c>
      <c r="Q8" s="41"/>
      <c r="R8" s="80">
        <f t="shared" si="2"/>
        <v>0</v>
      </c>
      <c r="S8" s="234"/>
      <c r="T8" s="93" t="str">
        <f>IF(M8=parametrage!$M$2,VALO_AMO!$AJ$7,IF(M8=parametrage!$M$3,VALO_AMO!$AP$7,"à définir"))</f>
        <v>à définir</v>
      </c>
      <c r="U8" s="41">
        <f>IFERROR(IF(OR($M8=parametrage!$M$2,$M8=parametrage!$M$3),VALO_AMO!$T8*VALO_AMO!$L8*VALO_PERSO!AE$12/VALO_PERSO!$AG$12,0),0)</f>
        <v>0</v>
      </c>
      <c r="V8" s="41"/>
      <c r="W8" s="80">
        <f t="shared" si="3"/>
        <v>0</v>
      </c>
      <c r="Y8" s="93" t="str">
        <f>IF(M8=parametrage!$M$2,VALO_AMO!$AJ$10,IF(M8=parametrage!$M$3,VALO_AMO!$AP$10,"à définir"))</f>
        <v>à définir</v>
      </c>
      <c r="Z8" s="41">
        <f>IFERROR(IF(OR($M8=parametrage!$M$2,$M8=parametrage!$M$3),VALO_AMO!$Y8*VALO_AMO!$L8*VALO_PERSO!AJ$12/VALO_PERSO!$AL$12,0),0)</f>
        <v>0</v>
      </c>
      <c r="AA8" s="41"/>
      <c r="AB8" s="80">
        <f t="shared" si="4"/>
        <v>0</v>
      </c>
      <c r="AF8" s="554"/>
      <c r="AG8" s="555"/>
      <c r="AH8" s="57" t="s">
        <v>466</v>
      </c>
      <c r="AI8" s="87">
        <f>VALO_PERSO!BD12</f>
        <v>0</v>
      </c>
      <c r="AJ8" s="553"/>
      <c r="AK8" s="58"/>
      <c r="AL8" s="554"/>
      <c r="AM8" s="555"/>
      <c r="AN8" s="57" t="s">
        <v>467</v>
      </c>
      <c r="AO8" s="91"/>
      <c r="AP8" s="553"/>
      <c r="AQ8" s="58"/>
    </row>
    <row r="9" spans="2:43" ht="15.75" hidden="1" x14ac:dyDescent="0.3">
      <c r="B9" s="50">
        <f t="shared" si="0"/>
        <v>0</v>
      </c>
      <c r="C9" s="60">
        <f t="shared" si="1"/>
        <v>0</v>
      </c>
      <c r="D9" s="72" t="b">
        <v>0</v>
      </c>
      <c r="E9" s="63"/>
      <c r="F9" s="63"/>
      <c r="G9" s="63"/>
      <c r="H9" s="63"/>
      <c r="I9" s="287"/>
      <c r="J9" s="63"/>
      <c r="K9" s="63"/>
      <c r="L9" s="63"/>
      <c r="M9" s="63" t="s">
        <v>60</v>
      </c>
      <c r="N9" s="93" t="str">
        <f>IF(M9=parametrage!$M$2,VALO_AMO!$AJ$4,IF(M9=parametrage!$M$3,VALO_AMO!$AP$4,"à définir"))</f>
        <v>à définir</v>
      </c>
      <c r="O9" s="41">
        <f>IFERROR(IF(OR($M9=parametrage!$M$2,$M9=parametrage!$M$3),VALO_AMO!$N9*VALO_AMO!$L9*VALO_PERSO!Y$12/VALO_PERSO!$AB$12,0),0)</f>
        <v>0</v>
      </c>
      <c r="P9" s="41">
        <f>IFERROR(IF(OR($M9=parametrage!$M$2,$M9=parametrage!$M$3),VALO_AMO!$N9*VALO_AMO!$L9*VALO_PERSO!AA$12/VALO_PERSO!$AB$12,0),0)</f>
        <v>0</v>
      </c>
      <c r="Q9" s="41"/>
      <c r="R9" s="80">
        <f t="shared" si="2"/>
        <v>0</v>
      </c>
      <c r="S9" s="234"/>
      <c r="T9" s="93" t="str">
        <f>IF(M9=parametrage!$M$2,VALO_AMO!$AJ$7,IF(M9=parametrage!$M$3,VALO_AMO!$AP$7,"à définir"))</f>
        <v>à définir</v>
      </c>
      <c r="U9" s="41">
        <f>IFERROR(IF(OR($M9=parametrage!$M$2,$M9=parametrage!$M$3),VALO_AMO!$T9*VALO_AMO!$L9*VALO_PERSO!AE$12/VALO_PERSO!$AG$12,0),0)</f>
        <v>0</v>
      </c>
      <c r="V9" s="41"/>
      <c r="W9" s="80">
        <f t="shared" si="3"/>
        <v>0</v>
      </c>
      <c r="Y9" s="93" t="str">
        <f>IF(M9=parametrage!$M$2,VALO_AMO!$AJ$10,IF(M9=parametrage!$M$3,VALO_AMO!$AP$10,"à définir"))</f>
        <v>à définir</v>
      </c>
      <c r="Z9" s="41">
        <f>IFERROR(IF(OR($M9=parametrage!$M$2,$M9=parametrage!$M$3),VALO_AMO!$Y9*VALO_AMO!$L9*VALO_PERSO!AJ$12/VALO_PERSO!$AL$12,0),0)</f>
        <v>0</v>
      </c>
      <c r="AA9" s="41"/>
      <c r="AB9" s="80">
        <f t="shared" si="4"/>
        <v>0</v>
      </c>
      <c r="AF9" s="58"/>
      <c r="AG9" s="58"/>
      <c r="AH9" s="58"/>
      <c r="AI9" s="88"/>
      <c r="AJ9" s="90"/>
      <c r="AK9" s="58"/>
      <c r="AL9" s="58"/>
      <c r="AM9" s="58"/>
      <c r="AN9" s="58"/>
      <c r="AO9" s="88"/>
      <c r="AP9" s="90"/>
      <c r="AQ9" s="58"/>
    </row>
    <row r="10" spans="2:43" ht="14.45" hidden="1" customHeight="1" x14ac:dyDescent="0.3">
      <c r="B10" s="50">
        <f t="shared" si="0"/>
        <v>0</v>
      </c>
      <c r="C10" s="60">
        <f t="shared" si="1"/>
        <v>0</v>
      </c>
      <c r="D10" s="72" t="b">
        <v>0</v>
      </c>
      <c r="E10" s="63"/>
      <c r="F10" s="63"/>
      <c r="G10" s="63"/>
      <c r="H10" s="63"/>
      <c r="I10" s="287"/>
      <c r="J10" s="63"/>
      <c r="K10" s="63"/>
      <c r="L10" s="63"/>
      <c r="M10" s="63" t="s">
        <v>60</v>
      </c>
      <c r="N10" s="93" t="str">
        <f>IF(M10=parametrage!$M$2,VALO_AMO!$AJ$4,IF(M10=parametrage!$M$3,VALO_AMO!$AP$4,"à définir"))</f>
        <v>à définir</v>
      </c>
      <c r="O10" s="41">
        <f>IFERROR(IF(OR($M10=parametrage!$M$2,$M10=parametrage!$M$3),VALO_AMO!$N10*VALO_AMO!$L10*VALO_PERSO!Y$12/VALO_PERSO!$AB$12,0),0)</f>
        <v>0</v>
      </c>
      <c r="P10" s="41">
        <f>IFERROR(IF(OR($M10=parametrage!$M$2,$M10=parametrage!$M$3),VALO_AMO!$N10*VALO_AMO!$L10*VALO_PERSO!AA$12/VALO_PERSO!$AB$12,0),0)</f>
        <v>0</v>
      </c>
      <c r="Q10" s="41"/>
      <c r="R10" s="80">
        <f t="shared" si="2"/>
        <v>0</v>
      </c>
      <c r="S10" s="234"/>
      <c r="T10" s="93" t="str">
        <f>IF(M10=parametrage!$M$2,VALO_AMO!$AJ$7,IF(M10=parametrage!$M$3,VALO_AMO!$AP$7,"à définir"))</f>
        <v>à définir</v>
      </c>
      <c r="U10" s="41">
        <f>IFERROR(IF(OR($M10=parametrage!$M$2,$M10=parametrage!$M$3),VALO_AMO!$T10*VALO_AMO!$L10*VALO_PERSO!AE$12/VALO_PERSO!$AG$12,0),0)</f>
        <v>0</v>
      </c>
      <c r="V10" s="41"/>
      <c r="W10" s="80">
        <f t="shared" si="3"/>
        <v>0</v>
      </c>
      <c r="Y10" s="93" t="str">
        <f>IF(M10=parametrage!$M$2,VALO_AMO!$AJ$10,IF(M10=parametrage!$M$3,VALO_AMO!$AP$10,"à définir"))</f>
        <v>à définir</v>
      </c>
      <c r="Z10" s="41">
        <f>IFERROR(IF(OR($M10=parametrage!$M$2,$M10=parametrage!$M$3),VALO_AMO!$Y10*VALO_AMO!$L10*VALO_PERSO!AJ$12/VALO_PERSO!$AL$12,0),0)</f>
        <v>0</v>
      </c>
      <c r="AA10" s="41"/>
      <c r="AB10" s="80">
        <f t="shared" si="4"/>
        <v>0</v>
      </c>
      <c r="AF10" s="554" t="s">
        <v>21</v>
      </c>
      <c r="AG10" s="555" t="s">
        <v>38</v>
      </c>
      <c r="AH10" s="57" t="s">
        <v>464</v>
      </c>
      <c r="AI10" s="87">
        <f>VALO_PERSO!AL12</f>
        <v>0</v>
      </c>
      <c r="AJ10" s="553">
        <f>IFERROR(AI10/AI11,0)</f>
        <v>0</v>
      </c>
      <c r="AK10" s="58"/>
      <c r="AL10" s="554" t="s">
        <v>465</v>
      </c>
      <c r="AM10" s="555" t="s">
        <v>38</v>
      </c>
      <c r="AN10" s="57" t="s">
        <v>464</v>
      </c>
      <c r="AO10" s="87">
        <f>VALO_PERSO!AL12</f>
        <v>0</v>
      </c>
      <c r="AP10" s="553">
        <f>IFERROR(AO10/AO11,0)</f>
        <v>0</v>
      </c>
      <c r="AQ10" s="58"/>
    </row>
    <row r="11" spans="2:43" ht="15.75" hidden="1" x14ac:dyDescent="0.3">
      <c r="B11" s="50">
        <f t="shared" si="0"/>
        <v>0</v>
      </c>
      <c r="C11" s="60">
        <f t="shared" si="1"/>
        <v>0</v>
      </c>
      <c r="D11" s="72" t="b">
        <v>0</v>
      </c>
      <c r="E11" s="63"/>
      <c r="F11" s="63"/>
      <c r="G11" s="63"/>
      <c r="H11" s="63"/>
      <c r="I11" s="287"/>
      <c r="J11" s="63"/>
      <c r="K11" s="63"/>
      <c r="L11" s="63"/>
      <c r="M11" s="63" t="s">
        <v>60</v>
      </c>
      <c r="N11" s="93" t="str">
        <f>IF(M11=parametrage!$M$2,VALO_AMO!$AJ$4,IF(M11=parametrage!$M$3,VALO_AMO!$AP$4,"à définir"))</f>
        <v>à définir</v>
      </c>
      <c r="O11" s="41">
        <f>IFERROR(IF(OR($M11=parametrage!$M$2,$M11=parametrage!$M$3),VALO_AMO!$N11*VALO_AMO!$L11*VALO_PERSO!Y$12/VALO_PERSO!$AB$12,0),0)</f>
        <v>0</v>
      </c>
      <c r="P11" s="41">
        <f>IFERROR(IF(OR($M11=parametrage!$M$2,$M11=parametrage!$M$3),VALO_AMO!$N11*VALO_AMO!$L11*VALO_PERSO!AA$12/VALO_PERSO!$AB$12,0),0)</f>
        <v>0</v>
      </c>
      <c r="Q11" s="41"/>
      <c r="R11" s="80">
        <f t="shared" si="2"/>
        <v>0</v>
      </c>
      <c r="S11" s="234"/>
      <c r="T11" s="93" t="str">
        <f>IF(M11=parametrage!$M$2,VALO_AMO!$AJ$7,IF(M11=parametrage!$M$3,VALO_AMO!$AP$7,"à définir"))</f>
        <v>à définir</v>
      </c>
      <c r="U11" s="41">
        <f>IFERROR(IF(OR($M11=parametrage!$M$2,$M11=parametrage!$M$3),VALO_AMO!$T11*VALO_AMO!$L11*VALO_PERSO!AE$12/VALO_PERSO!$AG$12,0),0)</f>
        <v>0</v>
      </c>
      <c r="V11" s="41"/>
      <c r="W11" s="80">
        <f t="shared" si="3"/>
        <v>0</v>
      </c>
      <c r="Y11" s="93" t="str">
        <f>IF(M11=parametrage!$M$2,VALO_AMO!$AJ$10,IF(M11=parametrage!$M$3,VALO_AMO!$AP$10,"à définir"))</f>
        <v>à définir</v>
      </c>
      <c r="Z11" s="41">
        <f>IFERROR(IF(OR($M11=parametrage!$M$2,$M11=parametrage!$M$3),VALO_AMO!$Y11*VALO_AMO!$L11*VALO_PERSO!AJ$12/VALO_PERSO!$AL$12,0),0)</f>
        <v>0</v>
      </c>
      <c r="AA11" s="41"/>
      <c r="AB11" s="80">
        <f t="shared" si="4"/>
        <v>0</v>
      </c>
      <c r="AF11" s="554"/>
      <c r="AG11" s="555"/>
      <c r="AH11" s="57" t="s">
        <v>466</v>
      </c>
      <c r="AI11" s="87">
        <f>VALO_PERSO!BE12</f>
        <v>0</v>
      </c>
      <c r="AJ11" s="553"/>
      <c r="AK11" s="58"/>
      <c r="AL11" s="554"/>
      <c r="AM11" s="555"/>
      <c r="AN11" s="57" t="s">
        <v>467</v>
      </c>
      <c r="AO11" s="91"/>
      <c r="AP11" s="553"/>
      <c r="AQ11" s="58"/>
    </row>
    <row r="12" spans="2:43" ht="15.75" hidden="1" x14ac:dyDescent="0.3">
      <c r="B12" s="50">
        <f t="shared" si="0"/>
        <v>0</v>
      </c>
      <c r="C12" s="60">
        <f t="shared" si="1"/>
        <v>0</v>
      </c>
      <c r="D12" s="72" t="b">
        <v>0</v>
      </c>
      <c r="E12" s="63"/>
      <c r="F12" s="63"/>
      <c r="G12" s="63"/>
      <c r="H12" s="63"/>
      <c r="I12" s="287"/>
      <c r="J12" s="63"/>
      <c r="K12" s="63"/>
      <c r="L12" s="63"/>
      <c r="M12" s="63" t="s">
        <v>60</v>
      </c>
      <c r="N12" s="93" t="str">
        <f>IF(M12=parametrage!$M$2,VALO_AMO!$AJ$4,IF(M12=parametrage!$M$3,VALO_AMO!$AP$4,"à définir"))</f>
        <v>à définir</v>
      </c>
      <c r="O12" s="41">
        <f>IFERROR(IF(OR($M12=parametrage!$M$2,$M12=parametrage!$M$3),VALO_AMO!$N12*VALO_AMO!$L12*VALO_PERSO!Y$12/VALO_PERSO!$AB$12,0),0)</f>
        <v>0</v>
      </c>
      <c r="P12" s="41">
        <f>IFERROR(IF(OR($M12=parametrage!$M$2,$M12=parametrage!$M$3),VALO_AMO!$N12*VALO_AMO!$L12*VALO_PERSO!AA$12/VALO_PERSO!$AB$12,0),0)</f>
        <v>0</v>
      </c>
      <c r="Q12" s="41"/>
      <c r="R12" s="80">
        <f t="shared" si="2"/>
        <v>0</v>
      </c>
      <c r="S12" s="234"/>
      <c r="T12" s="93" t="str">
        <f>IF(M12=parametrage!$M$2,VALO_AMO!$AJ$7,IF(M12=parametrage!$M$3,VALO_AMO!$AP$7,"à définir"))</f>
        <v>à définir</v>
      </c>
      <c r="U12" s="41">
        <f>IFERROR(IF(OR($M12=parametrage!$M$2,$M12=parametrage!$M$3),VALO_AMO!$T12*VALO_AMO!$L12*VALO_PERSO!AE$12/VALO_PERSO!$AG$12,0),0)</f>
        <v>0</v>
      </c>
      <c r="V12" s="41"/>
      <c r="W12" s="80">
        <f t="shared" si="3"/>
        <v>0</v>
      </c>
      <c r="Y12" s="93" t="str">
        <f>IF(M12=parametrage!$M$2,VALO_AMO!$AJ$10,IF(M12=parametrage!$M$3,VALO_AMO!$AP$10,"à définir"))</f>
        <v>à définir</v>
      </c>
      <c r="Z12" s="41">
        <f>IFERROR(IF(OR($M12=parametrage!$M$2,$M12=parametrage!$M$3),VALO_AMO!$Y12*VALO_AMO!$L12*VALO_PERSO!AJ$12/VALO_PERSO!$AL$12,0),0)</f>
        <v>0</v>
      </c>
      <c r="AA12" s="41"/>
      <c r="AB12" s="80">
        <f t="shared" si="4"/>
        <v>0</v>
      </c>
      <c r="AF12" s="58"/>
      <c r="AG12" s="58"/>
      <c r="AH12" s="58"/>
      <c r="AI12" s="88"/>
      <c r="AJ12" s="90"/>
      <c r="AK12" s="58"/>
      <c r="AL12" s="58"/>
      <c r="AM12" s="58"/>
      <c r="AN12" s="58"/>
      <c r="AO12" s="88"/>
      <c r="AP12" s="90"/>
      <c r="AQ12" s="58"/>
    </row>
    <row r="13" spans="2:43" ht="15.75" hidden="1" x14ac:dyDescent="0.3">
      <c r="B13" s="50">
        <f t="shared" si="0"/>
        <v>0</v>
      </c>
      <c r="C13" s="60">
        <f t="shared" si="1"/>
        <v>0</v>
      </c>
      <c r="D13" s="72" t="b">
        <v>0</v>
      </c>
      <c r="E13" s="63"/>
      <c r="F13" s="63"/>
      <c r="G13" s="63"/>
      <c r="H13" s="63"/>
      <c r="I13" s="287"/>
      <c r="J13" s="63"/>
      <c r="K13" s="63"/>
      <c r="L13" s="63"/>
      <c r="M13" s="63" t="s">
        <v>60</v>
      </c>
      <c r="N13" s="93" t="str">
        <f>IF(M13=parametrage!$M$2,VALO_AMO!$AJ$4,IF(M13=parametrage!$M$3,VALO_AMO!$AP$4,"à définir"))</f>
        <v>à définir</v>
      </c>
      <c r="O13" s="41">
        <f>IFERROR(IF(OR($M13=parametrage!$M$2,$M13=parametrage!$M$3),VALO_AMO!$N13*VALO_AMO!$L13*VALO_PERSO!Y$12/VALO_PERSO!$AB$12,0),0)</f>
        <v>0</v>
      </c>
      <c r="P13" s="41">
        <f>IFERROR(IF(OR($M13=parametrage!$M$2,$M13=parametrage!$M$3),VALO_AMO!$N13*VALO_AMO!$L13*VALO_PERSO!AA$12/VALO_PERSO!$AB$12,0),0)</f>
        <v>0</v>
      </c>
      <c r="Q13" s="41"/>
      <c r="R13" s="80">
        <f t="shared" si="2"/>
        <v>0</v>
      </c>
      <c r="S13" s="234"/>
      <c r="T13" s="93" t="str">
        <f>IF(M13=parametrage!$M$2,VALO_AMO!$AJ$7,IF(M13=parametrage!$M$3,VALO_AMO!$AP$7,"à définir"))</f>
        <v>à définir</v>
      </c>
      <c r="U13" s="41">
        <f>IFERROR(IF(OR($M13=parametrage!$M$2,$M13=parametrage!$M$3),VALO_AMO!$T13*VALO_AMO!$L13*VALO_PERSO!AE$12/VALO_PERSO!$AG$12,0),0)</f>
        <v>0</v>
      </c>
      <c r="V13" s="41"/>
      <c r="W13" s="80">
        <f t="shared" si="3"/>
        <v>0</v>
      </c>
      <c r="Y13" s="93" t="str">
        <f>IF(M13=parametrage!$M$2,VALO_AMO!$AJ$10,IF(M13=parametrage!$M$3,VALO_AMO!$AP$10,"à définir"))</f>
        <v>à définir</v>
      </c>
      <c r="Z13" s="41">
        <f>IFERROR(IF(OR($M13=parametrage!$M$2,$M13=parametrage!$M$3),VALO_AMO!$Y13*VALO_AMO!$L13*VALO_PERSO!AJ$12/VALO_PERSO!$AL$12,0),0)</f>
        <v>0</v>
      </c>
      <c r="AA13" s="41"/>
      <c r="AB13" s="80">
        <f t="shared" si="4"/>
        <v>0</v>
      </c>
      <c r="AF13" s="58"/>
      <c r="AG13" s="58"/>
      <c r="AH13" s="58"/>
      <c r="AI13" s="88"/>
      <c r="AJ13" s="90"/>
      <c r="AK13" s="58"/>
      <c r="AL13" s="58"/>
      <c r="AM13" s="58"/>
      <c r="AN13" s="58"/>
      <c r="AO13" s="88"/>
      <c r="AP13" s="90"/>
      <c r="AQ13" s="58"/>
    </row>
    <row r="14" spans="2:43" ht="15.75" hidden="1" x14ac:dyDescent="0.3">
      <c r="B14" s="50">
        <f t="shared" si="0"/>
        <v>0</v>
      </c>
      <c r="C14" s="60">
        <f t="shared" si="1"/>
        <v>0</v>
      </c>
      <c r="D14" s="72" t="b">
        <v>0</v>
      </c>
      <c r="E14" s="63"/>
      <c r="F14" s="63"/>
      <c r="G14" s="63"/>
      <c r="H14" s="63"/>
      <c r="I14" s="287"/>
      <c r="J14" s="63"/>
      <c r="K14" s="63"/>
      <c r="L14" s="63"/>
      <c r="M14" s="63" t="s">
        <v>60</v>
      </c>
      <c r="N14" s="93" t="str">
        <f>IF(M14=parametrage!$M$2,VALO_AMO!$AJ$4,IF(M14=parametrage!$M$3,VALO_AMO!$AP$4,"à définir"))</f>
        <v>à définir</v>
      </c>
      <c r="O14" s="41">
        <f>IFERROR(IF(OR($M14=parametrage!$M$2,$M14=parametrage!$M$3),VALO_AMO!$N14*VALO_AMO!$L14*VALO_PERSO!Y$12/VALO_PERSO!$AB$12,0),0)</f>
        <v>0</v>
      </c>
      <c r="P14" s="41">
        <f>IFERROR(IF(OR($M14=parametrage!$M$2,$M14=parametrage!$M$3),VALO_AMO!$N14*VALO_AMO!$L14*VALO_PERSO!AA$12/VALO_PERSO!$AB$12,0),0)</f>
        <v>0</v>
      </c>
      <c r="Q14" s="41"/>
      <c r="R14" s="80">
        <f t="shared" si="2"/>
        <v>0</v>
      </c>
      <c r="S14" s="234"/>
      <c r="T14" s="93" t="str">
        <f>IF(M14=parametrage!$M$2,VALO_AMO!$AJ$7,IF(M14=parametrage!$M$3,VALO_AMO!$AP$7,"à définir"))</f>
        <v>à définir</v>
      </c>
      <c r="U14" s="41">
        <f>IFERROR(IF(OR($M14=parametrage!$M$2,$M14=parametrage!$M$3),VALO_AMO!$T14*VALO_AMO!$L14*VALO_PERSO!AE$12/VALO_PERSO!$AG$12,0),0)</f>
        <v>0</v>
      </c>
      <c r="V14" s="41"/>
      <c r="W14" s="80">
        <f t="shared" si="3"/>
        <v>0</v>
      </c>
      <c r="Y14" s="93" t="str">
        <f>IF(M14=parametrage!$M$2,VALO_AMO!$AJ$10,IF(M14=parametrage!$M$3,VALO_AMO!$AP$10,"à définir"))</f>
        <v>à définir</v>
      </c>
      <c r="Z14" s="41">
        <f>IFERROR(IF(OR($M14=parametrage!$M$2,$M14=parametrage!$M$3),VALO_AMO!$Y14*VALO_AMO!$L14*VALO_PERSO!AJ$12/VALO_PERSO!$AL$12,0),0)</f>
        <v>0</v>
      </c>
      <c r="AA14" s="41"/>
      <c r="AB14" s="80">
        <f t="shared" si="4"/>
        <v>0</v>
      </c>
      <c r="AF14" s="551" t="s">
        <v>53</v>
      </c>
      <c r="AG14" s="552" t="s">
        <v>59</v>
      </c>
      <c r="AH14" s="59" t="s">
        <v>60</v>
      </c>
      <c r="AI14" s="87">
        <v>0</v>
      </c>
      <c r="AJ14" s="553">
        <f>IFERROR(AI14/AI15,0)</f>
        <v>0</v>
      </c>
      <c r="AK14" s="58"/>
      <c r="AL14" s="58"/>
      <c r="AM14" s="58"/>
      <c r="AN14" s="58"/>
      <c r="AO14" s="88"/>
      <c r="AP14" s="90"/>
      <c r="AQ14" s="58"/>
    </row>
    <row r="15" spans="2:43" ht="15.75" hidden="1" x14ac:dyDescent="0.3">
      <c r="B15" s="50">
        <f t="shared" si="0"/>
        <v>0</v>
      </c>
      <c r="C15" s="60">
        <f t="shared" si="1"/>
        <v>0</v>
      </c>
      <c r="D15" s="72" t="b">
        <v>0</v>
      </c>
      <c r="E15" s="63"/>
      <c r="F15" s="63"/>
      <c r="G15" s="63"/>
      <c r="H15" s="63"/>
      <c r="I15" s="287"/>
      <c r="J15" s="63"/>
      <c r="K15" s="63"/>
      <c r="L15" s="63"/>
      <c r="M15" s="63" t="s">
        <v>60</v>
      </c>
      <c r="N15" s="93" t="str">
        <f>IF(M15=parametrage!$M$2,VALO_AMO!$AJ$4,IF(M15=parametrage!$M$3,VALO_AMO!$AP$4,"à définir"))</f>
        <v>à définir</v>
      </c>
      <c r="O15" s="41">
        <f>IFERROR(IF(OR($M15=parametrage!$M$2,$M15=parametrage!$M$3),VALO_AMO!$N15*VALO_AMO!$L15*VALO_PERSO!Y$12/VALO_PERSO!$AB$12,0),0)</f>
        <v>0</v>
      </c>
      <c r="P15" s="41">
        <f>IFERROR(IF(OR($M15=parametrage!$M$2,$M15=parametrage!$M$3),VALO_AMO!$N15*VALO_AMO!$L15*VALO_PERSO!AA$12/VALO_PERSO!$AB$12,0),0)</f>
        <v>0</v>
      </c>
      <c r="Q15" s="41"/>
      <c r="R15" s="80">
        <f t="shared" si="2"/>
        <v>0</v>
      </c>
      <c r="S15" s="234"/>
      <c r="T15" s="93" t="str">
        <f>IF(M15=parametrage!$M$2,VALO_AMO!$AJ$7,IF(M15=parametrage!$M$3,VALO_AMO!$AP$7,"à définir"))</f>
        <v>à définir</v>
      </c>
      <c r="U15" s="41">
        <f>IFERROR(IF(OR($M15=parametrage!$M$2,$M15=parametrage!$M$3),VALO_AMO!$T15*VALO_AMO!$L15*VALO_PERSO!AE$12/VALO_PERSO!$AG$12,0),0)</f>
        <v>0</v>
      </c>
      <c r="V15" s="41"/>
      <c r="W15" s="80">
        <f t="shared" si="3"/>
        <v>0</v>
      </c>
      <c r="Y15" s="93" t="str">
        <f>IF(M15=parametrage!$M$2,VALO_AMO!$AJ$10,IF(M15=parametrage!$M$3,VALO_AMO!$AP$10,"à définir"))</f>
        <v>à définir</v>
      </c>
      <c r="Z15" s="41">
        <f>IFERROR(IF(OR($M15=parametrage!$M$2,$M15=parametrage!$M$3),VALO_AMO!$Y15*VALO_AMO!$L15*VALO_PERSO!AJ$12/VALO_PERSO!$AL$12,0),0)</f>
        <v>0</v>
      </c>
      <c r="AA15" s="41"/>
      <c r="AB15" s="80">
        <f t="shared" si="4"/>
        <v>0</v>
      </c>
      <c r="AF15" s="551"/>
      <c r="AG15" s="552"/>
      <c r="AH15" s="59" t="s">
        <v>60</v>
      </c>
      <c r="AI15" s="87">
        <v>0</v>
      </c>
      <c r="AJ15" s="553"/>
      <c r="AK15" s="58"/>
      <c r="AL15" s="58"/>
      <c r="AM15" s="58"/>
      <c r="AN15" s="58"/>
      <c r="AO15" s="88"/>
      <c r="AP15" s="90"/>
      <c r="AQ15" s="58"/>
    </row>
    <row r="16" spans="2:43" ht="15.75" hidden="1" x14ac:dyDescent="0.3">
      <c r="B16" s="50">
        <f t="shared" si="0"/>
        <v>0</v>
      </c>
      <c r="C16" s="60">
        <f t="shared" si="1"/>
        <v>0</v>
      </c>
      <c r="D16" s="72" t="b">
        <v>0</v>
      </c>
      <c r="E16" s="63"/>
      <c r="F16" s="63"/>
      <c r="G16" s="63"/>
      <c r="H16" s="63"/>
      <c r="I16" s="287"/>
      <c r="J16" s="63"/>
      <c r="K16" s="63"/>
      <c r="L16" s="63"/>
      <c r="M16" s="63" t="s">
        <v>60</v>
      </c>
      <c r="N16" s="93" t="str">
        <f>IF(M16=parametrage!$M$2,VALO_AMO!$AJ$4,IF(M16=parametrage!$M$3,VALO_AMO!$AP$4,"à définir"))</f>
        <v>à définir</v>
      </c>
      <c r="O16" s="41">
        <f>IFERROR(IF(OR($M16=parametrage!$M$2,$M16=parametrage!$M$3),VALO_AMO!$N16*VALO_AMO!$L16*VALO_PERSO!Y$12/VALO_PERSO!$AB$12,0),0)</f>
        <v>0</v>
      </c>
      <c r="P16" s="41">
        <f>IFERROR(IF(OR($M16=parametrage!$M$2,$M16=parametrage!$M$3),VALO_AMO!$N16*VALO_AMO!$L16*VALO_PERSO!AA$12/VALO_PERSO!$AB$12,0),0)</f>
        <v>0</v>
      </c>
      <c r="Q16" s="41"/>
      <c r="R16" s="80">
        <f t="shared" si="2"/>
        <v>0</v>
      </c>
      <c r="S16" s="234"/>
      <c r="T16" s="93" t="str">
        <f>IF(M16=parametrage!$M$2,VALO_AMO!$AJ$7,IF(M16=parametrage!$M$3,VALO_AMO!$AP$7,"à définir"))</f>
        <v>à définir</v>
      </c>
      <c r="U16" s="41">
        <f>IFERROR(IF(OR($M16=parametrage!$M$2,$M16=parametrage!$M$3),VALO_AMO!$T16*VALO_AMO!$L16*VALO_PERSO!AE$12/VALO_PERSO!$AG$12,0),0)</f>
        <v>0</v>
      </c>
      <c r="V16" s="41"/>
      <c r="W16" s="80">
        <f t="shared" si="3"/>
        <v>0</v>
      </c>
      <c r="Y16" s="93" t="str">
        <f>IF(M16=parametrage!$M$2,VALO_AMO!$AJ$10,IF(M16=parametrage!$M$3,VALO_AMO!$AP$10,"à définir"))</f>
        <v>à définir</v>
      </c>
      <c r="Z16" s="41">
        <f>IFERROR(IF(OR($M16=parametrage!$M$2,$M16=parametrage!$M$3),VALO_AMO!$Y16*VALO_AMO!$L16*VALO_PERSO!AJ$12/VALO_PERSO!$AL$12,0),0)</f>
        <v>0</v>
      </c>
      <c r="AA16" s="41"/>
      <c r="AB16" s="80">
        <f t="shared" si="4"/>
        <v>0</v>
      </c>
    </row>
    <row r="17" spans="1:28" ht="15.75" hidden="1" x14ac:dyDescent="0.3">
      <c r="B17" s="50">
        <f t="shared" si="0"/>
        <v>0</v>
      </c>
      <c r="C17" s="60">
        <f t="shared" si="1"/>
        <v>0</v>
      </c>
      <c r="D17" s="72" t="b">
        <v>0</v>
      </c>
      <c r="E17" s="63"/>
      <c r="F17" s="63"/>
      <c r="G17" s="63"/>
      <c r="H17" s="63"/>
      <c r="I17" s="287"/>
      <c r="J17" s="63"/>
      <c r="K17" s="63"/>
      <c r="L17" s="63"/>
      <c r="M17" s="63" t="s">
        <v>60</v>
      </c>
      <c r="N17" s="93" t="str">
        <f>IF(M17=parametrage!$M$2,VALO_AMO!$AJ$4,IF(M17=parametrage!$M$3,VALO_AMO!$AP$4,"à définir"))</f>
        <v>à définir</v>
      </c>
      <c r="O17" s="41">
        <f>IFERROR(IF(OR($M17=parametrage!$M$2,$M17=parametrage!$M$3),VALO_AMO!$N17*VALO_AMO!$L17*VALO_PERSO!Y$12/VALO_PERSO!$AB$12,0),0)</f>
        <v>0</v>
      </c>
      <c r="P17" s="41">
        <f>IFERROR(IF(OR($M17=parametrage!$M$2,$M17=parametrage!$M$3),VALO_AMO!$N17*VALO_AMO!$L17*VALO_PERSO!AA$12/VALO_PERSO!$AB$12,0),0)</f>
        <v>0</v>
      </c>
      <c r="Q17" s="41"/>
      <c r="R17" s="80">
        <f t="shared" si="2"/>
        <v>0</v>
      </c>
      <c r="S17" s="234"/>
      <c r="T17" s="93" t="str">
        <f>IF(M17=parametrage!$M$2,VALO_AMO!$AJ$7,IF(M17=parametrage!$M$3,VALO_AMO!$AP$7,"à définir"))</f>
        <v>à définir</v>
      </c>
      <c r="U17" s="41">
        <f>IFERROR(IF(OR($M17=parametrage!$M$2,$M17=parametrage!$M$3),VALO_AMO!$T17*VALO_AMO!$L17*VALO_PERSO!AE$12/VALO_PERSO!$AG$12,0),0)</f>
        <v>0</v>
      </c>
      <c r="V17" s="41"/>
      <c r="W17" s="80">
        <f t="shared" si="3"/>
        <v>0</v>
      </c>
      <c r="Y17" s="93" t="str">
        <f>IF(M17=parametrage!$M$2,VALO_AMO!$AJ$10,IF(M17=parametrage!$M$3,VALO_AMO!$AP$10,"à définir"))</f>
        <v>à définir</v>
      </c>
      <c r="Z17" s="41">
        <f>IFERROR(IF(OR($M17=parametrage!$M$2,$M17=parametrage!$M$3),VALO_AMO!$Y17*VALO_AMO!$L17*VALO_PERSO!AJ$12/VALO_PERSO!$AL$12,0),0)</f>
        <v>0</v>
      </c>
      <c r="AA17" s="41"/>
      <c r="AB17" s="80">
        <f t="shared" si="4"/>
        <v>0</v>
      </c>
    </row>
    <row r="18" spans="1:28" ht="15.75" hidden="1" x14ac:dyDescent="0.3">
      <c r="B18" s="50">
        <f t="shared" si="0"/>
        <v>0</v>
      </c>
      <c r="C18" s="60">
        <f t="shared" si="1"/>
        <v>0</v>
      </c>
      <c r="D18" s="72" t="b">
        <v>0</v>
      </c>
      <c r="E18" s="63"/>
      <c r="F18" s="63"/>
      <c r="G18" s="63"/>
      <c r="H18" s="63"/>
      <c r="I18" s="287"/>
      <c r="J18" s="63"/>
      <c r="K18" s="63"/>
      <c r="L18" s="63"/>
      <c r="M18" s="63" t="s">
        <v>60</v>
      </c>
      <c r="N18" s="93" t="str">
        <f>IF(M18=parametrage!$M$2,VALO_AMO!$AJ$4,IF(M18=parametrage!$M$3,VALO_AMO!$AP$4,"à définir"))</f>
        <v>à définir</v>
      </c>
      <c r="O18" s="41">
        <f>IFERROR(IF(OR($M18=parametrage!$M$2,$M18=parametrage!$M$3),VALO_AMO!$N18*VALO_AMO!$L18*VALO_PERSO!Y$12/VALO_PERSO!$AB$12,0),0)</f>
        <v>0</v>
      </c>
      <c r="P18" s="41">
        <f>IFERROR(IF(OR($M18=parametrage!$M$2,$M18=parametrage!$M$3),VALO_AMO!$N18*VALO_AMO!$L18*VALO_PERSO!AA$12/VALO_PERSO!$AB$12,0),0)</f>
        <v>0</v>
      </c>
      <c r="Q18" s="41"/>
      <c r="R18" s="80">
        <f t="shared" si="2"/>
        <v>0</v>
      </c>
      <c r="S18" s="234"/>
      <c r="T18" s="93" t="str">
        <f>IF(M18=parametrage!$M$2,VALO_AMO!$AJ$7,IF(M18=parametrage!$M$3,VALO_AMO!$AP$7,"à définir"))</f>
        <v>à définir</v>
      </c>
      <c r="U18" s="41">
        <f>IFERROR(IF(OR($M18=parametrage!$M$2,$M18=parametrage!$M$3),VALO_AMO!$T18*VALO_AMO!$L18*VALO_PERSO!AE$12/VALO_PERSO!$AG$12,0),0)</f>
        <v>0</v>
      </c>
      <c r="V18" s="41"/>
      <c r="W18" s="80">
        <f t="shared" si="3"/>
        <v>0</v>
      </c>
      <c r="Y18" s="93" t="str">
        <f>IF(M18=parametrage!$M$2,VALO_AMO!$AJ$10,IF(M18=parametrage!$M$3,VALO_AMO!$AP$10,"à définir"))</f>
        <v>à définir</v>
      </c>
      <c r="Z18" s="41">
        <f>IFERROR(IF(OR($M18=parametrage!$M$2,$M18=parametrage!$M$3),VALO_AMO!$Y18*VALO_AMO!$L18*VALO_PERSO!AJ$12/VALO_PERSO!$AL$12,0),0)</f>
        <v>0</v>
      </c>
      <c r="AA18" s="41"/>
      <c r="AB18" s="80">
        <f t="shared" si="4"/>
        <v>0</v>
      </c>
    </row>
    <row r="19" spans="1:28" ht="15.75" hidden="1" x14ac:dyDescent="0.3">
      <c r="B19" s="50">
        <f t="shared" si="0"/>
        <v>0</v>
      </c>
      <c r="C19" s="60">
        <f t="shared" si="1"/>
        <v>0</v>
      </c>
      <c r="D19" s="72" t="b">
        <v>0</v>
      </c>
      <c r="E19" s="63"/>
      <c r="F19" s="63"/>
      <c r="G19" s="63"/>
      <c r="H19" s="63"/>
      <c r="I19" s="287"/>
      <c r="J19" s="63"/>
      <c r="K19" s="63"/>
      <c r="L19" s="63"/>
      <c r="M19" s="63" t="s">
        <v>60</v>
      </c>
      <c r="N19" s="93" t="str">
        <f>IF(M19=parametrage!$M$2,VALO_AMO!$AJ$4,IF(M19=parametrage!$M$3,VALO_AMO!$AP$4,"à définir"))</f>
        <v>à définir</v>
      </c>
      <c r="O19" s="41">
        <f>IFERROR(IF(OR($M19=parametrage!$M$2,$M19=parametrage!$M$3),VALO_AMO!$N19*VALO_AMO!$L19*VALO_PERSO!Y$12/VALO_PERSO!$AB$12,0),0)</f>
        <v>0</v>
      </c>
      <c r="P19" s="41">
        <f>IFERROR(IF(OR($M19=parametrage!$M$2,$M19=parametrage!$M$3),VALO_AMO!$N19*VALO_AMO!$L19*VALO_PERSO!AA$12/VALO_PERSO!$AB$12,0),0)</f>
        <v>0</v>
      </c>
      <c r="Q19" s="41"/>
      <c r="R19" s="80">
        <f t="shared" si="2"/>
        <v>0</v>
      </c>
      <c r="S19" s="234"/>
      <c r="T19" s="93" t="str">
        <f>IF(M19=parametrage!$M$2,VALO_AMO!$AJ$7,IF(M19=parametrage!$M$3,VALO_AMO!$AP$7,"à définir"))</f>
        <v>à définir</v>
      </c>
      <c r="U19" s="41">
        <f>IFERROR(IF(OR($M19=parametrage!$M$2,$M19=parametrage!$M$3),VALO_AMO!$T19*VALO_AMO!$L19*VALO_PERSO!AE$12/VALO_PERSO!$AG$12,0),0)</f>
        <v>0</v>
      </c>
      <c r="V19" s="41"/>
      <c r="W19" s="80">
        <f t="shared" si="3"/>
        <v>0</v>
      </c>
      <c r="Y19" s="93" t="str">
        <f>IF(M19=parametrage!$M$2,VALO_AMO!$AJ$10,IF(M19=parametrage!$M$3,VALO_AMO!$AP$10,"à définir"))</f>
        <v>à définir</v>
      </c>
      <c r="Z19" s="41">
        <f>IFERROR(IF(OR($M19=parametrage!$M$2,$M19=parametrage!$M$3),VALO_AMO!$Y19*VALO_AMO!$L19*VALO_PERSO!AJ$12/VALO_PERSO!$AL$12,0),0)</f>
        <v>0</v>
      </c>
      <c r="AA19" s="41"/>
      <c r="AB19" s="80">
        <f t="shared" si="4"/>
        <v>0</v>
      </c>
    </row>
    <row r="20" spans="1:28" ht="15.75" hidden="1" x14ac:dyDescent="0.3">
      <c r="A20" s="43" t="s">
        <v>866</v>
      </c>
      <c r="B20" s="50">
        <f t="shared" si="0"/>
        <v>0</v>
      </c>
      <c r="C20" s="60">
        <f t="shared" si="1"/>
        <v>0</v>
      </c>
      <c r="D20" s="72" t="b">
        <v>0</v>
      </c>
      <c r="E20" s="63"/>
      <c r="F20" s="63"/>
      <c r="G20" s="63"/>
      <c r="H20" s="63"/>
      <c r="I20" s="287"/>
      <c r="J20" s="63"/>
      <c r="K20" s="63"/>
      <c r="L20" s="63"/>
      <c r="M20" s="63" t="s">
        <v>60</v>
      </c>
      <c r="N20" s="93" t="str">
        <f>IF(M20=parametrage!$M$2,VALO_AMO!$AJ$4,IF(M20=parametrage!$M$3,VALO_AMO!$AP$4,"à définir"))</f>
        <v>à définir</v>
      </c>
      <c r="O20" s="41">
        <f>IFERROR(IF(OR($M20=parametrage!$M$2,$M20=parametrage!$M$3),VALO_AMO!$N20*VALO_AMO!$L20*VALO_PERSO!Y$12/VALO_PERSO!$AB$12,0),0)</f>
        <v>0</v>
      </c>
      <c r="P20" s="41">
        <f>IFERROR(IF(OR($M20=parametrage!$M$2,$M20=parametrage!$M$3),VALO_AMO!$N20*VALO_AMO!$L20*VALO_PERSO!AA$12/VALO_PERSO!$AB$12,0),0)</f>
        <v>0</v>
      </c>
      <c r="Q20" s="41"/>
      <c r="R20" s="80">
        <f t="shared" si="2"/>
        <v>0</v>
      </c>
      <c r="S20" s="234"/>
      <c r="T20" s="93" t="str">
        <f>IF(M20=parametrage!$M$2,VALO_AMO!$AJ$7,IF(M20=parametrage!$M$3,VALO_AMO!$AP$7,"à définir"))</f>
        <v>à définir</v>
      </c>
      <c r="U20" s="41">
        <f>IFERROR(IF(OR($M20=parametrage!$M$2,$M20=parametrage!$M$3),VALO_AMO!$T20*VALO_AMO!$L20*VALO_PERSO!AE$12/VALO_PERSO!$AG$12,0),0)</f>
        <v>0</v>
      </c>
      <c r="V20" s="41"/>
      <c r="W20" s="80">
        <f t="shared" si="3"/>
        <v>0</v>
      </c>
      <c r="Y20" s="93" t="str">
        <f>IF(M20=parametrage!$M$2,VALO_AMO!$AJ$10,IF(M20=parametrage!$M$3,VALO_AMO!$AP$10,"à définir"))</f>
        <v>à définir</v>
      </c>
      <c r="Z20" s="41">
        <f>IFERROR(IF(OR($M20=parametrage!$M$2,$M20=parametrage!$M$3),VALO_AMO!$Y20*VALO_AMO!$L20*VALO_PERSO!AJ$12/VALO_PERSO!$AL$12,0),0)</f>
        <v>0</v>
      </c>
      <c r="AA20" s="41"/>
      <c r="AB20" s="80">
        <f t="shared" si="4"/>
        <v>0</v>
      </c>
    </row>
    <row r="21" spans="1:28" ht="15.75" hidden="1" x14ac:dyDescent="0.3">
      <c r="B21" s="50">
        <f t="shared" si="0"/>
        <v>0</v>
      </c>
      <c r="C21" s="60">
        <f t="shared" si="1"/>
        <v>0</v>
      </c>
      <c r="D21" s="72" t="b">
        <v>0</v>
      </c>
      <c r="E21" s="63"/>
      <c r="F21" s="63"/>
      <c r="G21" s="63"/>
      <c r="H21" s="63"/>
      <c r="I21" s="287"/>
      <c r="J21" s="63"/>
      <c r="K21" s="63"/>
      <c r="L21" s="63"/>
      <c r="M21" s="63" t="s">
        <v>60</v>
      </c>
      <c r="N21" s="93" t="str">
        <f>IF(M21=parametrage!$M$2,VALO_AMO!$AJ$4,IF(M21=parametrage!$M$3,VALO_AMO!$AP$4,"à définir"))</f>
        <v>à définir</v>
      </c>
      <c r="O21" s="41">
        <f>IFERROR(IF(OR($M21=parametrage!$M$2,$M21=parametrage!$M$3),VALO_AMO!$N21*VALO_AMO!$L21*VALO_PERSO!Y$12/VALO_PERSO!$AB$12,0),0)</f>
        <v>0</v>
      </c>
      <c r="P21" s="41">
        <f>IFERROR(IF(OR($M21=parametrage!$M$2,$M21=parametrage!$M$3),VALO_AMO!$N21*VALO_AMO!$L21*VALO_PERSO!AA$12/VALO_PERSO!$AB$12,0),0)</f>
        <v>0</v>
      </c>
      <c r="Q21" s="41"/>
      <c r="R21" s="80">
        <f t="shared" si="2"/>
        <v>0</v>
      </c>
      <c r="S21" s="234"/>
      <c r="T21" s="93" t="str">
        <f>IF(M21=parametrage!$M$2,VALO_AMO!$AJ$7,IF(M21=parametrage!$M$3,VALO_AMO!$AP$7,"à définir"))</f>
        <v>à définir</v>
      </c>
      <c r="U21" s="41">
        <f>IFERROR(IF(OR($M21=parametrage!$M$2,$M21=parametrage!$M$3),VALO_AMO!$T21*VALO_AMO!$L21*VALO_PERSO!AE$12/VALO_PERSO!$AG$12,0),0)</f>
        <v>0</v>
      </c>
      <c r="V21" s="41"/>
      <c r="W21" s="80">
        <f t="shared" si="3"/>
        <v>0</v>
      </c>
      <c r="Y21" s="93" t="str">
        <f>IF(M21=parametrage!$M$2,VALO_AMO!$AJ$10,IF(M21=parametrage!$M$3,VALO_AMO!$AP$10,"à définir"))</f>
        <v>à définir</v>
      </c>
      <c r="Z21" s="41">
        <f>IFERROR(IF(OR($M21=parametrage!$M$2,$M21=parametrage!$M$3),VALO_AMO!$Y21*VALO_AMO!$L21*VALO_PERSO!AJ$12/VALO_PERSO!$AL$12,0),0)</f>
        <v>0</v>
      </c>
      <c r="AA21" s="41"/>
      <c r="AB21" s="80">
        <f t="shared" si="4"/>
        <v>0</v>
      </c>
    </row>
    <row r="22" spans="1:28" ht="15.75" thickBot="1" x14ac:dyDescent="0.3">
      <c r="D22" s="61"/>
      <c r="E22" s="62"/>
      <c r="F22" s="62"/>
      <c r="G22" s="62"/>
      <c r="H22" s="62"/>
      <c r="I22" s="62"/>
      <c r="J22" s="62"/>
      <c r="K22" s="62"/>
      <c r="L22" s="62"/>
      <c r="M22" s="62"/>
      <c r="N22" s="65" t="s">
        <v>468</v>
      </c>
      <c r="O22" s="66">
        <f>SUM(O4:O21)</f>
        <v>0</v>
      </c>
      <c r="P22" s="66">
        <f>SUM(P4:P21)</f>
        <v>0</v>
      </c>
      <c r="Q22" s="68">
        <f>SUM(Q4:Q21)</f>
        <v>0</v>
      </c>
      <c r="R22" s="66">
        <f>SUM(R4:R21)</f>
        <v>0</v>
      </c>
      <c r="S22" s="235"/>
      <c r="T22" s="65"/>
      <c r="U22" s="66">
        <f>SUM(U4:U21)</f>
        <v>0</v>
      </c>
      <c r="V22" s="68">
        <f>SUM(V4:V21)</f>
        <v>0</v>
      </c>
      <c r="W22" s="66">
        <f>SUM(W4:W21)</f>
        <v>0</v>
      </c>
      <c r="Y22" s="65"/>
      <c r="Z22" s="66">
        <f>SUM(Z4:Z21)</f>
        <v>0</v>
      </c>
      <c r="AA22" s="68">
        <f>SUM(AA4:AA21)</f>
        <v>0</v>
      </c>
      <c r="AB22" s="66">
        <f>SUM(AB4:AB21)</f>
        <v>0</v>
      </c>
    </row>
    <row r="23" spans="1:28" ht="15.75" thickBot="1" x14ac:dyDescent="0.3"/>
    <row r="24" spans="1:28" ht="15.75" thickBot="1" x14ac:dyDescent="0.3">
      <c r="I24" s="44"/>
      <c r="J24" s="45"/>
      <c r="K24" s="45"/>
      <c r="L24" s="45"/>
      <c r="M24" s="45"/>
      <c r="N24" s="96" t="s">
        <v>469</v>
      </c>
      <c r="O24" s="66">
        <f>SUMIF(M:M,parametrage!$M$6,VALO_AMO!O:O)</f>
        <v>0</v>
      </c>
      <c r="P24" s="66">
        <f>SUMIF(N:N,parametrage!$M$6,VALO_AMO!P:P)</f>
        <v>0</v>
      </c>
      <c r="R24" s="66">
        <f>SUM(O24:Q24)</f>
        <v>0</v>
      </c>
      <c r="S24" s="231"/>
    </row>
    <row r="25" spans="1:28" ht="15.75" thickBot="1" x14ac:dyDescent="0.3"/>
    <row r="26" spans="1:28" ht="15.75" thickBot="1" x14ac:dyDescent="0.3">
      <c r="I26" s="44"/>
      <c r="J26" s="45"/>
      <c r="K26" s="45"/>
      <c r="L26" s="45"/>
      <c r="M26" s="45"/>
      <c r="N26" s="96" t="s">
        <v>470</v>
      </c>
      <c r="O26" s="66">
        <f>O22-O24</f>
        <v>0</v>
      </c>
      <c r="P26" s="66">
        <f>P22-P24</f>
        <v>0</v>
      </c>
      <c r="R26" s="66">
        <f>SUM(O26:Q26)</f>
        <v>0</v>
      </c>
      <c r="S26" s="231"/>
    </row>
  </sheetData>
  <sheetProtection formatCells="0" formatColumns="0" formatRows="0" insertColumns="0" insertRows="0" insertHyperlinks="0" deleteColumns="0" deleteRows="0" sort="0" autoFilter="0" pivotTables="0"/>
  <protectedRanges>
    <protectedRange algorithmName="SHA-512" hashValue="r62DjxzJYdXiow+Str6KJnqiKzUKjJsRziwPWcxCO4SbwYSVcYDl1bdYWcWsJZNHsZZ3SFcQY/ZUnV4t++PFXA==" saltValue="DVwJUrj/cPNEIHYCnEpGxw==" spinCount="100000" sqref="B1:C1048576" name="Plage1"/>
  </protectedRanges>
  <mergeCells count="21">
    <mergeCell ref="AL10:AL11"/>
    <mergeCell ref="AM10:AM11"/>
    <mergeCell ref="AP10:AP11"/>
    <mergeCell ref="AP4:AP5"/>
    <mergeCell ref="AF7:AF8"/>
    <mergeCell ref="AG7:AG8"/>
    <mergeCell ref="AJ7:AJ8"/>
    <mergeCell ref="AL7:AL8"/>
    <mergeCell ref="AM7:AM8"/>
    <mergeCell ref="AP7:AP8"/>
    <mergeCell ref="AG4:AG5"/>
    <mergeCell ref="AJ4:AJ5"/>
    <mergeCell ref="AF4:AF5"/>
    <mergeCell ref="AL4:AL5"/>
    <mergeCell ref="AM4:AM5"/>
    <mergeCell ref="AF14:AF15"/>
    <mergeCell ref="AG14:AG15"/>
    <mergeCell ref="AJ14:AJ15"/>
    <mergeCell ref="AF10:AF11"/>
    <mergeCell ref="AG10:AG11"/>
    <mergeCell ref="AJ10:AJ11"/>
  </mergeCells>
  <phoneticPr fontId="8" type="noConversion"/>
  <conditionalFormatting sqref="D4:G4 D5:L21">
    <cfRule type="expression" dxfId="76" priority="6">
      <formula>$B4=1</formula>
    </cfRule>
  </conditionalFormatting>
  <conditionalFormatting sqref="D4:G4">
    <cfRule type="expression" dxfId="75" priority="5">
      <formula>$C4=1</formula>
    </cfRule>
  </conditionalFormatting>
  <conditionalFormatting sqref="G1 G3:G1048576">
    <cfRule type="duplicateValues" dxfId="74" priority="4"/>
  </conditionalFormatting>
  <conditionalFormatting sqref="H4:L4">
    <cfRule type="expression" dxfId="73" priority="3">
      <formula>$B4=1</formula>
    </cfRule>
  </conditionalFormatting>
  <conditionalFormatting sqref="H4:L4">
    <cfRule type="expression" dxfId="72" priority="2">
      <formula>$C4=1</formula>
    </cfRule>
  </conditionalFormatting>
  <conditionalFormatting sqref="F5:F6">
    <cfRule type="expression" dxfId="71" priority="1">
      <formula>$C5=1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5" r:id="rId4" name="Button 3">
              <controlPr defaultSize="0" print="0" autoFill="0" autoPict="0" macro="[0]!InsererColonneMultiple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333375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5" name="Button 4">
              <controlPr defaultSize="0" print="0" autoFill="0" autoPict="0" macro="[0]!Extraire_Immo_Tableau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352425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6" name="Button 5">
              <controlPr defaultSize="0" print="0" autoFill="0" autoPict="0" macro="[0]!Module14.DupliquerLignesAvecTexteDansToutesFeuilles">
                <anchor moveWithCells="1" sizeWithCells="1">
                  <from>
                    <xdr:col>3</xdr:col>
                    <xdr:colOff>38100</xdr:colOff>
                    <xdr:row>0</xdr:row>
                    <xdr:rowOff>123825</xdr:rowOff>
                  </from>
                  <to>
                    <xdr:col>5</xdr:col>
                    <xdr:colOff>542925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18BFE7-4DBA-4864-8A77-B50FD5935756}">
          <x14:formula1>
            <xm:f>parametrage!$M$2:$M$7</xm:f>
          </x14:formula1>
          <xm:sqref>M4:M21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692AA-858D-414F-9E9B-11C90DB63489}">
  <sheetPr codeName="Feuil22">
    <tabColor rgb="FF2D44EA"/>
  </sheetPr>
  <dimension ref="A1:T26"/>
  <sheetViews>
    <sheetView showGridLines="0" topLeftCell="C2" workbookViewId="0">
      <selection activeCell="H31" sqref="H31"/>
    </sheetView>
  </sheetViews>
  <sheetFormatPr baseColWidth="10" defaultColWidth="11.42578125" defaultRowHeight="15" outlineLevelCol="1" x14ac:dyDescent="0.25"/>
  <cols>
    <col min="1" max="1" width="8.42578125" style="465" bestFit="1" customWidth="1"/>
    <col min="2" max="2" width="2" style="50" bestFit="1" customWidth="1"/>
    <col min="3" max="3" width="22.85546875" style="43" customWidth="1"/>
    <col min="4" max="4" width="15.140625" style="43" customWidth="1"/>
    <col min="5" max="5" width="25.5703125" style="43" customWidth="1"/>
    <col min="6" max="6" width="11.28515625" style="43" bestFit="1" customWidth="1"/>
    <col min="7" max="7" width="12.28515625" style="43" bestFit="1" customWidth="1"/>
    <col min="8" max="8" width="19" style="43" customWidth="1" outlineLevel="1"/>
    <col min="9" max="10" width="10.5703125" style="43" bestFit="1" customWidth="1" outlineLevel="1"/>
    <col min="11" max="11" width="11.42578125" style="43" outlineLevel="1"/>
    <col min="12" max="12" width="2.140625" style="43" bestFit="1" customWidth="1" outlineLevel="1"/>
    <col min="13" max="13" width="0" style="43" hidden="1" customWidth="1" outlineLevel="1"/>
    <col min="14" max="14" width="11.5703125" style="43" hidden="1" customWidth="1" outlineLevel="1"/>
    <col min="15" max="15" width="0" style="43" hidden="1" customWidth="1" outlineLevel="1"/>
    <col min="16" max="16" width="4.28515625" style="43" customWidth="1"/>
    <col min="17" max="17" width="0" style="43" hidden="1" customWidth="1" outlineLevel="1"/>
    <col min="18" max="18" width="6.7109375" style="43" hidden="1" customWidth="1" outlineLevel="1"/>
    <col min="19" max="19" width="0" style="43" hidden="1" customWidth="1" outlineLevel="1"/>
    <col min="20" max="20" width="11.42578125" style="43" collapsed="1"/>
    <col min="21" max="16384" width="11.42578125" style="43"/>
  </cols>
  <sheetData>
    <row r="1" spans="2:19" ht="15.75" thickBot="1" x14ac:dyDescent="0.3">
      <c r="I1" s="43" t="s">
        <v>13</v>
      </c>
      <c r="J1" s="43" t="s">
        <v>13</v>
      </c>
      <c r="N1" s="43" t="s">
        <v>27</v>
      </c>
      <c r="R1" s="43" t="s">
        <v>38</v>
      </c>
    </row>
    <row r="2" spans="2:19" ht="24" customHeight="1" thickBot="1" x14ac:dyDescent="0.3">
      <c r="C2"/>
      <c r="D2"/>
      <c r="E2"/>
      <c r="F2"/>
      <c r="G2"/>
      <c r="H2" s="44" t="s">
        <v>471</v>
      </c>
      <c r="I2" s="45"/>
      <c r="J2" s="45"/>
      <c r="K2" s="46"/>
      <c r="L2" s="232">
        <v>1</v>
      </c>
      <c r="M2" s="44" t="s">
        <v>450</v>
      </c>
      <c r="N2" s="45"/>
      <c r="O2" s="46"/>
      <c r="Q2" s="44" t="s">
        <v>38</v>
      </c>
      <c r="R2" s="45"/>
      <c r="S2" s="46"/>
    </row>
    <row r="3" spans="2:19" ht="60.75" thickBot="1" x14ac:dyDescent="0.3">
      <c r="C3" s="280" t="s">
        <v>454</v>
      </c>
      <c r="D3" s="280" t="s">
        <v>383</v>
      </c>
      <c r="E3" s="280" t="s">
        <v>384</v>
      </c>
      <c r="F3" s="280" t="s">
        <v>385</v>
      </c>
      <c r="G3" s="281" t="s">
        <v>386</v>
      </c>
      <c r="H3" s="282" t="s">
        <v>462</v>
      </c>
      <c r="I3" s="283" t="str">
        <f>'REP cout'!B4</f>
        <v>Opération 1: Bioluminescence</v>
      </c>
      <c r="J3" s="283" t="str">
        <f>'REP cout'!C4</f>
        <v>Opération 2: Nouveaux outils</v>
      </c>
      <c r="K3" s="284" t="s">
        <v>459</v>
      </c>
      <c r="L3" s="233">
        <v>1</v>
      </c>
      <c r="M3" s="282" t="s">
        <v>462</v>
      </c>
      <c r="N3" s="285" t="str">
        <f>'REP cout'!I32</f>
        <v>Projet 1</v>
      </c>
      <c r="O3" s="285" t="s">
        <v>461</v>
      </c>
      <c r="Q3" s="282" t="s">
        <v>462</v>
      </c>
      <c r="R3" s="285" t="str">
        <f>'REP cout'!O32</f>
        <v>Nom projet</v>
      </c>
      <c r="S3" s="285" t="s">
        <v>463</v>
      </c>
    </row>
    <row r="4" spans="2:19" ht="14.45" customHeight="1" x14ac:dyDescent="0.3">
      <c r="B4" s="60"/>
      <c r="C4" s="63">
        <f>VALO_AMO!G4</f>
        <v>0</v>
      </c>
      <c r="D4" s="63">
        <f>VALO_AMO!H4</f>
        <v>0</v>
      </c>
      <c r="E4" s="63">
        <f>VALO_AMO!I4</f>
        <v>0</v>
      </c>
      <c r="F4" s="63">
        <f>VALO_AMO!J4</f>
        <v>0</v>
      </c>
      <c r="G4" s="63">
        <f>VALO_AMO!K4</f>
        <v>0</v>
      </c>
      <c r="H4" s="93">
        <f>VALO_AMO!N4</f>
        <v>0</v>
      </c>
      <c r="I4" s="41">
        <f>VALO_AMO!O4</f>
        <v>0</v>
      </c>
      <c r="J4" s="41">
        <f>VALO_AMO!P4</f>
        <v>0</v>
      </c>
      <c r="K4" s="80">
        <f>VALO_AMO!R4</f>
        <v>0</v>
      </c>
      <c r="L4" s="234"/>
      <c r="M4" s="93" t="str">
        <f>VALO_AMO!T4</f>
        <v>à définir</v>
      </c>
      <c r="N4" s="41">
        <f>VALO_AMO!U4</f>
        <v>0</v>
      </c>
      <c r="O4" s="80">
        <f>VALO_AMO!W4</f>
        <v>0</v>
      </c>
      <c r="Q4" s="93" t="str">
        <f>VALO_AMO!Y4</f>
        <v>à définir</v>
      </c>
      <c r="R4" s="41">
        <f>VALO_AMO!Z4</f>
        <v>0</v>
      </c>
      <c r="S4" s="80">
        <f>VALO_AMO!AB4</f>
        <v>0</v>
      </c>
    </row>
    <row r="5" spans="2:19" ht="15.75" x14ac:dyDescent="0.3">
      <c r="B5" s="60"/>
      <c r="C5" s="63">
        <f>VALO_AMO!G5</f>
        <v>0</v>
      </c>
      <c r="D5" s="63">
        <f>VALO_AMO!H5</f>
        <v>0</v>
      </c>
      <c r="E5" s="63">
        <f>VALO_AMO!I5</f>
        <v>0</v>
      </c>
      <c r="F5" s="63">
        <f>VALO_AMO!J5</f>
        <v>0</v>
      </c>
      <c r="G5" s="63">
        <f>VALO_AMO!K5</f>
        <v>0</v>
      </c>
      <c r="H5" s="93">
        <f>VALO_AMO!N5</f>
        <v>0</v>
      </c>
      <c r="I5" s="41">
        <f>VALO_AMO!O5</f>
        <v>0</v>
      </c>
      <c r="J5" s="41">
        <f>VALO_AMO!P5</f>
        <v>0</v>
      </c>
      <c r="K5" s="80">
        <f>VALO_AMO!R5</f>
        <v>0</v>
      </c>
      <c r="L5" s="234"/>
      <c r="M5" s="93" t="str">
        <f>VALO_AMO!T5</f>
        <v>à définir</v>
      </c>
      <c r="N5" s="41">
        <f>VALO_AMO!U5</f>
        <v>0</v>
      </c>
      <c r="O5" s="80">
        <f>VALO_AMO!W5</f>
        <v>0</v>
      </c>
      <c r="Q5" s="93" t="str">
        <f>VALO_AMO!Y5</f>
        <v>à définir</v>
      </c>
      <c r="R5" s="41">
        <f>VALO_AMO!Z5</f>
        <v>0</v>
      </c>
      <c r="S5" s="80">
        <f>VALO_AMO!AB5</f>
        <v>0</v>
      </c>
    </row>
    <row r="6" spans="2:19" ht="15.75" x14ac:dyDescent="0.3">
      <c r="B6" s="60"/>
      <c r="C6" s="63">
        <f>VALO_AMO!G6</f>
        <v>0</v>
      </c>
      <c r="D6" s="63">
        <f>VALO_AMO!H6</f>
        <v>0</v>
      </c>
      <c r="E6" s="63">
        <f>VALO_AMO!I6</f>
        <v>0</v>
      </c>
      <c r="F6" s="63">
        <f>VALO_AMO!J6</f>
        <v>0</v>
      </c>
      <c r="G6" s="63">
        <f>VALO_AMO!K6</f>
        <v>0</v>
      </c>
      <c r="H6" s="93">
        <f>VALO_AMO!N6</f>
        <v>0</v>
      </c>
      <c r="I6" s="41">
        <f>VALO_AMO!O6</f>
        <v>0</v>
      </c>
      <c r="J6" s="41">
        <f>VALO_AMO!P6</f>
        <v>0</v>
      </c>
      <c r="K6" s="80">
        <f>VALO_AMO!R6</f>
        <v>0</v>
      </c>
      <c r="L6" s="234"/>
      <c r="M6" s="93" t="str">
        <f>VALO_AMO!T6</f>
        <v>à définir</v>
      </c>
      <c r="N6" s="41">
        <f>VALO_AMO!U6</f>
        <v>0</v>
      </c>
      <c r="O6" s="80">
        <f>VALO_AMO!W6</f>
        <v>0</v>
      </c>
      <c r="Q6" s="93" t="str">
        <f>VALO_AMO!Y6</f>
        <v>à définir</v>
      </c>
      <c r="R6" s="41">
        <f>VALO_AMO!Z6</f>
        <v>0</v>
      </c>
      <c r="S6" s="80">
        <f>VALO_AMO!AB6</f>
        <v>0</v>
      </c>
    </row>
    <row r="7" spans="2:19" ht="14.45" hidden="1" customHeight="1" x14ac:dyDescent="0.3">
      <c r="B7" s="60"/>
      <c r="C7" s="63">
        <f>VALO_AMO!G7</f>
        <v>0</v>
      </c>
      <c r="D7" s="63">
        <f>VALO_AMO!H7</f>
        <v>0</v>
      </c>
      <c r="E7" s="63">
        <f>VALO_AMO!I7</f>
        <v>0</v>
      </c>
      <c r="F7" s="63">
        <f>VALO_AMO!J7</f>
        <v>0</v>
      </c>
      <c r="G7" s="63">
        <f>VALO_AMO!K7</f>
        <v>0</v>
      </c>
      <c r="H7" s="93" t="str">
        <f>VALO_AMO!N7</f>
        <v>à définir</v>
      </c>
      <c r="I7" s="41">
        <f>VALO_AMO!O7</f>
        <v>0</v>
      </c>
      <c r="J7" s="41">
        <f>VALO_AMO!P7</f>
        <v>0</v>
      </c>
      <c r="K7" s="80">
        <f>VALO_AMO!R7</f>
        <v>0</v>
      </c>
      <c r="L7" s="234"/>
      <c r="M7" s="93" t="str">
        <f>VALO_AMO!T7</f>
        <v>à définir</v>
      </c>
      <c r="N7" s="41">
        <f>VALO_AMO!U7</f>
        <v>0</v>
      </c>
      <c r="O7" s="80">
        <f>VALO_AMO!W7</f>
        <v>0</v>
      </c>
      <c r="Q7" s="93" t="str">
        <f>VALO_AMO!Y7</f>
        <v>à définir</v>
      </c>
      <c r="R7" s="41">
        <f>VALO_AMO!Z7</f>
        <v>0</v>
      </c>
      <c r="S7" s="80">
        <f>VALO_AMO!AB7</f>
        <v>0</v>
      </c>
    </row>
    <row r="8" spans="2:19" ht="15.75" hidden="1" x14ac:dyDescent="0.3">
      <c r="B8" s="60"/>
      <c r="C8" s="63">
        <f>VALO_AMO!G8</f>
        <v>0</v>
      </c>
      <c r="D8" s="63">
        <f>VALO_AMO!H8</f>
        <v>0</v>
      </c>
      <c r="E8" s="63">
        <f>VALO_AMO!I8</f>
        <v>0</v>
      </c>
      <c r="F8" s="63">
        <f>VALO_AMO!J8</f>
        <v>0</v>
      </c>
      <c r="G8" s="63">
        <f>VALO_AMO!K8</f>
        <v>0</v>
      </c>
      <c r="H8" s="93" t="str">
        <f>VALO_AMO!N8</f>
        <v>à définir</v>
      </c>
      <c r="I8" s="41">
        <f>VALO_AMO!O8</f>
        <v>0</v>
      </c>
      <c r="J8" s="41">
        <f>VALO_AMO!P8</f>
        <v>0</v>
      </c>
      <c r="K8" s="80">
        <f>VALO_AMO!R8</f>
        <v>0</v>
      </c>
      <c r="L8" s="234"/>
      <c r="M8" s="93" t="str">
        <f>VALO_AMO!T8</f>
        <v>à définir</v>
      </c>
      <c r="N8" s="41">
        <f>VALO_AMO!U8</f>
        <v>0</v>
      </c>
      <c r="O8" s="80">
        <f>VALO_AMO!W8</f>
        <v>0</v>
      </c>
      <c r="Q8" s="93" t="str">
        <f>VALO_AMO!Y8</f>
        <v>à définir</v>
      </c>
      <c r="R8" s="41">
        <f>VALO_AMO!Z8</f>
        <v>0</v>
      </c>
      <c r="S8" s="80">
        <f>VALO_AMO!AB8</f>
        <v>0</v>
      </c>
    </row>
    <row r="9" spans="2:19" ht="15.75" hidden="1" x14ac:dyDescent="0.3">
      <c r="B9" s="60"/>
      <c r="C9" s="63">
        <f>VALO_AMO!G9</f>
        <v>0</v>
      </c>
      <c r="D9" s="63">
        <f>VALO_AMO!H9</f>
        <v>0</v>
      </c>
      <c r="E9" s="63">
        <f>VALO_AMO!I9</f>
        <v>0</v>
      </c>
      <c r="F9" s="63">
        <f>VALO_AMO!J9</f>
        <v>0</v>
      </c>
      <c r="G9" s="63">
        <f>VALO_AMO!K9</f>
        <v>0</v>
      </c>
      <c r="H9" s="93" t="str">
        <f>VALO_AMO!N9</f>
        <v>à définir</v>
      </c>
      <c r="I9" s="41">
        <f>VALO_AMO!O9</f>
        <v>0</v>
      </c>
      <c r="J9" s="41">
        <f>VALO_AMO!P9</f>
        <v>0</v>
      </c>
      <c r="K9" s="80">
        <f>VALO_AMO!R9</f>
        <v>0</v>
      </c>
      <c r="L9" s="234"/>
      <c r="M9" s="93" t="str">
        <f>VALO_AMO!T9</f>
        <v>à définir</v>
      </c>
      <c r="N9" s="41">
        <f>VALO_AMO!U9</f>
        <v>0</v>
      </c>
      <c r="O9" s="80">
        <f>VALO_AMO!W9</f>
        <v>0</v>
      </c>
      <c r="Q9" s="93" t="str">
        <f>VALO_AMO!Y9</f>
        <v>à définir</v>
      </c>
      <c r="R9" s="41">
        <f>VALO_AMO!Z9</f>
        <v>0</v>
      </c>
      <c r="S9" s="80">
        <f>VALO_AMO!AB9</f>
        <v>0</v>
      </c>
    </row>
    <row r="10" spans="2:19" ht="14.45" hidden="1" customHeight="1" x14ac:dyDescent="0.3">
      <c r="B10" s="60"/>
      <c r="C10" s="63">
        <f>VALO_AMO!G10</f>
        <v>0</v>
      </c>
      <c r="D10" s="63">
        <f>VALO_AMO!H10</f>
        <v>0</v>
      </c>
      <c r="E10" s="63">
        <f>VALO_AMO!I10</f>
        <v>0</v>
      </c>
      <c r="F10" s="63">
        <f>VALO_AMO!J10</f>
        <v>0</v>
      </c>
      <c r="G10" s="63">
        <f>VALO_AMO!K10</f>
        <v>0</v>
      </c>
      <c r="H10" s="93" t="str">
        <f>VALO_AMO!N10</f>
        <v>à définir</v>
      </c>
      <c r="I10" s="41">
        <f>VALO_AMO!O10</f>
        <v>0</v>
      </c>
      <c r="J10" s="41">
        <f>VALO_AMO!P10</f>
        <v>0</v>
      </c>
      <c r="K10" s="80">
        <f>VALO_AMO!R10</f>
        <v>0</v>
      </c>
      <c r="L10" s="234"/>
      <c r="M10" s="93" t="str">
        <f>VALO_AMO!T10</f>
        <v>à définir</v>
      </c>
      <c r="N10" s="41">
        <f>VALO_AMO!U10</f>
        <v>0</v>
      </c>
      <c r="O10" s="80">
        <f>VALO_AMO!W10</f>
        <v>0</v>
      </c>
      <c r="Q10" s="93" t="str">
        <f>VALO_AMO!Y10</f>
        <v>à définir</v>
      </c>
      <c r="R10" s="41">
        <f>VALO_AMO!Z10</f>
        <v>0</v>
      </c>
      <c r="S10" s="80">
        <f>VALO_AMO!AB10</f>
        <v>0</v>
      </c>
    </row>
    <row r="11" spans="2:19" ht="15.75" hidden="1" x14ac:dyDescent="0.3">
      <c r="B11" s="60"/>
      <c r="C11" s="63">
        <f>VALO_AMO!G11</f>
        <v>0</v>
      </c>
      <c r="D11" s="63">
        <f>VALO_AMO!H11</f>
        <v>0</v>
      </c>
      <c r="E11" s="63">
        <f>VALO_AMO!I11</f>
        <v>0</v>
      </c>
      <c r="F11" s="63">
        <f>VALO_AMO!J11</f>
        <v>0</v>
      </c>
      <c r="G11" s="63">
        <f>VALO_AMO!K11</f>
        <v>0</v>
      </c>
      <c r="H11" s="93" t="str">
        <f>VALO_AMO!N11</f>
        <v>à définir</v>
      </c>
      <c r="I11" s="41">
        <f>VALO_AMO!O11</f>
        <v>0</v>
      </c>
      <c r="J11" s="41">
        <f>VALO_AMO!P11</f>
        <v>0</v>
      </c>
      <c r="K11" s="80">
        <f>VALO_AMO!R11</f>
        <v>0</v>
      </c>
      <c r="L11" s="234"/>
      <c r="M11" s="93" t="str">
        <f>VALO_AMO!T11</f>
        <v>à définir</v>
      </c>
      <c r="N11" s="41">
        <f>VALO_AMO!U11</f>
        <v>0</v>
      </c>
      <c r="O11" s="80">
        <f>VALO_AMO!W11</f>
        <v>0</v>
      </c>
      <c r="Q11" s="93" t="str">
        <f>VALO_AMO!Y11</f>
        <v>à définir</v>
      </c>
      <c r="R11" s="41">
        <f>VALO_AMO!Z11</f>
        <v>0</v>
      </c>
      <c r="S11" s="80">
        <f>VALO_AMO!AB11</f>
        <v>0</v>
      </c>
    </row>
    <row r="12" spans="2:19" ht="15.75" hidden="1" x14ac:dyDescent="0.3">
      <c r="B12" s="60"/>
      <c r="C12" s="63">
        <f>VALO_AMO!G12</f>
        <v>0</v>
      </c>
      <c r="D12" s="63">
        <f>VALO_AMO!H12</f>
        <v>0</v>
      </c>
      <c r="E12" s="63">
        <f>VALO_AMO!I12</f>
        <v>0</v>
      </c>
      <c r="F12" s="63">
        <f>VALO_AMO!J12</f>
        <v>0</v>
      </c>
      <c r="G12" s="63">
        <f>VALO_AMO!K12</f>
        <v>0</v>
      </c>
      <c r="H12" s="93" t="str">
        <f>VALO_AMO!N12</f>
        <v>à définir</v>
      </c>
      <c r="I12" s="41">
        <f>VALO_AMO!O12</f>
        <v>0</v>
      </c>
      <c r="J12" s="41">
        <f>VALO_AMO!P12</f>
        <v>0</v>
      </c>
      <c r="K12" s="80">
        <f>VALO_AMO!R12</f>
        <v>0</v>
      </c>
      <c r="L12" s="234"/>
      <c r="M12" s="93" t="str">
        <f>VALO_AMO!T12</f>
        <v>à définir</v>
      </c>
      <c r="N12" s="41">
        <f>VALO_AMO!U12</f>
        <v>0</v>
      </c>
      <c r="O12" s="80">
        <f>VALO_AMO!W12</f>
        <v>0</v>
      </c>
      <c r="Q12" s="93" t="str">
        <f>VALO_AMO!Y12</f>
        <v>à définir</v>
      </c>
      <c r="R12" s="41">
        <f>VALO_AMO!Z12</f>
        <v>0</v>
      </c>
      <c r="S12" s="80">
        <f>VALO_AMO!AB12</f>
        <v>0</v>
      </c>
    </row>
    <row r="13" spans="2:19" ht="15.75" hidden="1" x14ac:dyDescent="0.3">
      <c r="B13" s="60"/>
      <c r="C13" s="63">
        <f>VALO_AMO!G13</f>
        <v>0</v>
      </c>
      <c r="D13" s="63">
        <f>VALO_AMO!H13</f>
        <v>0</v>
      </c>
      <c r="E13" s="63">
        <f>VALO_AMO!I13</f>
        <v>0</v>
      </c>
      <c r="F13" s="63">
        <f>VALO_AMO!J13</f>
        <v>0</v>
      </c>
      <c r="G13" s="63">
        <f>VALO_AMO!K13</f>
        <v>0</v>
      </c>
      <c r="H13" s="93" t="str">
        <f>VALO_AMO!N13</f>
        <v>à définir</v>
      </c>
      <c r="I13" s="41">
        <f>VALO_AMO!O13</f>
        <v>0</v>
      </c>
      <c r="J13" s="41">
        <f>VALO_AMO!P13</f>
        <v>0</v>
      </c>
      <c r="K13" s="80">
        <f>VALO_AMO!R13</f>
        <v>0</v>
      </c>
      <c r="L13" s="234"/>
      <c r="M13" s="93" t="str">
        <f>VALO_AMO!T13</f>
        <v>à définir</v>
      </c>
      <c r="N13" s="41">
        <f>VALO_AMO!U13</f>
        <v>0</v>
      </c>
      <c r="O13" s="80">
        <f>VALO_AMO!W13</f>
        <v>0</v>
      </c>
      <c r="Q13" s="93" t="str">
        <f>VALO_AMO!Y13</f>
        <v>à définir</v>
      </c>
      <c r="R13" s="41">
        <f>VALO_AMO!Z13</f>
        <v>0</v>
      </c>
      <c r="S13" s="80">
        <f>VALO_AMO!AB13</f>
        <v>0</v>
      </c>
    </row>
    <row r="14" spans="2:19" ht="15.75" hidden="1" x14ac:dyDescent="0.3">
      <c r="B14" s="60"/>
      <c r="C14" s="63">
        <f>VALO_AMO!G14</f>
        <v>0</v>
      </c>
      <c r="D14" s="63">
        <f>VALO_AMO!H14</f>
        <v>0</v>
      </c>
      <c r="E14" s="63">
        <f>VALO_AMO!I14</f>
        <v>0</v>
      </c>
      <c r="F14" s="63">
        <f>VALO_AMO!J14</f>
        <v>0</v>
      </c>
      <c r="G14" s="63">
        <f>VALO_AMO!K14</f>
        <v>0</v>
      </c>
      <c r="H14" s="93" t="str">
        <f>VALO_AMO!N14</f>
        <v>à définir</v>
      </c>
      <c r="I14" s="41">
        <f>VALO_AMO!O14</f>
        <v>0</v>
      </c>
      <c r="J14" s="41">
        <f>VALO_AMO!P14</f>
        <v>0</v>
      </c>
      <c r="K14" s="80">
        <f>VALO_AMO!R14</f>
        <v>0</v>
      </c>
      <c r="L14" s="234"/>
      <c r="M14" s="93" t="str">
        <f>VALO_AMO!T14</f>
        <v>à définir</v>
      </c>
      <c r="N14" s="41">
        <f>VALO_AMO!U14</f>
        <v>0</v>
      </c>
      <c r="O14" s="80">
        <f>VALO_AMO!W14</f>
        <v>0</v>
      </c>
      <c r="Q14" s="93" t="str">
        <f>VALO_AMO!Y14</f>
        <v>à définir</v>
      </c>
      <c r="R14" s="41">
        <f>VALO_AMO!Z14</f>
        <v>0</v>
      </c>
      <c r="S14" s="80">
        <f>VALO_AMO!AB14</f>
        <v>0</v>
      </c>
    </row>
    <row r="15" spans="2:19" ht="15.75" hidden="1" x14ac:dyDescent="0.3">
      <c r="B15" s="60"/>
      <c r="C15" s="63">
        <f>VALO_AMO!G15</f>
        <v>0</v>
      </c>
      <c r="D15" s="63">
        <f>VALO_AMO!H15</f>
        <v>0</v>
      </c>
      <c r="E15" s="63">
        <f>VALO_AMO!I15</f>
        <v>0</v>
      </c>
      <c r="F15" s="63">
        <f>VALO_AMO!J15</f>
        <v>0</v>
      </c>
      <c r="G15" s="63">
        <f>VALO_AMO!K15</f>
        <v>0</v>
      </c>
      <c r="H15" s="93" t="str">
        <f>VALO_AMO!N15</f>
        <v>à définir</v>
      </c>
      <c r="I15" s="41">
        <f>VALO_AMO!O15</f>
        <v>0</v>
      </c>
      <c r="J15" s="41">
        <f>VALO_AMO!P15</f>
        <v>0</v>
      </c>
      <c r="K15" s="80">
        <f>VALO_AMO!R15</f>
        <v>0</v>
      </c>
      <c r="L15" s="234"/>
      <c r="M15" s="93" t="str">
        <f>VALO_AMO!T15</f>
        <v>à définir</v>
      </c>
      <c r="N15" s="41">
        <f>VALO_AMO!U15</f>
        <v>0</v>
      </c>
      <c r="O15" s="80">
        <f>VALO_AMO!W15</f>
        <v>0</v>
      </c>
      <c r="Q15" s="93" t="str">
        <f>VALO_AMO!Y15</f>
        <v>à définir</v>
      </c>
      <c r="R15" s="41">
        <f>VALO_AMO!Z15</f>
        <v>0</v>
      </c>
      <c r="S15" s="80">
        <f>VALO_AMO!AB15</f>
        <v>0</v>
      </c>
    </row>
    <row r="16" spans="2:19" ht="15.75" hidden="1" x14ac:dyDescent="0.3">
      <c r="B16" s="60"/>
      <c r="C16" s="63">
        <f>VALO_AMO!G16</f>
        <v>0</v>
      </c>
      <c r="D16" s="63">
        <f>VALO_AMO!H16</f>
        <v>0</v>
      </c>
      <c r="E16" s="63">
        <f>VALO_AMO!I16</f>
        <v>0</v>
      </c>
      <c r="F16" s="63">
        <f>VALO_AMO!J16</f>
        <v>0</v>
      </c>
      <c r="G16" s="63">
        <f>VALO_AMO!K16</f>
        <v>0</v>
      </c>
      <c r="H16" s="93" t="str">
        <f>VALO_AMO!N16</f>
        <v>à définir</v>
      </c>
      <c r="I16" s="41">
        <f>VALO_AMO!O16</f>
        <v>0</v>
      </c>
      <c r="J16" s="41">
        <f>VALO_AMO!P16</f>
        <v>0</v>
      </c>
      <c r="K16" s="80">
        <f>VALO_AMO!R16</f>
        <v>0</v>
      </c>
      <c r="L16" s="234"/>
      <c r="M16" s="93" t="str">
        <f>VALO_AMO!T16</f>
        <v>à définir</v>
      </c>
      <c r="N16" s="41">
        <f>VALO_AMO!U16</f>
        <v>0</v>
      </c>
      <c r="O16" s="80">
        <f>VALO_AMO!W16</f>
        <v>0</v>
      </c>
      <c r="Q16" s="93" t="str">
        <f>VALO_AMO!Y16</f>
        <v>à définir</v>
      </c>
      <c r="R16" s="41">
        <f>VALO_AMO!Z16</f>
        <v>0</v>
      </c>
      <c r="S16" s="80">
        <f>VALO_AMO!AB16</f>
        <v>0</v>
      </c>
    </row>
    <row r="17" spans="1:19" ht="15.75" hidden="1" x14ac:dyDescent="0.3">
      <c r="B17" s="60"/>
      <c r="C17" s="63">
        <f>VALO_AMO!G17</f>
        <v>0</v>
      </c>
      <c r="D17" s="63">
        <f>VALO_AMO!H17</f>
        <v>0</v>
      </c>
      <c r="E17" s="63">
        <f>VALO_AMO!I17</f>
        <v>0</v>
      </c>
      <c r="F17" s="63">
        <f>VALO_AMO!J17</f>
        <v>0</v>
      </c>
      <c r="G17" s="63">
        <f>VALO_AMO!K17</f>
        <v>0</v>
      </c>
      <c r="H17" s="93" t="str">
        <f>VALO_AMO!N17</f>
        <v>à définir</v>
      </c>
      <c r="I17" s="41">
        <f>VALO_AMO!O17</f>
        <v>0</v>
      </c>
      <c r="J17" s="41">
        <f>VALO_AMO!P17</f>
        <v>0</v>
      </c>
      <c r="K17" s="80">
        <f>VALO_AMO!R17</f>
        <v>0</v>
      </c>
      <c r="L17" s="234"/>
      <c r="M17" s="93" t="str">
        <f>VALO_AMO!T17</f>
        <v>à définir</v>
      </c>
      <c r="N17" s="41">
        <f>VALO_AMO!U17</f>
        <v>0</v>
      </c>
      <c r="O17" s="80">
        <f>VALO_AMO!W17</f>
        <v>0</v>
      </c>
      <c r="Q17" s="93" t="str">
        <f>VALO_AMO!Y17</f>
        <v>à définir</v>
      </c>
      <c r="R17" s="41">
        <f>VALO_AMO!Z17</f>
        <v>0</v>
      </c>
      <c r="S17" s="80">
        <f>VALO_AMO!AB17</f>
        <v>0</v>
      </c>
    </row>
    <row r="18" spans="1:19" ht="15.75" hidden="1" x14ac:dyDescent="0.3">
      <c r="B18" s="60"/>
      <c r="C18" s="63">
        <f>VALO_AMO!G18</f>
        <v>0</v>
      </c>
      <c r="D18" s="63">
        <f>VALO_AMO!H18</f>
        <v>0</v>
      </c>
      <c r="E18" s="63">
        <f>VALO_AMO!I18</f>
        <v>0</v>
      </c>
      <c r="F18" s="63">
        <f>VALO_AMO!J18</f>
        <v>0</v>
      </c>
      <c r="G18" s="63">
        <f>VALO_AMO!K18</f>
        <v>0</v>
      </c>
      <c r="H18" s="93" t="str">
        <f>VALO_AMO!N18</f>
        <v>à définir</v>
      </c>
      <c r="I18" s="41">
        <f>VALO_AMO!O18</f>
        <v>0</v>
      </c>
      <c r="J18" s="41">
        <f>VALO_AMO!P18</f>
        <v>0</v>
      </c>
      <c r="K18" s="80">
        <f>VALO_AMO!R18</f>
        <v>0</v>
      </c>
      <c r="L18" s="234"/>
      <c r="M18" s="93" t="str">
        <f>VALO_AMO!T18</f>
        <v>à définir</v>
      </c>
      <c r="N18" s="41">
        <f>VALO_AMO!U18</f>
        <v>0</v>
      </c>
      <c r="O18" s="80">
        <f>VALO_AMO!W18</f>
        <v>0</v>
      </c>
      <c r="Q18" s="93" t="str">
        <f>VALO_AMO!Y18</f>
        <v>à définir</v>
      </c>
      <c r="R18" s="41">
        <f>VALO_AMO!Z18</f>
        <v>0</v>
      </c>
      <c r="S18" s="80">
        <f>VALO_AMO!AB18</f>
        <v>0</v>
      </c>
    </row>
    <row r="19" spans="1:19" ht="15.75" hidden="1" x14ac:dyDescent="0.3">
      <c r="B19" s="60"/>
      <c r="C19" s="63">
        <f>VALO_AMO!G19</f>
        <v>0</v>
      </c>
      <c r="D19" s="63">
        <f>VALO_AMO!H19</f>
        <v>0</v>
      </c>
      <c r="E19" s="63">
        <f>VALO_AMO!I19</f>
        <v>0</v>
      </c>
      <c r="F19" s="63">
        <f>VALO_AMO!J19</f>
        <v>0</v>
      </c>
      <c r="G19" s="63">
        <f>VALO_AMO!K19</f>
        <v>0</v>
      </c>
      <c r="H19" s="93" t="str">
        <f>VALO_AMO!N19</f>
        <v>à définir</v>
      </c>
      <c r="I19" s="41">
        <f>VALO_AMO!O19</f>
        <v>0</v>
      </c>
      <c r="J19" s="41">
        <f>VALO_AMO!P19</f>
        <v>0</v>
      </c>
      <c r="K19" s="80">
        <f>VALO_AMO!R19</f>
        <v>0</v>
      </c>
      <c r="L19" s="234"/>
      <c r="M19" s="93" t="str">
        <f>VALO_AMO!T19</f>
        <v>à définir</v>
      </c>
      <c r="N19" s="41">
        <f>VALO_AMO!U19</f>
        <v>0</v>
      </c>
      <c r="O19" s="80">
        <f>VALO_AMO!W19</f>
        <v>0</v>
      </c>
      <c r="Q19" s="93" t="str">
        <f>VALO_AMO!Y19</f>
        <v>à définir</v>
      </c>
      <c r="R19" s="41">
        <f>VALO_AMO!Z19</f>
        <v>0</v>
      </c>
      <c r="S19" s="80">
        <f>VALO_AMO!AB19</f>
        <v>0</v>
      </c>
    </row>
    <row r="20" spans="1:19" ht="15.75" hidden="1" x14ac:dyDescent="0.3">
      <c r="A20" s="465" t="s">
        <v>866</v>
      </c>
      <c r="B20" s="60"/>
      <c r="C20" s="63">
        <f>VALO_AMO!G20</f>
        <v>0</v>
      </c>
      <c r="D20" s="63">
        <f>VALO_AMO!H20</f>
        <v>0</v>
      </c>
      <c r="E20" s="63">
        <f>VALO_AMO!I20</f>
        <v>0</v>
      </c>
      <c r="F20" s="63">
        <f>VALO_AMO!J20</f>
        <v>0</v>
      </c>
      <c r="G20" s="63">
        <f>VALO_AMO!K20</f>
        <v>0</v>
      </c>
      <c r="H20" s="93" t="str">
        <f>VALO_AMO!N20</f>
        <v>à définir</v>
      </c>
      <c r="I20" s="41">
        <f>VALO_AMO!O20</f>
        <v>0</v>
      </c>
      <c r="J20" s="41">
        <f>VALO_AMO!P20</f>
        <v>0</v>
      </c>
      <c r="K20" s="80">
        <f>VALO_AMO!R20</f>
        <v>0</v>
      </c>
      <c r="L20" s="234"/>
      <c r="M20" s="93" t="str">
        <f>VALO_AMO!T20</f>
        <v>à définir</v>
      </c>
      <c r="N20" s="41">
        <f>VALO_AMO!U20</f>
        <v>0</v>
      </c>
      <c r="O20" s="80">
        <f>VALO_AMO!W20</f>
        <v>0</v>
      </c>
      <c r="Q20" s="93" t="str">
        <f>VALO_AMO!Y20</f>
        <v>à définir</v>
      </c>
      <c r="R20" s="41">
        <f>VALO_AMO!Z20</f>
        <v>0</v>
      </c>
      <c r="S20" s="80">
        <f>VALO_AMO!AB20</f>
        <v>0</v>
      </c>
    </row>
    <row r="21" spans="1:19" ht="15.75" hidden="1" x14ac:dyDescent="0.3">
      <c r="B21" s="60"/>
      <c r="C21" s="63">
        <f>VALO_AMO!G21</f>
        <v>0</v>
      </c>
      <c r="D21" s="63">
        <f>VALO_AMO!H21</f>
        <v>0</v>
      </c>
      <c r="E21" s="63">
        <f>VALO_AMO!I21</f>
        <v>0</v>
      </c>
      <c r="F21" s="63">
        <f>VALO_AMO!J21</f>
        <v>0</v>
      </c>
      <c r="G21" s="63">
        <f>VALO_AMO!K21</f>
        <v>0</v>
      </c>
      <c r="H21" s="93" t="str">
        <f>VALO_AMO!N21</f>
        <v>à définir</v>
      </c>
      <c r="I21" s="41">
        <f>VALO_AMO!O21</f>
        <v>0</v>
      </c>
      <c r="J21" s="41">
        <f>VALO_AMO!P21</f>
        <v>0</v>
      </c>
      <c r="K21" s="80">
        <f>VALO_AMO!R21</f>
        <v>0</v>
      </c>
      <c r="L21" s="234"/>
      <c r="M21" s="93" t="str">
        <f>VALO_AMO!T21</f>
        <v>à définir</v>
      </c>
      <c r="N21" s="41">
        <f>VALO_AMO!U21</f>
        <v>0</v>
      </c>
      <c r="O21" s="80">
        <f>VALO_AMO!W21</f>
        <v>0</v>
      </c>
      <c r="Q21" s="93" t="str">
        <f>VALO_AMO!Y21</f>
        <v>à définir</v>
      </c>
      <c r="R21" s="41">
        <f>VALO_AMO!Z21</f>
        <v>0</v>
      </c>
      <c r="S21" s="80">
        <f>VALO_AMO!AB21</f>
        <v>0</v>
      </c>
    </row>
    <row r="22" spans="1:19" ht="15.75" thickBot="1" x14ac:dyDescent="0.3">
      <c r="C22" s="62"/>
      <c r="D22" s="62"/>
      <c r="E22" s="62"/>
      <c r="F22" s="62"/>
      <c r="G22" s="62"/>
      <c r="H22" s="65" t="s">
        <v>468</v>
      </c>
      <c r="I22" s="66">
        <f>SUM(I4:I21)</f>
        <v>0</v>
      </c>
      <c r="J22" s="66">
        <f>SUM(J4:J21)</f>
        <v>0</v>
      </c>
      <c r="K22" s="66">
        <f>SUM(K4:K21)</f>
        <v>0</v>
      </c>
      <c r="L22" s="235"/>
      <c r="M22" s="65"/>
      <c r="N22" s="66">
        <f>SUM(N4:N21)</f>
        <v>0</v>
      </c>
      <c r="O22" s="66">
        <f>SUM(O4:O21)</f>
        <v>0</v>
      </c>
      <c r="Q22" s="65"/>
      <c r="R22" s="66">
        <f>SUM(R4:R21)</f>
        <v>0</v>
      </c>
      <c r="S22" s="66">
        <f>SUM(S4:S21)</f>
        <v>0</v>
      </c>
    </row>
    <row r="23" spans="1:19" ht="15.75" thickBot="1" x14ac:dyDescent="0.3"/>
    <row r="24" spans="1:19" ht="15.75" thickBot="1" x14ac:dyDescent="0.3">
      <c r="E24" s="44"/>
      <c r="F24" s="45"/>
      <c r="G24" s="45"/>
      <c r="H24" s="96" t="s">
        <v>469</v>
      </c>
      <c r="I24" s="66">
        <f>VALO_AMO!O24</f>
        <v>0</v>
      </c>
      <c r="J24" s="66">
        <f>VALO_AMO!P24</f>
        <v>0</v>
      </c>
      <c r="K24" s="66">
        <f>VALO_AMO!R24</f>
        <v>0</v>
      </c>
      <c r="L24" s="231"/>
    </row>
    <row r="25" spans="1:19" ht="15.75" thickBot="1" x14ac:dyDescent="0.3"/>
    <row r="26" spans="1:19" ht="15.75" thickBot="1" x14ac:dyDescent="0.3">
      <c r="E26" s="44"/>
      <c r="F26" s="45"/>
      <c r="G26" s="45"/>
      <c r="H26" s="96" t="s">
        <v>470</v>
      </c>
      <c r="I26" s="66">
        <f>VALO_AMO!O26</f>
        <v>0</v>
      </c>
      <c r="J26" s="66">
        <f>VALO_AMO!P26</f>
        <v>0</v>
      </c>
      <c r="K26" s="66">
        <f>VALO_AMO!R26</f>
        <v>0</v>
      </c>
      <c r="L26" s="231"/>
    </row>
  </sheetData>
  <sheetProtection formatCells="0" formatColumns="0" formatRows="0" insertColumns="0" insertRows="0" insertHyperlinks="0" deleteColumns="0" deleteRows="0" sort="0" autoFilter="0" pivotTables="0"/>
  <protectedRanges>
    <protectedRange algorithmName="SHA-512" hashValue="r62DjxzJYdXiow+Str6KJnqiKzUKjJsRziwPWcxCO4SbwYSVcYDl1bdYWcWsJZNHsZZ3SFcQY/ZUnV4t++PFXA==" saltValue="DVwJUrj/cPNEIHYCnEpGxw==" spinCount="100000" sqref="A1:B1048576" name="Plage1"/>
  </protectedRanges>
  <conditionalFormatting sqref="C4:G21">
    <cfRule type="expression" dxfId="70" priority="3">
      <formula>$A4=1</formula>
    </cfRule>
  </conditionalFormatting>
  <conditionalFormatting sqref="C4:G21">
    <cfRule type="expression" dxfId="69" priority="2">
      <formula>$B4=1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98C46-F22B-47A3-B19E-D236661C1256}">
  <sheetPr codeName="Feuil30"/>
  <dimension ref="A1:I15"/>
  <sheetViews>
    <sheetView workbookViewId="0">
      <selection activeCell="B12" sqref="B12:C12"/>
    </sheetView>
  </sheetViews>
  <sheetFormatPr baseColWidth="10" defaultRowHeight="15" x14ac:dyDescent="0.25"/>
  <cols>
    <col min="1" max="1" width="19.5703125" bestFit="1" customWidth="1"/>
    <col min="2" max="2" width="22.140625" bestFit="1" customWidth="1"/>
    <col min="3" max="3" width="10.28515625" bestFit="1" customWidth="1"/>
    <col min="4" max="7" width="12.7109375" bestFit="1" customWidth="1"/>
    <col min="8" max="8" width="11.28515625" bestFit="1" customWidth="1"/>
    <col min="9" max="9" width="9.5703125" customWidth="1"/>
    <col min="10" max="10" width="9.42578125" bestFit="1" customWidth="1"/>
    <col min="11" max="11" width="5" bestFit="1" customWidth="1"/>
    <col min="12" max="12" width="10.7109375" bestFit="1" customWidth="1"/>
    <col min="13" max="14" width="12" bestFit="1" customWidth="1"/>
  </cols>
  <sheetData>
    <row r="1" spans="1:9" x14ac:dyDescent="0.25">
      <c r="A1" t="s">
        <v>568</v>
      </c>
      <c r="B1" t="s">
        <v>15</v>
      </c>
    </row>
    <row r="3" spans="1:9" x14ac:dyDescent="0.25">
      <c r="A3" t="s">
        <v>871</v>
      </c>
      <c r="D3" t="s">
        <v>872</v>
      </c>
      <c r="H3" s="466"/>
      <c r="I3" s="466"/>
    </row>
    <row r="4" spans="1:9" x14ac:dyDescent="0.25">
      <c r="A4" t="s">
        <v>366</v>
      </c>
      <c r="B4" t="s">
        <v>367</v>
      </c>
      <c r="C4" t="s">
        <v>873</v>
      </c>
      <c r="D4" t="s">
        <v>874</v>
      </c>
      <c r="E4" t="s">
        <v>484</v>
      </c>
      <c r="F4" t="s">
        <v>481</v>
      </c>
      <c r="G4" t="s">
        <v>335</v>
      </c>
      <c r="H4" s="467" t="s">
        <v>875</v>
      </c>
      <c r="I4" s="467" t="s">
        <v>876</v>
      </c>
    </row>
    <row r="5" spans="1:9" x14ac:dyDescent="0.25">
      <c r="A5">
        <v>1</v>
      </c>
      <c r="B5" t="s">
        <v>877</v>
      </c>
      <c r="C5" t="s">
        <v>878</v>
      </c>
      <c r="D5" s="77"/>
      <c r="E5" s="77">
        <v>6100.94</v>
      </c>
      <c r="F5" s="77">
        <v>35345.21</v>
      </c>
      <c r="G5" s="77">
        <v>41446.15</v>
      </c>
      <c r="H5" s="77">
        <v>6695.4499999999989</v>
      </c>
      <c r="I5" s="77">
        <f>VLOOKUP(A5,[2]Analyse!R:AA,10,0)</f>
        <v>1019.12</v>
      </c>
    </row>
    <row r="6" spans="1:9" x14ac:dyDescent="0.25">
      <c r="A6">
        <v>2</v>
      </c>
      <c r="B6" t="s">
        <v>879</v>
      </c>
      <c r="C6" t="s">
        <v>880</v>
      </c>
      <c r="D6" s="77">
        <v>202.4</v>
      </c>
      <c r="E6" s="77">
        <v>13783.75</v>
      </c>
      <c r="F6" s="77">
        <v>36282.379999999997</v>
      </c>
      <c r="G6" s="77">
        <v>50268.53</v>
      </c>
      <c r="H6" s="77">
        <v>14393.97</v>
      </c>
      <c r="I6" s="77">
        <f>VLOOKUP(A6,[2]Analyse!R:AA,10,0)</f>
        <v>1507.37</v>
      </c>
    </row>
    <row r="7" spans="1:9" x14ac:dyDescent="0.25">
      <c r="A7">
        <v>3</v>
      </c>
      <c r="B7" t="s">
        <v>881</v>
      </c>
      <c r="C7" t="s">
        <v>882</v>
      </c>
      <c r="D7" s="77"/>
      <c r="E7" s="77">
        <v>4950.05</v>
      </c>
      <c r="F7" s="77">
        <v>29800.33</v>
      </c>
      <c r="G7" s="77">
        <v>34750.380000000005</v>
      </c>
      <c r="H7" s="77">
        <v>5451.3200000000006</v>
      </c>
      <c r="I7" s="77">
        <f>VLOOKUP(A7,[2]Analyse!R:AA,10,0)</f>
        <v>1448</v>
      </c>
    </row>
    <row r="8" spans="1:9" x14ac:dyDescent="0.25">
      <c r="A8">
        <v>4</v>
      </c>
      <c r="B8" t="s">
        <v>883</v>
      </c>
      <c r="C8" t="s">
        <v>884</v>
      </c>
      <c r="D8" s="77"/>
      <c r="E8" s="77">
        <v>14071.820000000002</v>
      </c>
      <c r="F8" s="77">
        <v>88000</v>
      </c>
      <c r="G8" s="77">
        <v>102071.82</v>
      </c>
      <c r="H8" s="77">
        <v>15493.130000000001</v>
      </c>
      <c r="I8" s="77">
        <f>VLOOKUP(A8,[2]Analyse!R:AA,10,0)</f>
        <v>1365.03</v>
      </c>
    </row>
    <row r="9" spans="1:9" x14ac:dyDescent="0.25">
      <c r="A9">
        <v>5</v>
      </c>
      <c r="B9" t="s">
        <v>885</v>
      </c>
      <c r="C9" t="s">
        <v>886</v>
      </c>
      <c r="D9" s="77"/>
      <c r="E9" s="77">
        <v>10822.060000000001</v>
      </c>
      <c r="F9" s="77">
        <v>55632.78</v>
      </c>
      <c r="G9" s="77">
        <v>66454.84</v>
      </c>
      <c r="H9" s="77">
        <v>11737.730000000001</v>
      </c>
      <c r="I9" s="77">
        <f>VLOOKUP(A9,[2]Analyse!R:AA,10,0)</f>
        <v>1406.32</v>
      </c>
    </row>
    <row r="10" spans="1:9" x14ac:dyDescent="0.25">
      <c r="A10">
        <v>6</v>
      </c>
      <c r="B10" t="s">
        <v>887</v>
      </c>
      <c r="C10" t="s">
        <v>888</v>
      </c>
      <c r="D10" s="77">
        <v>88.8</v>
      </c>
      <c r="E10" s="77">
        <v>3216.5999999999995</v>
      </c>
      <c r="F10" s="77">
        <v>8907.25</v>
      </c>
      <c r="G10" s="77">
        <v>12212.65</v>
      </c>
      <c r="H10" s="77">
        <v>3455.5</v>
      </c>
      <c r="I10" s="77">
        <f>VLOOKUP(A10,[2]Analyse!R:AA,10,0)</f>
        <v>480</v>
      </c>
    </row>
    <row r="11" spans="1:9" x14ac:dyDescent="0.25">
      <c r="A11">
        <v>7</v>
      </c>
      <c r="B11" t="s">
        <v>889</v>
      </c>
      <c r="C11" t="s">
        <v>890</v>
      </c>
      <c r="D11" s="77"/>
      <c r="E11" s="77">
        <v>547.53</v>
      </c>
      <c r="F11" s="77">
        <v>3409.74</v>
      </c>
      <c r="G11" s="77">
        <v>3957.2699999999995</v>
      </c>
      <c r="H11" s="77">
        <v>603.63999999999987</v>
      </c>
      <c r="I11" s="77">
        <f>VLOOKUP(A11,[2]Analyse!R:AA,10,0)</f>
        <v>214.67</v>
      </c>
    </row>
    <row r="12" spans="1:9" x14ac:dyDescent="0.25">
      <c r="A12">
        <v>8</v>
      </c>
      <c r="B12" t="s">
        <v>891</v>
      </c>
      <c r="C12" t="s">
        <v>892</v>
      </c>
      <c r="D12" s="77">
        <v>88.8</v>
      </c>
      <c r="E12" s="77">
        <v>654.37</v>
      </c>
      <c r="F12" s="77">
        <v>4184.6000000000004</v>
      </c>
      <c r="G12" s="77">
        <v>4927.7700000000004</v>
      </c>
      <c r="H12" s="77">
        <v>765.09999999999991</v>
      </c>
      <c r="I12" s="77">
        <f>VLOOKUP(A12,[2]Analyse!R:AA,10,0)</f>
        <v>186.67</v>
      </c>
    </row>
    <row r="13" spans="1:9" x14ac:dyDescent="0.25">
      <c r="A13">
        <v>9</v>
      </c>
      <c r="B13" t="s">
        <v>893</v>
      </c>
      <c r="C13" t="s">
        <v>894</v>
      </c>
      <c r="D13" s="77">
        <v>34.9</v>
      </c>
      <c r="E13" s="77">
        <v>1053.73</v>
      </c>
      <c r="F13" s="77">
        <v>2916</v>
      </c>
      <c r="G13" s="77">
        <v>4004.63</v>
      </c>
      <c r="H13" s="77">
        <v>1131.94</v>
      </c>
      <c r="I13" s="77">
        <f>VLOOKUP(A13,[2]Analyse!R:AA,10,0)</f>
        <v>151.16999999999999</v>
      </c>
    </row>
    <row r="14" spans="1:9" x14ac:dyDescent="0.25">
      <c r="A14" t="s">
        <v>448</v>
      </c>
      <c r="B14" t="s">
        <v>334</v>
      </c>
      <c r="C14" t="s">
        <v>334</v>
      </c>
      <c r="D14" s="77">
        <v>414.9</v>
      </c>
      <c r="E14" s="77">
        <v>55200.85</v>
      </c>
      <c r="F14" s="77">
        <v>264478.28999999998</v>
      </c>
      <c r="G14" s="77">
        <v>320094.03999999998</v>
      </c>
      <c r="H14" s="77">
        <v>59727.779999999992</v>
      </c>
      <c r="I14" s="77">
        <f>VLOOKUP(A14,[2]Analyse!R:AA,10,0)</f>
        <v>4353.4399999999996</v>
      </c>
    </row>
    <row r="15" spans="1:9" x14ac:dyDescent="0.25">
      <c r="A15" t="s">
        <v>335</v>
      </c>
      <c r="D15" s="77">
        <v>829.8</v>
      </c>
      <c r="E15" s="77">
        <v>110401.7</v>
      </c>
      <c r="F15" s="77">
        <v>528956.57999999996</v>
      </c>
      <c r="G15" s="77">
        <v>640188.08000000007</v>
      </c>
      <c r="H15" s="520">
        <v>119455.56</v>
      </c>
      <c r="I15" s="520">
        <f>SUM(I5:I14)</f>
        <v>12131.789999999999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EE990-D67F-48D9-95CC-35E324742BAF}">
  <sheetPr codeName="Feuil31"/>
  <dimension ref="A3:AL75"/>
  <sheetViews>
    <sheetView topLeftCell="A10" workbookViewId="0">
      <selection activeCell="G26" sqref="G26"/>
    </sheetView>
  </sheetViews>
  <sheetFormatPr baseColWidth="10" defaultRowHeight="15" x14ac:dyDescent="0.25"/>
  <cols>
    <col min="2" max="2" width="34.85546875" customWidth="1"/>
    <col min="5" max="5" width="12.28515625" customWidth="1"/>
  </cols>
  <sheetData>
    <row r="3" spans="1:23" x14ac:dyDescent="0.25">
      <c r="A3" s="474" t="s">
        <v>932</v>
      </c>
      <c r="B3" s="474" t="s">
        <v>366</v>
      </c>
      <c r="C3" s="474" t="s">
        <v>543</v>
      </c>
      <c r="D3" s="474" t="s">
        <v>873</v>
      </c>
      <c r="E3" s="474" t="s">
        <v>897</v>
      </c>
      <c r="F3" s="474" t="s">
        <v>898</v>
      </c>
      <c r="G3" s="474" t="s">
        <v>448</v>
      </c>
      <c r="H3" s="556" t="s">
        <v>948</v>
      </c>
      <c r="I3" s="556"/>
      <c r="N3" s="474" t="s">
        <v>932</v>
      </c>
      <c r="O3" s="474" t="s">
        <v>366</v>
      </c>
      <c r="P3" s="474" t="s">
        <v>543</v>
      </c>
      <c r="Q3" s="474" t="s">
        <v>873</v>
      </c>
      <c r="R3" s="474" t="s">
        <v>899</v>
      </c>
      <c r="S3" s="474" t="s">
        <v>900</v>
      </c>
      <c r="T3" s="474" t="s">
        <v>901</v>
      </c>
      <c r="U3" s="474" t="s">
        <v>448</v>
      </c>
      <c r="V3" s="556" t="s">
        <v>948</v>
      </c>
      <c r="W3" s="556"/>
    </row>
    <row r="4" spans="1:23" x14ac:dyDescent="0.25">
      <c r="A4" t="s">
        <v>933</v>
      </c>
      <c r="B4">
        <v>1</v>
      </c>
      <c r="C4" t="s">
        <v>877</v>
      </c>
      <c r="D4" t="s">
        <v>878</v>
      </c>
      <c r="E4">
        <f>C28*8</f>
        <v>816</v>
      </c>
      <c r="F4">
        <f>D28*8</f>
        <v>168</v>
      </c>
      <c r="G4">
        <f>SUM(E4:F4)</f>
        <v>984</v>
      </c>
      <c r="H4">
        <f>G4/8</f>
        <v>123</v>
      </c>
      <c r="I4" t="b">
        <f>H4=AL28</f>
        <v>1</v>
      </c>
      <c r="N4" t="s">
        <v>934</v>
      </c>
      <c r="O4" s="475">
        <v>1</v>
      </c>
      <c r="P4" s="475" t="s">
        <v>935</v>
      </c>
      <c r="Q4" s="475" t="s">
        <v>936</v>
      </c>
      <c r="R4">
        <f>SUM(E20:AF20)</f>
        <v>763.42000000000007</v>
      </c>
      <c r="S4">
        <f>AG20*8</f>
        <v>0</v>
      </c>
      <c r="T4">
        <f>SUM(AH20:AK20)</f>
        <v>0</v>
      </c>
      <c r="U4">
        <f>SUM(R4:T4)</f>
        <v>763.42000000000007</v>
      </c>
      <c r="V4">
        <f>U4</f>
        <v>763.42000000000007</v>
      </c>
      <c r="W4" t="b">
        <f>V4=AL20</f>
        <v>1</v>
      </c>
    </row>
    <row r="5" spans="1:23" x14ac:dyDescent="0.25">
      <c r="A5" t="s">
        <v>933</v>
      </c>
      <c r="B5">
        <v>3</v>
      </c>
      <c r="C5" t="s">
        <v>881</v>
      </c>
      <c r="D5" t="s">
        <v>882</v>
      </c>
      <c r="E5">
        <f>C29*8</f>
        <v>942</v>
      </c>
      <c r="F5">
        <f>D29*8</f>
        <v>352</v>
      </c>
      <c r="G5">
        <f t="shared" ref="G5:G9" si="0">SUM(E5:F5)</f>
        <v>1294</v>
      </c>
      <c r="H5">
        <f>G5/8</f>
        <v>161.75</v>
      </c>
      <c r="I5" t="b">
        <f t="shared" ref="I5" si="1">H5=AL29</f>
        <v>1</v>
      </c>
      <c r="N5" t="s">
        <v>933</v>
      </c>
      <c r="O5">
        <v>3</v>
      </c>
      <c r="P5" t="s">
        <v>877</v>
      </c>
      <c r="Q5" t="s">
        <v>878</v>
      </c>
      <c r="R5">
        <f>8*SUM(E23:AF23)</f>
        <v>4</v>
      </c>
      <c r="S5">
        <f>AG23*8</f>
        <v>8</v>
      </c>
      <c r="T5">
        <f>8*SUM(AH23:AK23)</f>
        <v>68</v>
      </c>
      <c r="U5">
        <f t="shared" ref="U5:U8" si="2">SUM(R5:T5)</f>
        <v>80</v>
      </c>
      <c r="V5">
        <f>U5/8</f>
        <v>10</v>
      </c>
      <c r="W5" t="b">
        <f>V5=AL23</f>
        <v>1</v>
      </c>
    </row>
    <row r="6" spans="1:23" x14ac:dyDescent="0.25">
      <c r="A6" t="s">
        <v>934</v>
      </c>
      <c r="B6" s="298">
        <v>4</v>
      </c>
      <c r="C6" s="298" t="s">
        <v>883</v>
      </c>
      <c r="D6" s="298" t="s">
        <v>884</v>
      </c>
      <c r="E6" s="298">
        <v>567</v>
      </c>
      <c r="F6" s="298">
        <f>E38</f>
        <v>0</v>
      </c>
      <c r="G6">
        <f t="shared" si="0"/>
        <v>567</v>
      </c>
      <c r="H6">
        <f>G6</f>
        <v>567</v>
      </c>
      <c r="N6" t="s">
        <v>933</v>
      </c>
      <c r="O6">
        <v>4</v>
      </c>
      <c r="P6" t="s">
        <v>938</v>
      </c>
      <c r="Q6" t="s">
        <v>939</v>
      </c>
      <c r="R6">
        <f>8*SUM(E22:AF22)</f>
        <v>1116</v>
      </c>
      <c r="S6">
        <f>AG22*8</f>
        <v>0</v>
      </c>
      <c r="T6">
        <f>8*SUM(AH22:AK22)</f>
        <v>104</v>
      </c>
      <c r="U6">
        <f t="shared" si="2"/>
        <v>1220</v>
      </c>
      <c r="V6">
        <f>U6/8</f>
        <v>152.5</v>
      </c>
      <c r="W6" t="b">
        <f t="shared" ref="W6" si="3">V6=AL22</f>
        <v>1</v>
      </c>
    </row>
    <row r="7" spans="1:23" x14ac:dyDescent="0.25">
      <c r="A7" t="s">
        <v>937</v>
      </c>
      <c r="B7">
        <v>5</v>
      </c>
      <c r="C7" t="s">
        <v>885</v>
      </c>
      <c r="D7" t="s">
        <v>886</v>
      </c>
      <c r="E7">
        <f>C30*7</f>
        <v>462</v>
      </c>
      <c r="F7">
        <f>D30*7</f>
        <v>147</v>
      </c>
      <c r="G7">
        <f t="shared" si="0"/>
        <v>609</v>
      </c>
      <c r="H7">
        <f>G7/7</f>
        <v>87</v>
      </c>
      <c r="I7" t="b">
        <f>H7=AL30</f>
        <v>1</v>
      </c>
      <c r="N7" t="s">
        <v>933</v>
      </c>
      <c r="O7">
        <v>5</v>
      </c>
      <c r="P7" t="s">
        <v>940</v>
      </c>
      <c r="Q7" t="s">
        <v>941</v>
      </c>
      <c r="R7">
        <f>8*SUM(E25:AF25)</f>
        <v>372</v>
      </c>
      <c r="S7">
        <f>8*AG25</f>
        <v>16</v>
      </c>
      <c r="T7">
        <f>8*SUM(AH25:AK25)</f>
        <v>484</v>
      </c>
      <c r="U7">
        <f t="shared" si="2"/>
        <v>872</v>
      </c>
      <c r="V7">
        <f>U7/8</f>
        <v>109</v>
      </c>
      <c r="W7" t="b">
        <f>V7=AL25</f>
        <v>1</v>
      </c>
    </row>
    <row r="8" spans="1:23" x14ac:dyDescent="0.25">
      <c r="A8" t="s">
        <v>934</v>
      </c>
      <c r="B8" s="298">
        <v>7</v>
      </c>
      <c r="C8" s="298" t="s">
        <v>889</v>
      </c>
      <c r="D8" s="298" t="s">
        <v>890</v>
      </c>
      <c r="E8" s="298">
        <v>172</v>
      </c>
      <c r="F8" s="298">
        <f>E39*7</f>
        <v>0</v>
      </c>
      <c r="G8">
        <f t="shared" si="0"/>
        <v>172</v>
      </c>
      <c r="H8">
        <f>G8</f>
        <v>172</v>
      </c>
      <c r="N8" t="s">
        <v>933</v>
      </c>
      <c r="O8">
        <v>6</v>
      </c>
      <c r="P8" t="s">
        <v>881</v>
      </c>
      <c r="Q8" t="s">
        <v>882</v>
      </c>
      <c r="R8">
        <f>8*(SUM(E24:AF24))</f>
        <v>40</v>
      </c>
      <c r="S8">
        <f>8*AG24</f>
        <v>0</v>
      </c>
      <c r="T8">
        <f>8*(SUM(AH24:AK24))</f>
        <v>88</v>
      </c>
      <c r="U8">
        <f t="shared" si="2"/>
        <v>128</v>
      </c>
      <c r="V8">
        <f>U8/8</f>
        <v>16</v>
      </c>
      <c r="W8" t="b">
        <f>V8=AL24</f>
        <v>1</v>
      </c>
    </row>
    <row r="9" spans="1:23" x14ac:dyDescent="0.25">
      <c r="B9" s="298">
        <v>6</v>
      </c>
      <c r="C9" s="298" t="s">
        <v>887</v>
      </c>
      <c r="D9" s="298" t="s">
        <v>888</v>
      </c>
      <c r="E9" s="298">
        <v>457</v>
      </c>
      <c r="F9" s="298">
        <v>0</v>
      </c>
      <c r="G9">
        <f t="shared" si="0"/>
        <v>457</v>
      </c>
      <c r="H9">
        <f>G9</f>
        <v>457</v>
      </c>
      <c r="N9" t="s">
        <v>942</v>
      </c>
      <c r="O9" s="298">
        <v>19</v>
      </c>
      <c r="P9" s="298" t="s">
        <v>943</v>
      </c>
      <c r="Q9" s="298" t="s">
        <v>944</v>
      </c>
      <c r="R9" s="481">
        <v>35</v>
      </c>
      <c r="S9" s="481">
        <v>35</v>
      </c>
      <c r="T9" s="481">
        <v>35</v>
      </c>
      <c r="U9" s="298">
        <v>105</v>
      </c>
    </row>
    <row r="10" spans="1:23" x14ac:dyDescent="0.25">
      <c r="N10" t="s">
        <v>942</v>
      </c>
      <c r="O10" s="298">
        <v>20</v>
      </c>
      <c r="P10" s="298" t="s">
        <v>945</v>
      </c>
      <c r="Q10" s="298" t="s">
        <v>946</v>
      </c>
      <c r="R10" s="482">
        <v>480.66666666666669</v>
      </c>
      <c r="S10" s="482">
        <v>480.66666666666669</v>
      </c>
      <c r="T10" s="482">
        <v>480.66666666666669</v>
      </c>
      <c r="U10" s="298">
        <v>1442</v>
      </c>
    </row>
    <row r="11" spans="1:23" x14ac:dyDescent="0.25">
      <c r="E11">
        <f>SUM(E4:E9)</f>
        <v>3416</v>
      </c>
      <c r="F11">
        <f>SUM(F4:F9)</f>
        <v>667</v>
      </c>
      <c r="N11" t="s">
        <v>934</v>
      </c>
      <c r="O11" s="298">
        <v>10</v>
      </c>
      <c r="P11" s="298" t="s">
        <v>964</v>
      </c>
      <c r="Q11" s="298" t="s">
        <v>965</v>
      </c>
      <c r="R11" s="298">
        <v>0</v>
      </c>
      <c r="S11" s="298">
        <v>0</v>
      </c>
      <c r="T11" s="298">
        <v>118.4</v>
      </c>
      <c r="U11" s="298">
        <v>118.4</v>
      </c>
    </row>
    <row r="12" spans="1:23" x14ac:dyDescent="0.25">
      <c r="N12" t="s">
        <v>934</v>
      </c>
      <c r="O12">
        <v>18</v>
      </c>
      <c r="P12" t="s">
        <v>966</v>
      </c>
      <c r="Q12" t="s">
        <v>967</v>
      </c>
      <c r="R12">
        <f>SUM(E21:AF21)</f>
        <v>995.55</v>
      </c>
      <c r="S12">
        <f>AG21</f>
        <v>14.3</v>
      </c>
      <c r="T12">
        <f>SUM(AH21:AK21)</f>
        <v>80.7</v>
      </c>
      <c r="U12">
        <f>SUM(R12:T12)</f>
        <v>1090.55</v>
      </c>
      <c r="V12">
        <f>U12</f>
        <v>1090.55</v>
      </c>
      <c r="W12" t="b">
        <f>U12=AL21</f>
        <v>1</v>
      </c>
    </row>
    <row r="14" spans="1:23" x14ac:dyDescent="0.25">
      <c r="R14" s="77">
        <f>SUM(R4:R12)</f>
        <v>3806.6366666666663</v>
      </c>
      <c r="S14" s="77">
        <f t="shared" ref="S14:T14" si="4">SUM(S4:S12)</f>
        <v>553.9666666666667</v>
      </c>
      <c r="T14" s="77">
        <f t="shared" si="4"/>
        <v>1458.7666666666669</v>
      </c>
    </row>
    <row r="18" spans="1:38" ht="15.75" thickBot="1" x14ac:dyDescent="0.3">
      <c r="C18" s="118" t="s">
        <v>968</v>
      </c>
      <c r="D18" s="118" t="s">
        <v>969</v>
      </c>
      <c r="E18" s="201" t="s">
        <v>970</v>
      </c>
      <c r="F18" s="201" t="s">
        <v>970</v>
      </c>
      <c r="G18" s="201" t="s">
        <v>970</v>
      </c>
      <c r="H18" s="201" t="s">
        <v>970</v>
      </c>
      <c r="I18" s="201" t="s">
        <v>970</v>
      </c>
      <c r="J18" s="201" t="s">
        <v>970</v>
      </c>
      <c r="K18" s="201" t="s">
        <v>970</v>
      </c>
      <c r="L18" s="201" t="s">
        <v>970</v>
      </c>
      <c r="M18" s="201" t="s">
        <v>970</v>
      </c>
      <c r="N18" s="201" t="s">
        <v>970</v>
      </c>
      <c r="O18" s="201" t="s">
        <v>970</v>
      </c>
      <c r="P18" s="201" t="s">
        <v>970</v>
      </c>
      <c r="Q18" s="201" t="s">
        <v>970</v>
      </c>
      <c r="R18" s="201" t="s">
        <v>970</v>
      </c>
      <c r="S18" s="201" t="s">
        <v>970</v>
      </c>
      <c r="T18" s="201" t="s">
        <v>970</v>
      </c>
      <c r="U18" s="201" t="s">
        <v>970</v>
      </c>
      <c r="V18" s="201" t="s">
        <v>970</v>
      </c>
      <c r="W18" s="201" t="s">
        <v>970</v>
      </c>
      <c r="X18" s="201" t="s">
        <v>970</v>
      </c>
      <c r="Y18" s="201" t="s">
        <v>970</v>
      </c>
      <c r="Z18" s="201" t="s">
        <v>970</v>
      </c>
      <c r="AA18" s="201" t="s">
        <v>970</v>
      </c>
      <c r="AB18" s="201" t="s">
        <v>970</v>
      </c>
      <c r="AC18" s="201" t="s">
        <v>970</v>
      </c>
      <c r="AD18" s="201" t="s">
        <v>970</v>
      </c>
      <c r="AE18" s="201" t="s">
        <v>970</v>
      </c>
      <c r="AF18" s="201" t="s">
        <v>970</v>
      </c>
      <c r="AG18" s="483" t="s">
        <v>971</v>
      </c>
      <c r="AH18" s="484" t="s">
        <v>972</v>
      </c>
      <c r="AI18" s="485" t="s">
        <v>972</v>
      </c>
      <c r="AJ18" s="485" t="s">
        <v>972</v>
      </c>
      <c r="AK18" s="485" t="s">
        <v>972</v>
      </c>
    </row>
    <row r="19" spans="1:38" ht="68.25" thickBot="1" x14ac:dyDescent="0.3">
      <c r="A19" s="486" t="s">
        <v>902</v>
      </c>
      <c r="B19" s="487" t="s">
        <v>73</v>
      </c>
      <c r="C19" s="488" t="s">
        <v>903</v>
      </c>
      <c r="D19" s="489" t="s">
        <v>904</v>
      </c>
      <c r="E19" s="490" t="s">
        <v>909</v>
      </c>
      <c r="F19" s="490" t="s">
        <v>907</v>
      </c>
      <c r="G19" s="490" t="s">
        <v>906</v>
      </c>
      <c r="H19" s="490" t="s">
        <v>908</v>
      </c>
      <c r="I19" s="490" t="s">
        <v>910</v>
      </c>
      <c r="J19" s="490" t="s">
        <v>924</v>
      </c>
      <c r="K19" s="490" t="s">
        <v>905</v>
      </c>
      <c r="L19" s="490" t="s">
        <v>973</v>
      </c>
      <c r="M19" s="490" t="s">
        <v>914</v>
      </c>
      <c r="N19" s="490" t="s">
        <v>974</v>
      </c>
      <c r="O19" s="490" t="s">
        <v>919</v>
      </c>
      <c r="P19" s="490" t="s">
        <v>975</v>
      </c>
      <c r="Q19" s="490" t="s">
        <v>918</v>
      </c>
      <c r="R19" s="490" t="s">
        <v>917</v>
      </c>
      <c r="S19" s="490" t="s">
        <v>911</v>
      </c>
      <c r="T19" s="490" t="s">
        <v>916</v>
      </c>
      <c r="U19" s="490" t="s">
        <v>912</v>
      </c>
      <c r="V19" s="490" t="s">
        <v>913</v>
      </c>
      <c r="W19" s="490" t="s">
        <v>976</v>
      </c>
      <c r="X19" s="490" t="s">
        <v>977</v>
      </c>
      <c r="Y19" s="490" t="s">
        <v>915</v>
      </c>
      <c r="Z19" s="490" t="s">
        <v>978</v>
      </c>
      <c r="AA19" s="490" t="s">
        <v>979</v>
      </c>
      <c r="AB19" s="490" t="s">
        <v>980</v>
      </c>
      <c r="AC19" s="490" t="s">
        <v>981</v>
      </c>
      <c r="AD19" s="490" t="s">
        <v>982</v>
      </c>
      <c r="AE19" s="490" t="s">
        <v>983</v>
      </c>
      <c r="AF19" s="490" t="s">
        <v>984</v>
      </c>
      <c r="AG19" s="491" t="s">
        <v>920</v>
      </c>
      <c r="AH19" s="492" t="s">
        <v>985</v>
      </c>
      <c r="AI19" s="492" t="s">
        <v>923</v>
      </c>
      <c r="AJ19" s="492" t="s">
        <v>922</v>
      </c>
      <c r="AK19" s="492" t="s">
        <v>921</v>
      </c>
    </row>
    <row r="20" spans="1:38" x14ac:dyDescent="0.25">
      <c r="A20" s="493" t="s">
        <v>925</v>
      </c>
      <c r="B20" s="494" t="s">
        <v>986</v>
      </c>
      <c r="C20" s="495">
        <v>0</v>
      </c>
      <c r="D20" s="495">
        <v>0</v>
      </c>
      <c r="E20" s="494">
        <v>0</v>
      </c>
      <c r="F20" s="494">
        <v>0</v>
      </c>
      <c r="G20" s="494">
        <v>36.75</v>
      </c>
      <c r="H20" s="494">
        <v>0</v>
      </c>
      <c r="I20" s="494">
        <v>43.58</v>
      </c>
      <c r="J20" s="494">
        <v>0</v>
      </c>
      <c r="K20" s="494">
        <v>88.5</v>
      </c>
      <c r="L20" s="494">
        <v>174.64999999999998</v>
      </c>
      <c r="M20" s="494">
        <v>116.19</v>
      </c>
      <c r="N20" s="494">
        <v>57.989999999999995</v>
      </c>
      <c r="O20" s="494">
        <v>23.25</v>
      </c>
      <c r="P20" s="494">
        <v>25.84</v>
      </c>
      <c r="Q20" s="494">
        <v>0</v>
      </c>
      <c r="R20" s="494">
        <v>50.75</v>
      </c>
      <c r="S20" s="494">
        <v>0</v>
      </c>
      <c r="T20" s="494">
        <v>21.59</v>
      </c>
      <c r="U20" s="494">
        <v>0</v>
      </c>
      <c r="V20" s="494">
        <v>44.239999999999995</v>
      </c>
      <c r="W20" s="494">
        <v>0</v>
      </c>
      <c r="X20" s="494">
        <v>0</v>
      </c>
      <c r="Y20" s="494">
        <v>0</v>
      </c>
      <c r="Z20" s="494">
        <v>0</v>
      </c>
      <c r="AA20" s="494">
        <v>14.58</v>
      </c>
      <c r="AB20" s="494">
        <v>0</v>
      </c>
      <c r="AC20" s="494">
        <v>0</v>
      </c>
      <c r="AD20" s="494">
        <v>65.510000000000005</v>
      </c>
      <c r="AE20" s="494">
        <v>0</v>
      </c>
      <c r="AF20" s="494">
        <v>0</v>
      </c>
      <c r="AG20" s="494">
        <v>0</v>
      </c>
      <c r="AH20" s="494">
        <v>0</v>
      </c>
      <c r="AI20" s="494">
        <v>0</v>
      </c>
      <c r="AJ20" s="494">
        <v>0</v>
      </c>
      <c r="AK20" s="494">
        <v>0</v>
      </c>
      <c r="AL20">
        <f>SUM(C20:AK20)</f>
        <v>763.42000000000007</v>
      </c>
    </row>
    <row r="21" spans="1:38" x14ac:dyDescent="0.25">
      <c r="A21" s="493"/>
      <c r="B21" s="494" t="s">
        <v>987</v>
      </c>
      <c r="C21" s="494">
        <v>0</v>
      </c>
      <c r="D21" s="494">
        <v>0</v>
      </c>
      <c r="E21" s="494">
        <v>0</v>
      </c>
      <c r="F21" s="494">
        <v>153.69999999999999</v>
      </c>
      <c r="G21" s="494">
        <v>0</v>
      </c>
      <c r="H21" s="494">
        <v>0</v>
      </c>
      <c r="I21" s="494">
        <v>74.850000000000009</v>
      </c>
      <c r="J21" s="494">
        <v>21.450000000000003</v>
      </c>
      <c r="K21" s="494">
        <v>0</v>
      </c>
      <c r="L21" s="494">
        <v>0</v>
      </c>
      <c r="M21" s="494">
        <v>0</v>
      </c>
      <c r="N21" s="494">
        <v>0</v>
      </c>
      <c r="O21" s="494">
        <v>0</v>
      </c>
      <c r="P21" s="494">
        <v>0</v>
      </c>
      <c r="Q21" s="494">
        <v>69.599999999999994</v>
      </c>
      <c r="R21" s="494">
        <v>0</v>
      </c>
      <c r="S21" s="494">
        <v>0</v>
      </c>
      <c r="T21" s="494">
        <v>66.8</v>
      </c>
      <c r="U21" s="494">
        <v>60.3</v>
      </c>
      <c r="V21" s="494">
        <v>0</v>
      </c>
      <c r="W21" s="494">
        <v>0</v>
      </c>
      <c r="X21" s="494">
        <v>78.650000000000006</v>
      </c>
      <c r="Y21" s="494">
        <v>130.45000000000002</v>
      </c>
      <c r="Z21" s="494">
        <v>21</v>
      </c>
      <c r="AA21" s="494">
        <v>0.3</v>
      </c>
      <c r="AB21" s="494">
        <v>0.3</v>
      </c>
      <c r="AC21" s="494">
        <v>310.85000000000002</v>
      </c>
      <c r="AD21" s="494">
        <v>0.3</v>
      </c>
      <c r="AE21" s="494">
        <v>0</v>
      </c>
      <c r="AF21" s="494">
        <v>7</v>
      </c>
      <c r="AG21" s="494">
        <v>14.3</v>
      </c>
      <c r="AH21" s="494">
        <v>7</v>
      </c>
      <c r="AI21" s="494">
        <v>0</v>
      </c>
      <c r="AJ21" s="494">
        <v>73.7</v>
      </c>
      <c r="AK21" s="494">
        <v>0</v>
      </c>
      <c r="AL21">
        <f t="shared" ref="AL21:AL33" si="5">SUM(C21:AK21)</f>
        <v>1090.55</v>
      </c>
    </row>
    <row r="22" spans="1:38" x14ac:dyDescent="0.25">
      <c r="A22" s="496" t="s">
        <v>988</v>
      </c>
      <c r="B22" s="494" t="s">
        <v>989</v>
      </c>
      <c r="C22" s="494">
        <v>0</v>
      </c>
      <c r="D22" s="494">
        <v>0</v>
      </c>
      <c r="E22" s="494">
        <v>0</v>
      </c>
      <c r="F22" s="494">
        <v>10.5</v>
      </c>
      <c r="G22" s="494">
        <v>5</v>
      </c>
      <c r="H22" s="494">
        <v>6</v>
      </c>
      <c r="I22" s="494">
        <v>9</v>
      </c>
      <c r="J22" s="494">
        <v>0</v>
      </c>
      <c r="K22" s="494">
        <v>4.5</v>
      </c>
      <c r="L22" s="494">
        <v>4.5</v>
      </c>
      <c r="M22" s="494">
        <v>9</v>
      </c>
      <c r="N22" s="494">
        <v>8</v>
      </c>
      <c r="O22" s="494">
        <v>3</v>
      </c>
      <c r="P22" s="494">
        <v>3</v>
      </c>
      <c r="Q22" s="494">
        <v>4</v>
      </c>
      <c r="R22" s="494">
        <v>3</v>
      </c>
      <c r="S22" s="494">
        <v>2</v>
      </c>
      <c r="T22" s="494">
        <v>8</v>
      </c>
      <c r="U22" s="494">
        <v>2.5</v>
      </c>
      <c r="V22" s="494">
        <v>2</v>
      </c>
      <c r="W22" s="494">
        <v>1</v>
      </c>
      <c r="X22" s="494">
        <v>9</v>
      </c>
      <c r="Y22" s="494">
        <v>32.5</v>
      </c>
      <c r="Z22" s="494">
        <v>3</v>
      </c>
      <c r="AA22" s="494">
        <v>1</v>
      </c>
      <c r="AB22" s="494">
        <v>2</v>
      </c>
      <c r="AC22" s="494">
        <v>1</v>
      </c>
      <c r="AD22" s="494">
        <v>3</v>
      </c>
      <c r="AE22" s="494">
        <v>3</v>
      </c>
      <c r="AF22" s="494">
        <v>0</v>
      </c>
      <c r="AG22" s="494">
        <v>0</v>
      </c>
      <c r="AH22" s="494">
        <v>0</v>
      </c>
      <c r="AI22" s="494">
        <v>0</v>
      </c>
      <c r="AJ22" s="494">
        <v>13</v>
      </c>
      <c r="AK22" s="494">
        <v>0</v>
      </c>
      <c r="AL22">
        <f t="shared" si="5"/>
        <v>152.5</v>
      </c>
    </row>
    <row r="23" spans="1:38" x14ac:dyDescent="0.25">
      <c r="A23" s="496" t="s">
        <v>988</v>
      </c>
      <c r="B23" s="494" t="s">
        <v>990</v>
      </c>
      <c r="C23" s="494">
        <v>0</v>
      </c>
      <c r="D23" s="494">
        <v>0</v>
      </c>
      <c r="E23" s="494">
        <v>0</v>
      </c>
      <c r="F23" s="494">
        <v>0</v>
      </c>
      <c r="G23" s="494">
        <v>0</v>
      </c>
      <c r="H23" s="494">
        <v>0</v>
      </c>
      <c r="I23" s="494">
        <v>0</v>
      </c>
      <c r="J23" s="494">
        <v>0.5</v>
      </c>
      <c r="K23" s="494">
        <v>0</v>
      </c>
      <c r="L23" s="494">
        <v>0</v>
      </c>
      <c r="M23" s="494">
        <v>0</v>
      </c>
      <c r="N23" s="494">
        <v>0</v>
      </c>
      <c r="O23" s="494">
        <v>0</v>
      </c>
      <c r="P23" s="494">
        <v>0</v>
      </c>
      <c r="Q23" s="494">
        <v>0</v>
      </c>
      <c r="R23" s="494">
        <v>0</v>
      </c>
      <c r="S23" s="494">
        <v>0</v>
      </c>
      <c r="T23" s="494">
        <v>0</v>
      </c>
      <c r="U23" s="494">
        <v>0</v>
      </c>
      <c r="V23" s="494">
        <v>0</v>
      </c>
      <c r="W23" s="494">
        <v>0</v>
      </c>
      <c r="X23" s="494">
        <v>0</v>
      </c>
      <c r="Y23" s="494">
        <v>0</v>
      </c>
      <c r="Z23" s="494">
        <v>0</v>
      </c>
      <c r="AA23" s="494">
        <v>0</v>
      </c>
      <c r="AB23" s="494">
        <v>0</v>
      </c>
      <c r="AC23" s="494">
        <v>0</v>
      </c>
      <c r="AD23" s="494">
        <v>0</v>
      </c>
      <c r="AE23" s="494">
        <v>0</v>
      </c>
      <c r="AF23" s="494">
        <v>0</v>
      </c>
      <c r="AG23" s="494">
        <v>1</v>
      </c>
      <c r="AH23" s="494">
        <v>0</v>
      </c>
      <c r="AI23" s="494">
        <v>3</v>
      </c>
      <c r="AJ23" s="494">
        <v>0</v>
      </c>
      <c r="AK23" s="494">
        <v>5.5</v>
      </c>
      <c r="AL23">
        <f t="shared" si="5"/>
        <v>10</v>
      </c>
    </row>
    <row r="24" spans="1:38" x14ac:dyDescent="0.25">
      <c r="A24" s="493" t="s">
        <v>991</v>
      </c>
      <c r="B24" s="494" t="s">
        <v>992</v>
      </c>
      <c r="C24" s="494">
        <v>0</v>
      </c>
      <c r="D24" s="494">
        <v>0</v>
      </c>
      <c r="E24" s="494">
        <v>0</v>
      </c>
      <c r="F24" s="494">
        <v>0</v>
      </c>
      <c r="G24" s="494">
        <v>0</v>
      </c>
      <c r="H24" s="494">
        <v>0</v>
      </c>
      <c r="I24" s="494">
        <v>0</v>
      </c>
      <c r="J24" s="494">
        <v>5</v>
      </c>
      <c r="K24" s="494">
        <v>0</v>
      </c>
      <c r="L24" s="494">
        <v>0</v>
      </c>
      <c r="M24" s="494">
        <v>0</v>
      </c>
      <c r="N24" s="494">
        <v>0</v>
      </c>
      <c r="O24" s="494">
        <v>0</v>
      </c>
      <c r="P24" s="494">
        <v>0</v>
      </c>
      <c r="Q24" s="494">
        <v>0</v>
      </c>
      <c r="R24" s="494">
        <v>0</v>
      </c>
      <c r="S24" s="494">
        <v>0</v>
      </c>
      <c r="T24" s="494">
        <v>0</v>
      </c>
      <c r="U24" s="494">
        <v>0</v>
      </c>
      <c r="V24" s="494">
        <v>0</v>
      </c>
      <c r="W24" s="494">
        <v>0</v>
      </c>
      <c r="X24" s="494">
        <v>0</v>
      </c>
      <c r="Y24" s="494">
        <v>0</v>
      </c>
      <c r="Z24" s="494">
        <v>0</v>
      </c>
      <c r="AA24" s="494">
        <v>0</v>
      </c>
      <c r="AB24" s="494">
        <v>0</v>
      </c>
      <c r="AC24" s="494">
        <v>0</v>
      </c>
      <c r="AD24" s="494">
        <v>0</v>
      </c>
      <c r="AE24" s="494">
        <v>0</v>
      </c>
      <c r="AF24" s="494">
        <v>0</v>
      </c>
      <c r="AG24" s="494">
        <v>0</v>
      </c>
      <c r="AH24" s="494">
        <v>0</v>
      </c>
      <c r="AI24" s="494">
        <v>11</v>
      </c>
      <c r="AJ24" s="494">
        <v>0</v>
      </c>
      <c r="AK24" s="494">
        <v>0</v>
      </c>
      <c r="AL24">
        <f t="shared" si="5"/>
        <v>16</v>
      </c>
    </row>
    <row r="25" spans="1:38" x14ac:dyDescent="0.25">
      <c r="A25" s="493" t="s">
        <v>991</v>
      </c>
      <c r="B25" s="494" t="s">
        <v>993</v>
      </c>
      <c r="C25" s="494">
        <v>0</v>
      </c>
      <c r="D25" s="494">
        <v>0</v>
      </c>
      <c r="E25" s="494">
        <v>0.5</v>
      </c>
      <c r="F25" s="494">
        <v>3</v>
      </c>
      <c r="G25" s="494">
        <v>1</v>
      </c>
      <c r="H25" s="494">
        <v>4</v>
      </c>
      <c r="I25" s="494">
        <v>4.5</v>
      </c>
      <c r="J25" s="494">
        <v>1</v>
      </c>
      <c r="K25" s="494">
        <v>2</v>
      </c>
      <c r="L25" s="494">
        <v>1.75</v>
      </c>
      <c r="M25" s="494">
        <v>1.25</v>
      </c>
      <c r="N25" s="494">
        <v>1.75</v>
      </c>
      <c r="O25" s="494">
        <v>1</v>
      </c>
      <c r="P25" s="494">
        <v>0.5</v>
      </c>
      <c r="Q25" s="494">
        <v>1</v>
      </c>
      <c r="R25" s="494">
        <v>1</v>
      </c>
      <c r="S25" s="494">
        <v>0.5</v>
      </c>
      <c r="T25" s="494">
        <v>3.5</v>
      </c>
      <c r="U25" s="494">
        <v>0.75</v>
      </c>
      <c r="V25" s="494">
        <v>0.5</v>
      </c>
      <c r="W25" s="494">
        <v>0.25</v>
      </c>
      <c r="X25" s="494">
        <v>2.5</v>
      </c>
      <c r="Y25" s="494">
        <v>6.5</v>
      </c>
      <c r="Z25" s="494">
        <v>0.25</v>
      </c>
      <c r="AA25" s="494">
        <v>1.25</v>
      </c>
      <c r="AB25" s="494">
        <v>1.25</v>
      </c>
      <c r="AC25" s="494">
        <v>0.25</v>
      </c>
      <c r="AD25" s="494">
        <v>2</v>
      </c>
      <c r="AE25" s="494">
        <v>2.75</v>
      </c>
      <c r="AF25" s="494">
        <v>0</v>
      </c>
      <c r="AG25" s="494">
        <v>2</v>
      </c>
      <c r="AH25" s="494">
        <v>0</v>
      </c>
      <c r="AI25" s="494">
        <v>2</v>
      </c>
      <c r="AJ25" s="494">
        <v>3.5</v>
      </c>
      <c r="AK25" s="494">
        <v>55</v>
      </c>
      <c r="AL25">
        <f t="shared" si="5"/>
        <v>109</v>
      </c>
    </row>
    <row r="26" spans="1:38" x14ac:dyDescent="0.25">
      <c r="A26" s="497"/>
      <c r="B26" s="498"/>
      <c r="C26" s="499"/>
      <c r="D26" s="498"/>
      <c r="E26" s="498"/>
      <c r="F26" s="498"/>
      <c r="G26" s="498"/>
      <c r="H26" s="498"/>
      <c r="I26" s="498"/>
      <c r="J26" s="498"/>
      <c r="K26" s="498"/>
      <c r="L26" s="498"/>
      <c r="M26" s="498"/>
      <c r="N26" s="498"/>
      <c r="O26" s="498"/>
      <c r="P26" s="498"/>
      <c r="Q26" s="498"/>
      <c r="R26" s="498"/>
      <c r="S26" s="498"/>
      <c r="T26" s="498"/>
      <c r="U26" s="498"/>
      <c r="V26" s="498"/>
      <c r="W26" s="498"/>
      <c r="X26" s="498"/>
      <c r="Y26" s="498"/>
      <c r="Z26" s="498"/>
      <c r="AA26" s="498"/>
      <c r="AB26" s="498"/>
      <c r="AC26" s="498"/>
      <c r="AD26" s="498"/>
      <c r="AE26" s="498"/>
      <c r="AF26" s="498"/>
      <c r="AG26" s="498"/>
      <c r="AH26" s="498"/>
      <c r="AI26" s="498"/>
      <c r="AJ26" s="498"/>
      <c r="AK26" s="498"/>
    </row>
    <row r="27" spans="1:38" x14ac:dyDescent="0.25">
      <c r="A27" s="500" t="s">
        <v>994</v>
      </c>
      <c r="B27" s="501"/>
      <c r="C27" s="502"/>
      <c r="D27" s="503"/>
      <c r="E27" s="503"/>
      <c r="F27" s="498"/>
      <c r="G27" s="498"/>
      <c r="H27" s="498"/>
      <c r="I27" s="498"/>
      <c r="J27" s="498"/>
      <c r="K27" s="498"/>
      <c r="L27" s="498"/>
      <c r="M27" s="498"/>
      <c r="N27" s="498"/>
      <c r="O27" s="498"/>
      <c r="P27" s="498"/>
      <c r="Q27" s="498"/>
      <c r="R27" s="498"/>
      <c r="S27" s="498"/>
      <c r="T27" s="498"/>
      <c r="U27" s="498"/>
      <c r="V27" s="498"/>
      <c r="W27" s="498"/>
      <c r="X27" s="498"/>
      <c r="Y27" s="498"/>
      <c r="Z27" s="498"/>
      <c r="AA27" s="498"/>
      <c r="AB27" s="498"/>
      <c r="AC27" s="498"/>
      <c r="AD27" s="498"/>
      <c r="AE27" s="498"/>
      <c r="AF27" s="498"/>
      <c r="AG27" s="498"/>
      <c r="AH27" s="498"/>
      <c r="AI27" s="498"/>
      <c r="AJ27" s="498"/>
      <c r="AK27" s="498"/>
    </row>
    <row r="28" spans="1:38" x14ac:dyDescent="0.25">
      <c r="A28" s="493" t="s">
        <v>926</v>
      </c>
      <c r="B28" s="504" t="s">
        <v>995</v>
      </c>
      <c r="C28" s="494">
        <v>102</v>
      </c>
      <c r="D28" s="494">
        <v>21</v>
      </c>
      <c r="E28" s="504">
        <v>0</v>
      </c>
      <c r="F28" s="504">
        <v>0</v>
      </c>
      <c r="G28" s="504">
        <v>0</v>
      </c>
      <c r="H28" s="504">
        <v>0</v>
      </c>
      <c r="I28" s="504">
        <v>0</v>
      </c>
      <c r="J28" s="504">
        <v>0</v>
      </c>
      <c r="K28" s="504">
        <v>0</v>
      </c>
      <c r="L28" s="504">
        <v>0</v>
      </c>
      <c r="M28" s="504">
        <v>0</v>
      </c>
      <c r="N28" s="504">
        <v>0</v>
      </c>
      <c r="O28" s="504">
        <v>0</v>
      </c>
      <c r="P28" s="504">
        <v>0</v>
      </c>
      <c r="Q28" s="504">
        <v>0</v>
      </c>
      <c r="R28" s="504">
        <v>0</v>
      </c>
      <c r="S28" s="504">
        <v>0</v>
      </c>
      <c r="T28" s="504">
        <v>0</v>
      </c>
      <c r="U28" s="504">
        <v>0</v>
      </c>
      <c r="V28" s="504">
        <v>0</v>
      </c>
      <c r="W28" s="504">
        <v>0</v>
      </c>
      <c r="X28" s="504">
        <v>0</v>
      </c>
      <c r="Y28" s="504">
        <v>0</v>
      </c>
      <c r="Z28" s="504">
        <v>0</v>
      </c>
      <c r="AA28" s="504">
        <v>0</v>
      </c>
      <c r="AB28" s="504">
        <v>0</v>
      </c>
      <c r="AC28" s="504">
        <v>0</v>
      </c>
      <c r="AD28" s="504">
        <v>0</v>
      </c>
      <c r="AE28" s="504">
        <v>0</v>
      </c>
      <c r="AF28" s="504">
        <v>0</v>
      </c>
      <c r="AG28" s="504">
        <v>0</v>
      </c>
      <c r="AH28" s="504">
        <v>0</v>
      </c>
      <c r="AI28" s="504">
        <v>0</v>
      </c>
      <c r="AJ28" s="504">
        <v>0</v>
      </c>
      <c r="AK28" s="504">
        <v>0</v>
      </c>
      <c r="AL28">
        <f t="shared" si="5"/>
        <v>123</v>
      </c>
    </row>
    <row r="29" spans="1:38" x14ac:dyDescent="0.25">
      <c r="A29" s="493" t="s">
        <v>947</v>
      </c>
      <c r="B29" s="504" t="s">
        <v>996</v>
      </c>
      <c r="C29" s="494">
        <v>117.75</v>
      </c>
      <c r="D29" s="494">
        <v>44</v>
      </c>
      <c r="E29" s="504">
        <v>0</v>
      </c>
      <c r="F29" s="504">
        <v>0</v>
      </c>
      <c r="G29" s="504">
        <v>0</v>
      </c>
      <c r="H29" s="504">
        <v>0</v>
      </c>
      <c r="I29" s="504">
        <v>0</v>
      </c>
      <c r="J29" s="504">
        <v>0</v>
      </c>
      <c r="K29" s="504">
        <v>0</v>
      </c>
      <c r="L29" s="504">
        <v>0</v>
      </c>
      <c r="M29" s="504">
        <v>0</v>
      </c>
      <c r="N29" s="504">
        <v>0</v>
      </c>
      <c r="O29" s="504">
        <v>0</v>
      </c>
      <c r="P29" s="504">
        <v>0</v>
      </c>
      <c r="Q29" s="504">
        <v>0</v>
      </c>
      <c r="R29" s="504">
        <v>0</v>
      </c>
      <c r="S29" s="504">
        <v>0</v>
      </c>
      <c r="T29" s="504">
        <v>0</v>
      </c>
      <c r="U29" s="504">
        <v>0</v>
      </c>
      <c r="V29" s="504">
        <v>0</v>
      </c>
      <c r="W29" s="504">
        <v>0</v>
      </c>
      <c r="X29" s="504">
        <v>0</v>
      </c>
      <c r="Y29" s="504">
        <v>0</v>
      </c>
      <c r="Z29" s="504">
        <v>0</v>
      </c>
      <c r="AA29" s="504">
        <v>0</v>
      </c>
      <c r="AB29" s="504">
        <v>0</v>
      </c>
      <c r="AC29" s="504">
        <v>0</v>
      </c>
      <c r="AD29" s="504">
        <v>0</v>
      </c>
      <c r="AE29" s="504">
        <v>0</v>
      </c>
      <c r="AF29" s="504">
        <v>0</v>
      </c>
      <c r="AG29" s="504">
        <v>0</v>
      </c>
      <c r="AH29" s="504">
        <v>0</v>
      </c>
      <c r="AI29" s="504">
        <v>0</v>
      </c>
      <c r="AJ29" s="504">
        <v>0</v>
      </c>
      <c r="AK29" s="504">
        <v>0</v>
      </c>
      <c r="AL29">
        <f t="shared" si="5"/>
        <v>161.75</v>
      </c>
    </row>
    <row r="30" spans="1:38" x14ac:dyDescent="0.25">
      <c r="A30" s="493" t="s">
        <v>926</v>
      </c>
      <c r="B30" s="504" t="s">
        <v>997</v>
      </c>
      <c r="C30" s="494">
        <v>66</v>
      </c>
      <c r="D30" s="494">
        <v>21</v>
      </c>
      <c r="E30" s="504">
        <v>0</v>
      </c>
      <c r="F30" s="504">
        <v>0</v>
      </c>
      <c r="G30" s="504">
        <v>0</v>
      </c>
      <c r="H30" s="504">
        <v>0</v>
      </c>
      <c r="I30" s="504">
        <v>0</v>
      </c>
      <c r="J30" s="504">
        <v>0</v>
      </c>
      <c r="K30" s="504">
        <v>0</v>
      </c>
      <c r="L30" s="504">
        <v>0</v>
      </c>
      <c r="M30" s="504">
        <v>0</v>
      </c>
      <c r="N30" s="504">
        <v>0</v>
      </c>
      <c r="O30" s="504">
        <v>0</v>
      </c>
      <c r="P30" s="504">
        <v>0</v>
      </c>
      <c r="Q30" s="504">
        <v>0</v>
      </c>
      <c r="R30" s="504">
        <v>0</v>
      </c>
      <c r="S30" s="504">
        <v>0</v>
      </c>
      <c r="T30" s="504">
        <v>0</v>
      </c>
      <c r="U30" s="504">
        <v>0</v>
      </c>
      <c r="V30" s="504">
        <v>0</v>
      </c>
      <c r="W30" s="504">
        <v>0</v>
      </c>
      <c r="X30" s="504">
        <v>0</v>
      </c>
      <c r="Y30" s="504">
        <v>0</v>
      </c>
      <c r="Z30" s="504">
        <v>0</v>
      </c>
      <c r="AA30" s="504">
        <v>0</v>
      </c>
      <c r="AB30" s="504">
        <v>0</v>
      </c>
      <c r="AC30" s="504">
        <v>0</v>
      </c>
      <c r="AD30" s="504">
        <v>0</v>
      </c>
      <c r="AE30" s="504">
        <v>0</v>
      </c>
      <c r="AF30" s="504">
        <v>0</v>
      </c>
      <c r="AG30" s="504">
        <v>0</v>
      </c>
      <c r="AH30" s="504">
        <v>0</v>
      </c>
      <c r="AI30" s="504">
        <v>0</v>
      </c>
      <c r="AJ30" s="504">
        <v>0</v>
      </c>
      <c r="AK30" s="504">
        <v>0</v>
      </c>
      <c r="AL30">
        <f t="shared" si="5"/>
        <v>87</v>
      </c>
    </row>
    <row r="31" spans="1:38" x14ac:dyDescent="0.25">
      <c r="A31" s="500"/>
      <c r="B31" s="504" t="s">
        <v>998</v>
      </c>
      <c r="C31" s="504">
        <v>285.75</v>
      </c>
      <c r="D31" s="504">
        <v>86</v>
      </c>
      <c r="E31" s="504">
        <v>0.5</v>
      </c>
      <c r="F31" s="504">
        <v>167.2</v>
      </c>
      <c r="G31" s="504">
        <v>42.75</v>
      </c>
      <c r="H31" s="504">
        <v>10</v>
      </c>
      <c r="I31" s="504">
        <v>131.93</v>
      </c>
      <c r="J31" s="504">
        <v>27.950000000000003</v>
      </c>
      <c r="K31" s="504">
        <v>95</v>
      </c>
      <c r="L31" s="504">
        <v>180.89999999999998</v>
      </c>
      <c r="M31" s="504">
        <v>126.44</v>
      </c>
      <c r="N31" s="504">
        <v>67.739999999999995</v>
      </c>
      <c r="O31" s="504">
        <v>27.25</v>
      </c>
      <c r="P31" s="504">
        <v>29.34</v>
      </c>
      <c r="Q31" s="504">
        <v>74.599999999999994</v>
      </c>
      <c r="R31" s="504">
        <v>54.75</v>
      </c>
      <c r="S31" s="504">
        <v>2.5</v>
      </c>
      <c r="T31" s="504">
        <v>99.89</v>
      </c>
      <c r="U31" s="504">
        <v>63.55</v>
      </c>
      <c r="V31" s="504">
        <v>46.739999999999995</v>
      </c>
      <c r="W31" s="504">
        <v>1.25</v>
      </c>
      <c r="X31" s="504">
        <v>90.15</v>
      </c>
      <c r="Y31" s="504">
        <v>169.45000000000002</v>
      </c>
      <c r="Z31" s="504">
        <v>24.25</v>
      </c>
      <c r="AA31" s="504">
        <v>17.130000000000003</v>
      </c>
      <c r="AB31" s="504">
        <v>3.55</v>
      </c>
      <c r="AC31" s="504">
        <v>312.10000000000002</v>
      </c>
      <c r="AD31" s="504">
        <v>70.81</v>
      </c>
      <c r="AE31" s="504">
        <v>5.75</v>
      </c>
      <c r="AF31" s="504">
        <v>7</v>
      </c>
      <c r="AG31" s="504">
        <v>17.3</v>
      </c>
      <c r="AH31" s="504">
        <v>7</v>
      </c>
      <c r="AI31" s="504">
        <v>16</v>
      </c>
      <c r="AJ31" s="504">
        <v>90.2</v>
      </c>
      <c r="AK31" s="504">
        <v>60.5</v>
      </c>
      <c r="AL31">
        <f t="shared" si="5"/>
        <v>2513.2200000000003</v>
      </c>
    </row>
    <row r="32" spans="1:38" x14ac:dyDescent="0.25">
      <c r="A32" s="503"/>
      <c r="B32" s="504" t="s">
        <v>999</v>
      </c>
      <c r="C32" s="505" t="s">
        <v>663</v>
      </c>
      <c r="D32" s="505" t="s">
        <v>663</v>
      </c>
      <c r="E32" s="505" t="s">
        <v>663</v>
      </c>
      <c r="F32" s="505" t="s">
        <v>663</v>
      </c>
      <c r="G32" s="505" t="s">
        <v>663</v>
      </c>
      <c r="H32" s="505" t="s">
        <v>663</v>
      </c>
      <c r="I32" s="505" t="s">
        <v>663</v>
      </c>
      <c r="J32" s="505" t="s">
        <v>663</v>
      </c>
      <c r="K32" s="505" t="s">
        <v>663</v>
      </c>
      <c r="L32" s="505" t="s">
        <v>663</v>
      </c>
      <c r="M32" s="505" t="s">
        <v>663</v>
      </c>
      <c r="N32" s="505" t="s">
        <v>663</v>
      </c>
      <c r="O32" s="505" t="s">
        <v>663</v>
      </c>
      <c r="P32" s="505" t="s">
        <v>663</v>
      </c>
      <c r="Q32" s="505" t="s">
        <v>663</v>
      </c>
      <c r="R32" s="505" t="s">
        <v>663</v>
      </c>
      <c r="S32" s="505" t="s">
        <v>663</v>
      </c>
      <c r="T32" s="505" t="s">
        <v>663</v>
      </c>
      <c r="U32" s="505" t="s">
        <v>663</v>
      </c>
      <c r="V32" s="505" t="s">
        <v>663</v>
      </c>
      <c r="W32" s="505" t="s">
        <v>663</v>
      </c>
      <c r="X32" s="505" t="s">
        <v>663</v>
      </c>
      <c r="Y32" s="505" t="s">
        <v>663</v>
      </c>
      <c r="Z32" s="505" t="s">
        <v>663</v>
      </c>
      <c r="AA32" s="505" t="s">
        <v>663</v>
      </c>
      <c r="AB32" s="505" t="s">
        <v>663</v>
      </c>
      <c r="AC32" s="505" t="s">
        <v>663</v>
      </c>
      <c r="AD32" s="505" t="s">
        <v>663</v>
      </c>
      <c r="AE32" s="505" t="s">
        <v>663</v>
      </c>
      <c r="AF32" s="505" t="s">
        <v>663</v>
      </c>
      <c r="AG32" s="505" t="s">
        <v>663</v>
      </c>
      <c r="AH32" s="505" t="s">
        <v>663</v>
      </c>
      <c r="AI32" s="505" t="s">
        <v>663</v>
      </c>
      <c r="AJ32" s="505" t="s">
        <v>663</v>
      </c>
      <c r="AK32" s="505" t="s">
        <v>663</v>
      </c>
      <c r="AL32">
        <f t="shared" si="5"/>
        <v>0</v>
      </c>
    </row>
    <row r="33" spans="1:38" x14ac:dyDescent="0.25">
      <c r="A33" s="506" t="s">
        <v>1000</v>
      </c>
      <c r="B33" s="504" t="s">
        <v>1001</v>
      </c>
      <c r="C33" s="505"/>
      <c r="D33" s="505"/>
      <c r="E33" s="505"/>
      <c r="F33" s="494"/>
      <c r="G33" s="494"/>
      <c r="H33" s="494"/>
      <c r="I33" s="494"/>
      <c r="J33" s="494" t="s">
        <v>570</v>
      </c>
      <c r="K33" s="494"/>
      <c r="L33" s="494" t="s">
        <v>570</v>
      </c>
      <c r="M33" s="494" t="s">
        <v>570</v>
      </c>
      <c r="N33" s="494" t="s">
        <v>570</v>
      </c>
      <c r="O33" s="494" t="s">
        <v>570</v>
      </c>
      <c r="P33" s="494" t="s">
        <v>570</v>
      </c>
      <c r="Q33" s="494" t="s">
        <v>570</v>
      </c>
      <c r="R33" s="494" t="s">
        <v>570</v>
      </c>
      <c r="S33" s="494"/>
      <c r="T33" s="494" t="s">
        <v>570</v>
      </c>
      <c r="U33" s="494" t="s">
        <v>570</v>
      </c>
      <c r="V33" s="494"/>
      <c r="W33" s="494"/>
      <c r="X33" s="507" t="s">
        <v>570</v>
      </c>
      <c r="Y33" s="494"/>
      <c r="Z33" s="494" t="s">
        <v>570</v>
      </c>
      <c r="AA33" s="494" t="s">
        <v>570</v>
      </c>
      <c r="AB33" s="494"/>
      <c r="AC33" s="494" t="s">
        <v>570</v>
      </c>
      <c r="AD33" s="494" t="s">
        <v>570</v>
      </c>
      <c r="AE33" s="494" t="s">
        <v>570</v>
      </c>
      <c r="AF33" s="494" t="s">
        <v>570</v>
      </c>
      <c r="AG33" s="494"/>
      <c r="AH33" s="494"/>
      <c r="AI33" s="494" t="s">
        <v>570</v>
      </c>
      <c r="AJ33" s="494" t="s">
        <v>570</v>
      </c>
      <c r="AK33" s="507"/>
      <c r="AL33">
        <f t="shared" si="5"/>
        <v>0</v>
      </c>
    </row>
    <row r="34" spans="1:38" x14ac:dyDescent="0.25">
      <c r="A34" s="508" t="s">
        <v>1002</v>
      </c>
      <c r="B34" s="503"/>
      <c r="C34" s="509"/>
      <c r="D34" s="509"/>
      <c r="E34" s="509"/>
      <c r="F34" s="510"/>
      <c r="G34" s="510"/>
      <c r="H34" s="510"/>
      <c r="I34" s="510"/>
      <c r="J34" s="498"/>
      <c r="K34" s="498"/>
      <c r="L34" s="498"/>
      <c r="M34" s="498"/>
      <c r="N34" s="498"/>
      <c r="O34" s="498"/>
      <c r="P34" s="498"/>
      <c r="Q34" s="498"/>
      <c r="R34" s="498"/>
      <c r="S34" s="498"/>
      <c r="T34" s="498"/>
      <c r="U34" s="498"/>
      <c r="V34" s="498"/>
      <c r="W34" s="498"/>
      <c r="X34" s="498"/>
      <c r="Y34" s="498"/>
      <c r="Z34" s="498"/>
      <c r="AA34" s="498"/>
      <c r="AB34" s="498"/>
      <c r="AC34" s="498"/>
      <c r="AD34" s="498"/>
      <c r="AE34" s="498"/>
      <c r="AF34" s="498"/>
      <c r="AH34" s="498"/>
    </row>
    <row r="35" spans="1:38" x14ac:dyDescent="0.25">
      <c r="A35" s="511" t="s">
        <v>1003</v>
      </c>
      <c r="B35" s="498"/>
      <c r="C35" s="509"/>
      <c r="D35" s="509"/>
      <c r="E35" s="509"/>
      <c r="F35" s="498"/>
      <c r="G35" s="498"/>
      <c r="H35" s="498"/>
      <c r="I35" s="498"/>
      <c r="J35" s="498"/>
      <c r="K35" s="498"/>
      <c r="L35" s="498"/>
      <c r="M35" s="498"/>
      <c r="N35" s="498"/>
      <c r="O35" s="498"/>
      <c r="P35" s="498"/>
      <c r="Q35" s="498"/>
      <c r="R35" s="498"/>
      <c r="S35" s="498"/>
      <c r="T35" s="498"/>
      <c r="U35" s="498"/>
      <c r="V35" s="498"/>
      <c r="W35" s="498"/>
      <c r="X35" s="498"/>
      <c r="Y35" s="498"/>
      <c r="Z35" s="498"/>
      <c r="AA35" s="498"/>
      <c r="AB35" s="498"/>
      <c r="AC35" s="498"/>
      <c r="AD35" s="498"/>
      <c r="AE35" s="498"/>
      <c r="AF35" s="498"/>
      <c r="AH35" s="498"/>
    </row>
    <row r="36" spans="1:38" x14ac:dyDescent="0.25">
      <c r="A36" s="512" t="s">
        <v>1004</v>
      </c>
      <c r="B36" s="498"/>
      <c r="C36" s="509"/>
      <c r="D36" s="509"/>
      <c r="E36" s="509"/>
      <c r="F36" s="498"/>
      <c r="G36" s="498"/>
      <c r="H36" s="498"/>
      <c r="I36" s="498"/>
      <c r="J36" s="498"/>
      <c r="K36" s="498"/>
      <c r="L36" s="498"/>
      <c r="M36" s="498"/>
      <c r="N36" s="498"/>
      <c r="O36" s="498"/>
      <c r="P36" s="498"/>
      <c r="Q36" s="498"/>
      <c r="R36" s="498"/>
      <c r="S36" s="498"/>
      <c r="T36" s="498"/>
      <c r="U36" s="498"/>
      <c r="V36" s="498"/>
      <c r="W36" s="498"/>
      <c r="X36" s="498"/>
      <c r="Y36" s="498"/>
      <c r="Z36" s="498"/>
      <c r="AA36" s="498"/>
      <c r="AB36" s="498"/>
      <c r="AC36" s="498"/>
      <c r="AD36" s="498"/>
      <c r="AE36" s="498"/>
      <c r="AF36" s="498"/>
      <c r="AH36" s="498"/>
    </row>
    <row r="37" spans="1:38" x14ac:dyDescent="0.25">
      <c r="A37" s="509"/>
      <c r="B37" s="509"/>
      <c r="C37" s="509"/>
      <c r="D37" s="509"/>
      <c r="E37" s="509"/>
      <c r="F37" s="509"/>
      <c r="G37" s="509"/>
      <c r="H37" s="509"/>
      <c r="I37" s="509"/>
      <c r="J37" s="509"/>
      <c r="K37" s="509"/>
      <c r="L37" s="509"/>
      <c r="M37" s="509"/>
      <c r="N37" s="509"/>
      <c r="O37" s="509"/>
      <c r="P37" s="509"/>
      <c r="Q37" s="509"/>
      <c r="R37" s="509"/>
      <c r="S37" s="509"/>
      <c r="T37" s="509"/>
      <c r="U37" s="509"/>
      <c r="V37" s="509"/>
      <c r="W37" s="509"/>
      <c r="X37" s="509"/>
      <c r="Y37" s="509"/>
      <c r="Z37" s="509"/>
      <c r="AA37" s="509"/>
      <c r="AB37" s="509"/>
      <c r="AC37" s="509"/>
      <c r="AD37" s="509"/>
      <c r="AE37" s="509"/>
      <c r="AF37" s="509"/>
      <c r="AH37" s="509"/>
    </row>
    <row r="38" spans="1:38" x14ac:dyDescent="0.25">
      <c r="A38" s="509"/>
      <c r="B38" s="509"/>
      <c r="C38" s="509"/>
      <c r="D38" s="509"/>
      <c r="E38" s="509"/>
      <c r="F38" s="509"/>
      <c r="G38" s="509"/>
      <c r="H38" s="509"/>
      <c r="I38" s="509"/>
      <c r="J38" s="509"/>
      <c r="K38" s="509"/>
      <c r="L38" s="509"/>
      <c r="M38" s="509"/>
      <c r="N38" s="509"/>
      <c r="O38" s="509"/>
      <c r="P38" s="509"/>
      <c r="Q38" s="509"/>
      <c r="R38" s="509"/>
      <c r="S38" s="509"/>
      <c r="T38" s="509"/>
      <c r="U38" s="509"/>
      <c r="V38" s="509"/>
      <c r="W38" s="509"/>
      <c r="X38" s="509"/>
      <c r="Y38" s="509"/>
      <c r="Z38" s="509"/>
      <c r="AA38" s="509"/>
      <c r="AB38" s="509"/>
      <c r="AC38" s="509"/>
      <c r="AD38" s="509"/>
      <c r="AE38" s="509"/>
      <c r="AF38" s="509"/>
      <c r="AH38" s="509"/>
    </row>
    <row r="40" spans="1:38" x14ac:dyDescent="0.25">
      <c r="B40" s="513" t="s">
        <v>1005</v>
      </c>
      <c r="C40" s="513"/>
      <c r="D40" s="468"/>
      <c r="E40" s="513" t="s">
        <v>1006</v>
      </c>
      <c r="F40" s="118"/>
    </row>
    <row r="41" spans="1:38" x14ac:dyDescent="0.25">
      <c r="B41" s="201" t="s">
        <v>903</v>
      </c>
      <c r="C41" s="201" t="s">
        <v>968</v>
      </c>
      <c r="D41" s="468"/>
      <c r="E41" s="201" t="s">
        <v>903</v>
      </c>
      <c r="F41" s="118" t="s">
        <v>968</v>
      </c>
    </row>
    <row r="42" spans="1:38" x14ac:dyDescent="0.25">
      <c r="B42" s="201" t="s">
        <v>904</v>
      </c>
      <c r="C42" s="201" t="s">
        <v>969</v>
      </c>
      <c r="D42" s="468"/>
      <c r="E42" s="201" t="s">
        <v>904</v>
      </c>
      <c r="F42" s="118" t="s">
        <v>969</v>
      </c>
    </row>
    <row r="43" spans="1:38" x14ac:dyDescent="0.25">
      <c r="B43" s="201" t="s">
        <v>905</v>
      </c>
      <c r="C43" s="201" t="s">
        <v>970</v>
      </c>
      <c r="D43" s="468"/>
      <c r="E43" s="201" t="s">
        <v>909</v>
      </c>
      <c r="F43" s="201" t="s">
        <v>970</v>
      </c>
    </row>
    <row r="44" spans="1:38" x14ac:dyDescent="0.25">
      <c r="B44" s="201" t="s">
        <v>906</v>
      </c>
      <c r="C44" s="201" t="s">
        <v>970</v>
      </c>
      <c r="D44" s="468"/>
      <c r="E44" s="201" t="s">
        <v>907</v>
      </c>
      <c r="F44" s="201" t="s">
        <v>970</v>
      </c>
    </row>
    <row r="45" spans="1:38" x14ac:dyDescent="0.25">
      <c r="B45" s="201" t="s">
        <v>907</v>
      </c>
      <c r="C45" s="201" t="s">
        <v>970</v>
      </c>
      <c r="D45" s="468"/>
      <c r="E45" s="201" t="s">
        <v>906</v>
      </c>
      <c r="F45" s="201" t="s">
        <v>970</v>
      </c>
    </row>
    <row r="46" spans="1:38" x14ac:dyDescent="0.25">
      <c r="B46" s="201" t="s">
        <v>908</v>
      </c>
      <c r="C46" s="201" t="s">
        <v>970</v>
      </c>
      <c r="E46" s="201" t="s">
        <v>908</v>
      </c>
      <c r="F46" s="201" t="s">
        <v>970</v>
      </c>
    </row>
    <row r="47" spans="1:38" x14ac:dyDescent="0.25">
      <c r="B47" s="201" t="s">
        <v>909</v>
      </c>
      <c r="C47" s="201" t="s">
        <v>970</v>
      </c>
      <c r="E47" s="201" t="s">
        <v>910</v>
      </c>
      <c r="F47" s="201" t="s">
        <v>970</v>
      </c>
    </row>
    <row r="48" spans="1:38" x14ac:dyDescent="0.25">
      <c r="B48" s="201" t="s">
        <v>910</v>
      </c>
      <c r="C48" s="201" t="s">
        <v>970</v>
      </c>
      <c r="E48" s="201" t="s">
        <v>924</v>
      </c>
      <c r="F48" s="201" t="s">
        <v>970</v>
      </c>
    </row>
    <row r="49" spans="2:6" x14ac:dyDescent="0.25">
      <c r="B49" s="201" t="s">
        <v>911</v>
      </c>
      <c r="C49" s="201" t="s">
        <v>970</v>
      </c>
      <c r="E49" s="201" t="s">
        <v>923</v>
      </c>
      <c r="F49" s="514" t="s">
        <v>972</v>
      </c>
    </row>
    <row r="50" spans="2:6" x14ac:dyDescent="0.25">
      <c r="B50" s="201" t="s">
        <v>912</v>
      </c>
      <c r="C50" s="201" t="s">
        <v>970</v>
      </c>
      <c r="E50" s="201" t="s">
        <v>922</v>
      </c>
      <c r="F50" s="514" t="s">
        <v>972</v>
      </c>
    </row>
    <row r="51" spans="2:6" x14ac:dyDescent="0.25">
      <c r="B51" s="201" t="s">
        <v>913</v>
      </c>
      <c r="C51" s="201" t="s">
        <v>970</v>
      </c>
      <c r="E51" s="201" t="s">
        <v>1007</v>
      </c>
      <c r="F51" s="514" t="s">
        <v>972</v>
      </c>
    </row>
    <row r="52" spans="2:6" x14ac:dyDescent="0.25">
      <c r="B52" s="201" t="s">
        <v>914</v>
      </c>
      <c r="C52" s="201" t="s">
        <v>970</v>
      </c>
      <c r="D52" s="54"/>
      <c r="E52" s="118" t="s">
        <v>920</v>
      </c>
      <c r="F52" s="483" t="s">
        <v>971</v>
      </c>
    </row>
    <row r="53" spans="2:6" x14ac:dyDescent="0.25">
      <c r="B53" s="118" t="s">
        <v>915</v>
      </c>
      <c r="C53" s="201" t="s">
        <v>970</v>
      </c>
      <c r="D53" s="54"/>
      <c r="E53" s="118" t="s">
        <v>905</v>
      </c>
      <c r="F53" s="201" t="s">
        <v>970</v>
      </c>
    </row>
    <row r="54" spans="2:6" x14ac:dyDescent="0.25">
      <c r="B54" s="118" t="s">
        <v>916</v>
      </c>
      <c r="C54" s="201" t="s">
        <v>970</v>
      </c>
      <c r="D54" s="54"/>
      <c r="E54" s="485" t="s">
        <v>973</v>
      </c>
      <c r="F54" s="201" t="s">
        <v>970</v>
      </c>
    </row>
    <row r="55" spans="2:6" x14ac:dyDescent="0.25">
      <c r="B55" s="118" t="s">
        <v>917</v>
      </c>
      <c r="C55" s="201" t="s">
        <v>970</v>
      </c>
      <c r="D55" s="54"/>
      <c r="E55" s="118" t="s">
        <v>914</v>
      </c>
      <c r="F55" s="201" t="s">
        <v>970</v>
      </c>
    </row>
    <row r="56" spans="2:6" x14ac:dyDescent="0.25">
      <c r="B56" s="118" t="s">
        <v>918</v>
      </c>
      <c r="C56" s="201" t="s">
        <v>970</v>
      </c>
      <c r="D56" s="54"/>
      <c r="E56" s="485" t="s">
        <v>974</v>
      </c>
      <c r="F56" s="201" t="s">
        <v>970</v>
      </c>
    </row>
    <row r="57" spans="2:6" x14ac:dyDescent="0.25">
      <c r="B57" s="118" t="s">
        <v>919</v>
      </c>
      <c r="C57" s="201" t="s">
        <v>970</v>
      </c>
      <c r="D57" s="54"/>
      <c r="E57" s="118" t="s">
        <v>919</v>
      </c>
      <c r="F57" s="201" t="s">
        <v>970</v>
      </c>
    </row>
    <row r="58" spans="2:6" x14ac:dyDescent="0.25">
      <c r="B58" s="118" t="s">
        <v>920</v>
      </c>
      <c r="C58" s="515" t="s">
        <v>971</v>
      </c>
      <c r="D58" s="54"/>
      <c r="E58" s="485" t="s">
        <v>975</v>
      </c>
      <c r="F58" s="201" t="s">
        <v>970</v>
      </c>
    </row>
    <row r="59" spans="2:6" x14ac:dyDescent="0.25">
      <c r="B59" s="118" t="s">
        <v>921</v>
      </c>
      <c r="C59" s="201" t="s">
        <v>972</v>
      </c>
      <c r="D59" s="54"/>
      <c r="E59" s="118" t="s">
        <v>918</v>
      </c>
      <c r="F59" s="201" t="s">
        <v>970</v>
      </c>
    </row>
    <row r="60" spans="2:6" x14ac:dyDescent="0.25">
      <c r="B60" s="118" t="s">
        <v>922</v>
      </c>
      <c r="C60" s="201" t="s">
        <v>972</v>
      </c>
      <c r="D60" s="54"/>
      <c r="E60" s="118" t="s">
        <v>917</v>
      </c>
      <c r="F60" s="201" t="s">
        <v>970</v>
      </c>
    </row>
    <row r="61" spans="2:6" x14ac:dyDescent="0.25">
      <c r="B61" s="118" t="s">
        <v>923</v>
      </c>
      <c r="C61" s="201" t="s">
        <v>972</v>
      </c>
      <c r="D61" s="54"/>
      <c r="E61" s="118" t="s">
        <v>911</v>
      </c>
      <c r="F61" s="201" t="s">
        <v>970</v>
      </c>
    </row>
    <row r="62" spans="2:6" x14ac:dyDescent="0.25">
      <c r="B62" s="516" t="s">
        <v>1008</v>
      </c>
      <c r="C62" s="517" t="s">
        <v>971</v>
      </c>
      <c r="D62" s="54"/>
      <c r="E62" s="118" t="s">
        <v>916</v>
      </c>
      <c r="F62" s="201" t="s">
        <v>970</v>
      </c>
    </row>
    <row r="63" spans="2:6" x14ac:dyDescent="0.25">
      <c r="B63" s="118" t="s">
        <v>924</v>
      </c>
      <c r="C63" t="s">
        <v>970</v>
      </c>
      <c r="D63" s="54"/>
      <c r="E63" s="118" t="s">
        <v>912</v>
      </c>
      <c r="F63" s="201" t="s">
        <v>970</v>
      </c>
    </row>
    <row r="64" spans="2:6" x14ac:dyDescent="0.25">
      <c r="D64" s="54"/>
      <c r="E64" s="118" t="s">
        <v>913</v>
      </c>
      <c r="F64" s="201" t="s">
        <v>970</v>
      </c>
    </row>
    <row r="65" spans="2:6" x14ac:dyDescent="0.25">
      <c r="D65" s="54"/>
      <c r="E65" s="485" t="s">
        <v>976</v>
      </c>
      <c r="F65" s="201" t="s">
        <v>970</v>
      </c>
    </row>
    <row r="66" spans="2:6" x14ac:dyDescent="0.25">
      <c r="B66" s="54"/>
      <c r="C66" s="54"/>
      <c r="D66" s="54"/>
      <c r="E66" s="518" t="s">
        <v>977</v>
      </c>
      <c r="F66" s="201" t="s">
        <v>970</v>
      </c>
    </row>
    <row r="67" spans="2:6" x14ac:dyDescent="0.25">
      <c r="B67" s="54"/>
      <c r="C67" s="54"/>
      <c r="D67" s="54"/>
      <c r="E67" s="118" t="s">
        <v>915</v>
      </c>
      <c r="F67" s="201" t="s">
        <v>970</v>
      </c>
    </row>
    <row r="68" spans="2:6" x14ac:dyDescent="0.25">
      <c r="B68" s="54"/>
      <c r="C68" s="54"/>
      <c r="D68" s="54"/>
      <c r="E68" s="485" t="s">
        <v>978</v>
      </c>
      <c r="F68" s="201" t="s">
        <v>970</v>
      </c>
    </row>
    <row r="69" spans="2:6" x14ac:dyDescent="0.25">
      <c r="B69" s="54"/>
      <c r="C69" s="54"/>
      <c r="D69" s="54"/>
      <c r="E69" s="485" t="s">
        <v>979</v>
      </c>
      <c r="F69" s="201" t="s">
        <v>970</v>
      </c>
    </row>
    <row r="70" spans="2:6" x14ac:dyDescent="0.25">
      <c r="B70" s="54"/>
      <c r="C70" s="54"/>
      <c r="D70" s="54"/>
      <c r="E70" s="485" t="s">
        <v>980</v>
      </c>
      <c r="F70" s="201" t="s">
        <v>970</v>
      </c>
    </row>
    <row r="71" spans="2:6" x14ac:dyDescent="0.25">
      <c r="B71" s="54"/>
      <c r="C71" s="54"/>
      <c r="D71" s="54"/>
      <c r="E71" s="485" t="s">
        <v>981</v>
      </c>
      <c r="F71" s="201" t="s">
        <v>970</v>
      </c>
    </row>
    <row r="72" spans="2:6" x14ac:dyDescent="0.25">
      <c r="E72" s="484" t="s">
        <v>982</v>
      </c>
      <c r="F72" s="201" t="s">
        <v>970</v>
      </c>
    </row>
    <row r="73" spans="2:6" x14ac:dyDescent="0.25">
      <c r="E73" s="484" t="s">
        <v>983</v>
      </c>
      <c r="F73" s="201" t="s">
        <v>970</v>
      </c>
    </row>
    <row r="74" spans="2:6" x14ac:dyDescent="0.25">
      <c r="E74" s="484" t="s">
        <v>984</v>
      </c>
      <c r="F74" s="201" t="s">
        <v>970</v>
      </c>
    </row>
    <row r="75" spans="2:6" x14ac:dyDescent="0.25">
      <c r="E75" s="484" t="s">
        <v>985</v>
      </c>
      <c r="F75" s="519" t="s">
        <v>972</v>
      </c>
    </row>
  </sheetData>
  <mergeCells count="2">
    <mergeCell ref="H3:I3"/>
    <mergeCell ref="V3:W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78154-9524-4215-9BC1-49901C2B38B3}">
  <sheetPr codeName="Feuil32">
    <tabColor theme="3" tint="0.749992370372631"/>
  </sheetPr>
  <dimension ref="A3:AL78"/>
  <sheetViews>
    <sheetView topLeftCell="A4" workbookViewId="0">
      <selection activeCell="E11" sqref="E11"/>
    </sheetView>
  </sheetViews>
  <sheetFormatPr baseColWidth="10" defaultRowHeight="15" x14ac:dyDescent="0.25"/>
  <cols>
    <col min="2" max="2" width="34.85546875" customWidth="1"/>
    <col min="5" max="5" width="12.28515625" customWidth="1"/>
  </cols>
  <sheetData>
    <row r="3" spans="1:23" x14ac:dyDescent="0.25">
      <c r="A3" s="474" t="s">
        <v>932</v>
      </c>
      <c r="B3" s="474" t="s">
        <v>366</v>
      </c>
      <c r="C3" s="474" t="s">
        <v>543</v>
      </c>
      <c r="D3" s="474" t="s">
        <v>873</v>
      </c>
      <c r="E3" s="474" t="s">
        <v>897</v>
      </c>
      <c r="F3" s="474" t="s">
        <v>898</v>
      </c>
      <c r="G3" s="474" t="s">
        <v>448</v>
      </c>
      <c r="H3" s="556" t="s">
        <v>948</v>
      </c>
      <c r="I3" s="556"/>
      <c r="N3" s="474" t="s">
        <v>932</v>
      </c>
      <c r="O3" s="474" t="s">
        <v>366</v>
      </c>
      <c r="P3" s="474" t="s">
        <v>543</v>
      </c>
      <c r="Q3" s="474" t="s">
        <v>873</v>
      </c>
      <c r="R3" s="474" t="s">
        <v>899</v>
      </c>
      <c r="S3" s="474" t="s">
        <v>900</v>
      </c>
      <c r="T3" s="474" t="s">
        <v>901</v>
      </c>
      <c r="U3" s="474" t="s">
        <v>448</v>
      </c>
      <c r="V3" s="556" t="s">
        <v>948</v>
      </c>
      <c r="W3" s="556"/>
    </row>
    <row r="4" spans="1:23" x14ac:dyDescent="0.25">
      <c r="A4" t="s">
        <v>933</v>
      </c>
      <c r="B4">
        <v>1</v>
      </c>
      <c r="C4" t="s">
        <v>877</v>
      </c>
      <c r="D4" t="s">
        <v>878</v>
      </c>
      <c r="E4">
        <f>C28*8</f>
        <v>816</v>
      </c>
      <c r="F4">
        <f>D28*8</f>
        <v>168</v>
      </c>
      <c r="G4">
        <f>SUM(E4:F4)</f>
        <v>984</v>
      </c>
      <c r="H4">
        <f>G4/8</f>
        <v>123</v>
      </c>
      <c r="I4" t="b">
        <f>H4=AL28</f>
        <v>1</v>
      </c>
      <c r="N4" t="s">
        <v>934</v>
      </c>
      <c r="O4" s="475">
        <v>1</v>
      </c>
      <c r="P4" s="475" t="s">
        <v>935</v>
      </c>
      <c r="Q4" s="475" t="s">
        <v>936</v>
      </c>
      <c r="R4">
        <f>SUM(E20:AF20)</f>
        <v>763.42000000000007</v>
      </c>
      <c r="S4">
        <f>AG20*8</f>
        <v>0</v>
      </c>
      <c r="T4">
        <f>SUM(AH20:AK20)</f>
        <v>0</v>
      </c>
      <c r="U4">
        <f>SUM(R4:T4)</f>
        <v>763.42000000000007</v>
      </c>
      <c r="V4">
        <f>U4</f>
        <v>763.42000000000007</v>
      </c>
      <c r="W4" t="b">
        <f>V4=AL20</f>
        <v>1</v>
      </c>
    </row>
    <row r="5" spans="1:23" x14ac:dyDescent="0.25">
      <c r="A5" t="s">
        <v>933</v>
      </c>
      <c r="B5">
        <v>3</v>
      </c>
      <c r="C5" t="s">
        <v>881</v>
      </c>
      <c r="D5" t="s">
        <v>882</v>
      </c>
      <c r="E5">
        <f>C29*8</f>
        <v>942</v>
      </c>
      <c r="F5">
        <f>D29*8</f>
        <v>352</v>
      </c>
      <c r="G5">
        <f t="shared" ref="G5:G9" si="0">SUM(E5:F5)</f>
        <v>1294</v>
      </c>
      <c r="H5">
        <f>G5/8</f>
        <v>161.75</v>
      </c>
      <c r="I5" t="b">
        <f t="shared" ref="I5" si="1">H5=AL29</f>
        <v>1</v>
      </c>
      <c r="N5" t="s">
        <v>933</v>
      </c>
      <c r="O5">
        <v>3</v>
      </c>
      <c r="P5" t="s">
        <v>877</v>
      </c>
      <c r="Q5" t="s">
        <v>878</v>
      </c>
      <c r="R5">
        <f>8*SUM(E23:AF23)</f>
        <v>4</v>
      </c>
      <c r="S5">
        <f>AG23*8</f>
        <v>8</v>
      </c>
      <c r="T5">
        <f>8*SUM(AH23:AK23)</f>
        <v>68</v>
      </c>
      <c r="U5">
        <f t="shared" ref="U5:U8" si="2">SUM(R5:T5)</f>
        <v>80</v>
      </c>
      <c r="V5">
        <f>U5/8</f>
        <v>10</v>
      </c>
      <c r="W5" t="b">
        <f>V5=AL23</f>
        <v>1</v>
      </c>
    </row>
    <row r="6" spans="1:23" x14ac:dyDescent="0.25">
      <c r="A6" t="s">
        <v>934</v>
      </c>
      <c r="B6" s="298">
        <v>4</v>
      </c>
      <c r="C6" s="298" t="s">
        <v>883</v>
      </c>
      <c r="D6" s="298" t="s">
        <v>884</v>
      </c>
      <c r="E6" s="298">
        <v>567</v>
      </c>
      <c r="F6" s="298">
        <f>E41</f>
        <v>0</v>
      </c>
      <c r="G6">
        <f t="shared" si="0"/>
        <v>567</v>
      </c>
      <c r="H6">
        <f>G6</f>
        <v>567</v>
      </c>
      <c r="N6" t="s">
        <v>933</v>
      </c>
      <c r="O6">
        <v>4</v>
      </c>
      <c r="P6" t="s">
        <v>938</v>
      </c>
      <c r="Q6" t="s">
        <v>939</v>
      </c>
      <c r="R6">
        <f>8*SUM(E22:AF22)</f>
        <v>1116</v>
      </c>
      <c r="S6">
        <f>AG22*8</f>
        <v>0</v>
      </c>
      <c r="T6">
        <f>8*SUM(AH22:AK22)</f>
        <v>104</v>
      </c>
      <c r="U6">
        <f t="shared" si="2"/>
        <v>1220</v>
      </c>
      <c r="V6">
        <f>U6/8</f>
        <v>152.5</v>
      </c>
      <c r="W6" t="b">
        <f t="shared" ref="W6" si="3">V6=AL22</f>
        <v>1</v>
      </c>
    </row>
    <row r="7" spans="1:23" x14ac:dyDescent="0.25">
      <c r="A7" t="s">
        <v>937</v>
      </c>
      <c r="B7">
        <v>5</v>
      </c>
      <c r="C7" t="s">
        <v>885</v>
      </c>
      <c r="D7" t="s">
        <v>886</v>
      </c>
      <c r="E7">
        <f>C30*7</f>
        <v>560</v>
      </c>
      <c r="F7">
        <f>D30*7</f>
        <v>882</v>
      </c>
      <c r="G7">
        <f t="shared" si="0"/>
        <v>1442</v>
      </c>
      <c r="H7">
        <f>G7/7</f>
        <v>206</v>
      </c>
      <c r="I7" t="b">
        <f>H7=AL31</f>
        <v>0</v>
      </c>
      <c r="N7" t="s">
        <v>933</v>
      </c>
      <c r="O7">
        <v>5</v>
      </c>
      <c r="P7" t="s">
        <v>940</v>
      </c>
      <c r="Q7" t="s">
        <v>941</v>
      </c>
      <c r="R7">
        <f>8*SUM(E25:AF25)</f>
        <v>372</v>
      </c>
      <c r="S7">
        <f>8*AG25</f>
        <v>16</v>
      </c>
      <c r="T7">
        <f>8*SUM(AH25:AK25)</f>
        <v>484</v>
      </c>
      <c r="U7">
        <f t="shared" si="2"/>
        <v>872</v>
      </c>
      <c r="V7">
        <f>U7/8</f>
        <v>109</v>
      </c>
      <c r="W7" t="b">
        <f>V7=AL25</f>
        <v>1</v>
      </c>
    </row>
    <row r="8" spans="1:23" x14ac:dyDescent="0.25">
      <c r="A8" t="s">
        <v>934</v>
      </c>
      <c r="B8" s="298">
        <v>7</v>
      </c>
      <c r="C8" s="298" t="s">
        <v>889</v>
      </c>
      <c r="D8" s="298" t="s">
        <v>890</v>
      </c>
      <c r="E8" s="481">
        <f>C31</f>
        <v>193.25</v>
      </c>
      <c r="F8" s="298">
        <f>E42*7</f>
        <v>0</v>
      </c>
      <c r="G8">
        <f t="shared" si="0"/>
        <v>193.25</v>
      </c>
      <c r="H8">
        <f>G8</f>
        <v>193.25</v>
      </c>
      <c r="N8" t="s">
        <v>933</v>
      </c>
      <c r="O8">
        <v>6</v>
      </c>
      <c r="P8" t="s">
        <v>881</v>
      </c>
      <c r="Q8" t="s">
        <v>882</v>
      </c>
      <c r="R8">
        <f>8*(SUM(E24:AF24))</f>
        <v>40</v>
      </c>
      <c r="S8">
        <f>8*AG24</f>
        <v>0</v>
      </c>
      <c r="T8">
        <f>8*(SUM(AH24:AK24))</f>
        <v>88</v>
      </c>
      <c r="U8">
        <f t="shared" si="2"/>
        <v>128</v>
      </c>
      <c r="V8">
        <f>U8/8</f>
        <v>16</v>
      </c>
      <c r="W8" t="b">
        <f>V8=AL24</f>
        <v>1</v>
      </c>
    </row>
    <row r="9" spans="1:23" x14ac:dyDescent="0.25">
      <c r="B9" s="298">
        <v>6</v>
      </c>
      <c r="C9" s="298" t="s">
        <v>887</v>
      </c>
      <c r="D9" s="298" t="s">
        <v>888</v>
      </c>
      <c r="E9" s="481">
        <f>C33*1.591</f>
        <v>267.28800000000001</v>
      </c>
      <c r="F9" s="298">
        <v>0</v>
      </c>
      <c r="G9">
        <f t="shared" si="0"/>
        <v>267.28800000000001</v>
      </c>
      <c r="H9">
        <f>G9</f>
        <v>267.28800000000001</v>
      </c>
      <c r="N9" t="s">
        <v>942</v>
      </c>
      <c r="O9" s="298">
        <v>19</v>
      </c>
      <c r="P9" s="298" t="s">
        <v>943</v>
      </c>
      <c r="Q9" s="298" t="s">
        <v>944</v>
      </c>
      <c r="R9" s="481">
        <v>35</v>
      </c>
      <c r="S9" s="481">
        <v>35</v>
      </c>
      <c r="T9" s="481">
        <v>35</v>
      </c>
      <c r="U9" s="298">
        <v>105</v>
      </c>
    </row>
    <row r="10" spans="1:23" x14ac:dyDescent="0.25">
      <c r="B10" s="525">
        <v>8</v>
      </c>
      <c r="C10" s="525" t="s">
        <v>891</v>
      </c>
      <c r="D10" s="525" t="s">
        <v>892</v>
      </c>
      <c r="E10" s="525">
        <f>C32</f>
        <v>168</v>
      </c>
      <c r="F10" s="525">
        <v>0</v>
      </c>
      <c r="G10">
        <f t="shared" ref="G10" si="4">SUM(E10:F10)</f>
        <v>168</v>
      </c>
      <c r="H10">
        <f>G10</f>
        <v>168</v>
      </c>
      <c r="I10" s="525"/>
      <c r="N10" t="s">
        <v>942</v>
      </c>
      <c r="O10" s="298">
        <v>20</v>
      </c>
      <c r="P10" s="298" t="s">
        <v>945</v>
      </c>
      <c r="Q10" s="298" t="s">
        <v>946</v>
      </c>
      <c r="R10" s="482">
        <v>480.66666666666669</v>
      </c>
      <c r="S10" s="482">
        <v>480.66666666666669</v>
      </c>
      <c r="T10" s="482">
        <v>480.66666666666669</v>
      </c>
      <c r="U10" s="298">
        <v>1442</v>
      </c>
    </row>
    <row r="11" spans="1:23" x14ac:dyDescent="0.25">
      <c r="N11" t="s">
        <v>934</v>
      </c>
      <c r="O11" s="298">
        <v>10</v>
      </c>
      <c r="P11" s="298" t="s">
        <v>964</v>
      </c>
      <c r="Q11" s="298" t="s">
        <v>965</v>
      </c>
      <c r="R11" s="298">
        <v>0</v>
      </c>
      <c r="S11" s="298">
        <v>0</v>
      </c>
      <c r="T11" s="298">
        <v>118.4</v>
      </c>
      <c r="U11" s="298">
        <v>118.4</v>
      </c>
    </row>
    <row r="12" spans="1:23" x14ac:dyDescent="0.25">
      <c r="E12">
        <f>SUM(E4:E10)</f>
        <v>3513.538</v>
      </c>
      <c r="F12">
        <f>SUM(F4:F9)</f>
        <v>1402</v>
      </c>
      <c r="N12" t="s">
        <v>934</v>
      </c>
      <c r="O12">
        <v>18</v>
      </c>
      <c r="P12" t="s">
        <v>966</v>
      </c>
      <c r="Q12" t="s">
        <v>967</v>
      </c>
      <c r="R12">
        <f>SUM(E21:AF21)</f>
        <v>995.55</v>
      </c>
      <c r="S12">
        <f>AG21</f>
        <v>14.3</v>
      </c>
      <c r="T12">
        <f>SUM(AH21:AK21)</f>
        <v>80.7</v>
      </c>
      <c r="U12">
        <f>SUM(R12:T12)</f>
        <v>1090.55</v>
      </c>
      <c r="V12">
        <f>U12</f>
        <v>1090.55</v>
      </c>
      <c r="W12" t="b">
        <f>U12=AL21</f>
        <v>1</v>
      </c>
    </row>
    <row r="14" spans="1:23" x14ac:dyDescent="0.25">
      <c r="R14" s="77">
        <f>SUM(R4:R12)</f>
        <v>3806.6366666666663</v>
      </c>
      <c r="S14" s="77">
        <f t="shared" ref="S14:T14" si="5">SUM(S4:S12)</f>
        <v>553.9666666666667</v>
      </c>
      <c r="T14" s="77">
        <f t="shared" si="5"/>
        <v>1458.7666666666669</v>
      </c>
    </row>
    <row r="18" spans="1:38" ht="15.75" thickBot="1" x14ac:dyDescent="0.3">
      <c r="C18" s="118" t="s">
        <v>968</v>
      </c>
      <c r="D18" s="118" t="s">
        <v>969</v>
      </c>
      <c r="E18" s="201" t="s">
        <v>970</v>
      </c>
      <c r="F18" s="201" t="s">
        <v>970</v>
      </c>
      <c r="G18" s="201" t="s">
        <v>970</v>
      </c>
      <c r="H18" s="201" t="s">
        <v>970</v>
      </c>
      <c r="I18" s="201" t="s">
        <v>970</v>
      </c>
      <c r="J18" s="201" t="s">
        <v>970</v>
      </c>
      <c r="K18" s="201" t="s">
        <v>970</v>
      </c>
      <c r="L18" s="201" t="s">
        <v>970</v>
      </c>
      <c r="M18" s="201" t="s">
        <v>970</v>
      </c>
      <c r="N18" s="201" t="s">
        <v>970</v>
      </c>
      <c r="O18" s="201" t="s">
        <v>970</v>
      </c>
      <c r="P18" s="201" t="s">
        <v>970</v>
      </c>
      <c r="Q18" s="201" t="s">
        <v>970</v>
      </c>
      <c r="R18" s="201" t="s">
        <v>970</v>
      </c>
      <c r="S18" s="201" t="s">
        <v>970</v>
      </c>
      <c r="T18" s="201" t="s">
        <v>970</v>
      </c>
      <c r="U18" s="201" t="s">
        <v>970</v>
      </c>
      <c r="V18" s="201" t="s">
        <v>970</v>
      </c>
      <c r="W18" s="201" t="s">
        <v>970</v>
      </c>
      <c r="X18" s="201" t="s">
        <v>970</v>
      </c>
      <c r="Y18" s="201" t="s">
        <v>970</v>
      </c>
      <c r="Z18" s="201" t="s">
        <v>970</v>
      </c>
      <c r="AA18" s="201" t="s">
        <v>970</v>
      </c>
      <c r="AB18" s="201" t="s">
        <v>970</v>
      </c>
      <c r="AC18" s="201" t="s">
        <v>970</v>
      </c>
      <c r="AD18" s="201" t="s">
        <v>970</v>
      </c>
      <c r="AE18" s="201" t="s">
        <v>970</v>
      </c>
      <c r="AF18" s="201" t="s">
        <v>970</v>
      </c>
      <c r="AG18" s="483" t="s">
        <v>971</v>
      </c>
      <c r="AH18" s="484" t="s">
        <v>972</v>
      </c>
      <c r="AI18" s="485" t="s">
        <v>972</v>
      </c>
      <c r="AJ18" s="485" t="s">
        <v>972</v>
      </c>
      <c r="AK18" s="485" t="s">
        <v>972</v>
      </c>
    </row>
    <row r="19" spans="1:38" ht="68.25" thickBot="1" x14ac:dyDescent="0.3">
      <c r="A19" s="486" t="s">
        <v>902</v>
      </c>
      <c r="B19" s="487" t="s">
        <v>73</v>
      </c>
      <c r="C19" s="488" t="s">
        <v>903</v>
      </c>
      <c r="D19" s="489" t="s">
        <v>904</v>
      </c>
      <c r="E19" s="490" t="s">
        <v>909</v>
      </c>
      <c r="F19" s="490" t="s">
        <v>907</v>
      </c>
      <c r="G19" s="490" t="s">
        <v>906</v>
      </c>
      <c r="H19" s="490" t="s">
        <v>908</v>
      </c>
      <c r="I19" s="490" t="s">
        <v>910</v>
      </c>
      <c r="J19" s="490" t="s">
        <v>924</v>
      </c>
      <c r="K19" s="490" t="s">
        <v>905</v>
      </c>
      <c r="L19" s="490" t="s">
        <v>973</v>
      </c>
      <c r="M19" s="490" t="s">
        <v>914</v>
      </c>
      <c r="N19" s="490" t="s">
        <v>974</v>
      </c>
      <c r="O19" s="490" t="s">
        <v>919</v>
      </c>
      <c r="P19" s="490" t="s">
        <v>975</v>
      </c>
      <c r="Q19" s="490" t="s">
        <v>918</v>
      </c>
      <c r="R19" s="490" t="s">
        <v>917</v>
      </c>
      <c r="S19" s="490" t="s">
        <v>911</v>
      </c>
      <c r="T19" s="490" t="s">
        <v>916</v>
      </c>
      <c r="U19" s="490" t="s">
        <v>912</v>
      </c>
      <c r="V19" s="490" t="s">
        <v>913</v>
      </c>
      <c r="W19" s="490" t="s">
        <v>976</v>
      </c>
      <c r="X19" s="490" t="s">
        <v>977</v>
      </c>
      <c r="Y19" s="490" t="s">
        <v>915</v>
      </c>
      <c r="Z19" s="490" t="s">
        <v>978</v>
      </c>
      <c r="AA19" s="490" t="s">
        <v>979</v>
      </c>
      <c r="AB19" s="490" t="s">
        <v>980</v>
      </c>
      <c r="AC19" s="490" t="s">
        <v>981</v>
      </c>
      <c r="AD19" s="490" t="s">
        <v>982</v>
      </c>
      <c r="AE19" s="490" t="s">
        <v>983</v>
      </c>
      <c r="AF19" s="490" t="s">
        <v>984</v>
      </c>
      <c r="AG19" s="491" t="s">
        <v>920</v>
      </c>
      <c r="AH19" s="492" t="s">
        <v>985</v>
      </c>
      <c r="AI19" s="492" t="s">
        <v>923</v>
      </c>
      <c r="AJ19" s="492" t="s">
        <v>922</v>
      </c>
      <c r="AK19" s="492" t="s">
        <v>921</v>
      </c>
    </row>
    <row r="20" spans="1:38" x14ac:dyDescent="0.25">
      <c r="A20" s="493" t="s">
        <v>925</v>
      </c>
      <c r="B20" s="494" t="s">
        <v>986</v>
      </c>
      <c r="C20" s="495">
        <v>0</v>
      </c>
      <c r="D20" s="495">
        <v>0</v>
      </c>
      <c r="E20" s="494">
        <v>0</v>
      </c>
      <c r="F20" s="494">
        <v>0</v>
      </c>
      <c r="G20" s="494">
        <v>36.75</v>
      </c>
      <c r="H20" s="494">
        <v>0</v>
      </c>
      <c r="I20" s="494">
        <v>43.58</v>
      </c>
      <c r="J20" s="494">
        <v>0</v>
      </c>
      <c r="K20" s="494">
        <v>88.5</v>
      </c>
      <c r="L20" s="494">
        <v>174.64999999999998</v>
      </c>
      <c r="M20" s="494">
        <v>116.19</v>
      </c>
      <c r="N20" s="494">
        <v>57.989999999999995</v>
      </c>
      <c r="O20" s="494">
        <v>23.25</v>
      </c>
      <c r="P20" s="494">
        <v>25.84</v>
      </c>
      <c r="Q20" s="494">
        <v>0</v>
      </c>
      <c r="R20" s="494">
        <v>50.75</v>
      </c>
      <c r="S20" s="494">
        <v>0</v>
      </c>
      <c r="T20" s="494">
        <v>21.59</v>
      </c>
      <c r="U20" s="494">
        <v>0</v>
      </c>
      <c r="V20" s="494">
        <v>44.239999999999995</v>
      </c>
      <c r="W20" s="494">
        <v>0</v>
      </c>
      <c r="X20" s="494">
        <v>0</v>
      </c>
      <c r="Y20" s="494">
        <v>0</v>
      </c>
      <c r="Z20" s="494">
        <v>0</v>
      </c>
      <c r="AA20" s="494">
        <v>14.58</v>
      </c>
      <c r="AB20" s="494">
        <v>0</v>
      </c>
      <c r="AC20" s="494">
        <v>0</v>
      </c>
      <c r="AD20" s="494">
        <v>65.510000000000005</v>
      </c>
      <c r="AE20" s="494">
        <v>0</v>
      </c>
      <c r="AF20" s="494">
        <v>0</v>
      </c>
      <c r="AG20" s="494">
        <v>0</v>
      </c>
      <c r="AH20" s="494">
        <v>0</v>
      </c>
      <c r="AI20" s="494">
        <v>0</v>
      </c>
      <c r="AJ20" s="494">
        <v>0</v>
      </c>
      <c r="AK20" s="494">
        <v>0</v>
      </c>
      <c r="AL20">
        <f>SUM(C20:AK20)</f>
        <v>763.42000000000007</v>
      </c>
    </row>
    <row r="21" spans="1:38" x14ac:dyDescent="0.25">
      <c r="A21" s="493"/>
      <c r="B21" s="494" t="s">
        <v>987</v>
      </c>
      <c r="C21" s="494">
        <v>0</v>
      </c>
      <c r="D21" s="494">
        <v>0</v>
      </c>
      <c r="E21" s="494">
        <v>0</v>
      </c>
      <c r="F21" s="494">
        <v>153.69999999999999</v>
      </c>
      <c r="G21" s="494">
        <v>0</v>
      </c>
      <c r="H21" s="494">
        <v>0</v>
      </c>
      <c r="I21" s="494">
        <v>74.850000000000009</v>
      </c>
      <c r="J21" s="494">
        <v>21.450000000000003</v>
      </c>
      <c r="K21" s="494">
        <v>0</v>
      </c>
      <c r="L21" s="494">
        <v>0</v>
      </c>
      <c r="M21" s="494">
        <v>0</v>
      </c>
      <c r="N21" s="494">
        <v>0</v>
      </c>
      <c r="O21" s="494">
        <v>0</v>
      </c>
      <c r="P21" s="494">
        <v>0</v>
      </c>
      <c r="Q21" s="494">
        <v>69.599999999999994</v>
      </c>
      <c r="R21" s="494">
        <v>0</v>
      </c>
      <c r="S21" s="494">
        <v>0</v>
      </c>
      <c r="T21" s="494">
        <v>66.8</v>
      </c>
      <c r="U21" s="494">
        <v>60.3</v>
      </c>
      <c r="V21" s="494">
        <v>0</v>
      </c>
      <c r="W21" s="494">
        <v>0</v>
      </c>
      <c r="X21" s="494">
        <v>78.650000000000006</v>
      </c>
      <c r="Y21" s="494">
        <v>130.45000000000002</v>
      </c>
      <c r="Z21" s="494">
        <v>21</v>
      </c>
      <c r="AA21" s="494">
        <v>0.3</v>
      </c>
      <c r="AB21" s="494">
        <v>0.3</v>
      </c>
      <c r="AC21" s="494">
        <v>310.85000000000002</v>
      </c>
      <c r="AD21" s="494">
        <v>0.3</v>
      </c>
      <c r="AE21" s="494">
        <v>0</v>
      </c>
      <c r="AF21" s="494">
        <v>7</v>
      </c>
      <c r="AG21" s="494">
        <v>14.3</v>
      </c>
      <c r="AH21" s="494">
        <v>7</v>
      </c>
      <c r="AI21" s="494">
        <v>0</v>
      </c>
      <c r="AJ21" s="494">
        <v>73.7</v>
      </c>
      <c r="AK21" s="494">
        <v>0</v>
      </c>
      <c r="AL21">
        <f t="shared" ref="AL21:AL36" si="6">SUM(C21:AK21)</f>
        <v>1090.55</v>
      </c>
    </row>
    <row r="22" spans="1:38" x14ac:dyDescent="0.25">
      <c r="A22" s="496" t="s">
        <v>988</v>
      </c>
      <c r="B22" s="494" t="s">
        <v>989</v>
      </c>
      <c r="C22" s="494">
        <v>0</v>
      </c>
      <c r="D22" s="494">
        <v>0</v>
      </c>
      <c r="E22" s="494">
        <v>0</v>
      </c>
      <c r="F22" s="494">
        <v>10.5</v>
      </c>
      <c r="G22" s="494">
        <v>5</v>
      </c>
      <c r="H22" s="494">
        <v>6</v>
      </c>
      <c r="I22" s="494">
        <v>9</v>
      </c>
      <c r="J22" s="494">
        <v>0</v>
      </c>
      <c r="K22" s="494">
        <v>4.5</v>
      </c>
      <c r="L22" s="494">
        <v>4.5</v>
      </c>
      <c r="M22" s="494">
        <v>9</v>
      </c>
      <c r="N22" s="494">
        <v>8</v>
      </c>
      <c r="O22" s="494">
        <v>3</v>
      </c>
      <c r="P22" s="494">
        <v>3</v>
      </c>
      <c r="Q22" s="494">
        <v>4</v>
      </c>
      <c r="R22" s="494">
        <v>3</v>
      </c>
      <c r="S22" s="494">
        <v>2</v>
      </c>
      <c r="T22" s="494">
        <v>8</v>
      </c>
      <c r="U22" s="494">
        <v>2.5</v>
      </c>
      <c r="V22" s="494">
        <v>2</v>
      </c>
      <c r="W22" s="494">
        <v>1</v>
      </c>
      <c r="X22" s="494">
        <v>9</v>
      </c>
      <c r="Y22" s="494">
        <v>32.5</v>
      </c>
      <c r="Z22" s="494">
        <v>3</v>
      </c>
      <c r="AA22" s="494">
        <v>1</v>
      </c>
      <c r="AB22" s="494">
        <v>2</v>
      </c>
      <c r="AC22" s="494">
        <v>1</v>
      </c>
      <c r="AD22" s="494">
        <v>3</v>
      </c>
      <c r="AE22" s="494">
        <v>3</v>
      </c>
      <c r="AF22" s="494">
        <v>0</v>
      </c>
      <c r="AG22" s="494">
        <v>0</v>
      </c>
      <c r="AH22" s="494">
        <v>0</v>
      </c>
      <c r="AI22" s="494">
        <v>0</v>
      </c>
      <c r="AJ22" s="494">
        <v>13</v>
      </c>
      <c r="AK22" s="494">
        <v>0</v>
      </c>
      <c r="AL22">
        <f t="shared" si="6"/>
        <v>152.5</v>
      </c>
    </row>
    <row r="23" spans="1:38" x14ac:dyDescent="0.25">
      <c r="A23" s="496" t="s">
        <v>988</v>
      </c>
      <c r="B23" s="494" t="s">
        <v>990</v>
      </c>
      <c r="C23" s="494">
        <v>0</v>
      </c>
      <c r="D23" s="494">
        <v>0</v>
      </c>
      <c r="E23" s="494">
        <v>0</v>
      </c>
      <c r="F23" s="494">
        <v>0</v>
      </c>
      <c r="G23" s="494">
        <v>0</v>
      </c>
      <c r="H23" s="494">
        <v>0</v>
      </c>
      <c r="I23" s="494">
        <v>0</v>
      </c>
      <c r="J23" s="494">
        <v>0.5</v>
      </c>
      <c r="K23" s="494">
        <v>0</v>
      </c>
      <c r="L23" s="494">
        <v>0</v>
      </c>
      <c r="M23" s="494">
        <v>0</v>
      </c>
      <c r="N23" s="494">
        <v>0</v>
      </c>
      <c r="O23" s="494">
        <v>0</v>
      </c>
      <c r="P23" s="494">
        <v>0</v>
      </c>
      <c r="Q23" s="494">
        <v>0</v>
      </c>
      <c r="R23" s="494">
        <v>0</v>
      </c>
      <c r="S23" s="494">
        <v>0</v>
      </c>
      <c r="T23" s="494">
        <v>0</v>
      </c>
      <c r="U23" s="494">
        <v>0</v>
      </c>
      <c r="V23" s="494">
        <v>0</v>
      </c>
      <c r="W23" s="494">
        <v>0</v>
      </c>
      <c r="X23" s="494">
        <v>0</v>
      </c>
      <c r="Y23" s="494">
        <v>0</v>
      </c>
      <c r="Z23" s="494">
        <v>0</v>
      </c>
      <c r="AA23" s="494">
        <v>0</v>
      </c>
      <c r="AB23" s="494">
        <v>0</v>
      </c>
      <c r="AC23" s="494">
        <v>0</v>
      </c>
      <c r="AD23" s="494">
        <v>0</v>
      </c>
      <c r="AE23" s="494">
        <v>0</v>
      </c>
      <c r="AF23" s="494">
        <v>0</v>
      </c>
      <c r="AG23" s="494">
        <v>1</v>
      </c>
      <c r="AH23" s="494">
        <v>0</v>
      </c>
      <c r="AI23" s="494">
        <v>3</v>
      </c>
      <c r="AJ23" s="494">
        <v>0</v>
      </c>
      <c r="AK23" s="494">
        <v>5.5</v>
      </c>
      <c r="AL23">
        <f t="shared" si="6"/>
        <v>10</v>
      </c>
    </row>
    <row r="24" spans="1:38" x14ac:dyDescent="0.25">
      <c r="A24" s="493" t="s">
        <v>991</v>
      </c>
      <c r="B24" s="494" t="s">
        <v>992</v>
      </c>
      <c r="C24" s="494">
        <v>0</v>
      </c>
      <c r="D24" s="494">
        <v>0</v>
      </c>
      <c r="E24" s="494">
        <v>0</v>
      </c>
      <c r="F24" s="494">
        <v>0</v>
      </c>
      <c r="G24" s="494">
        <v>0</v>
      </c>
      <c r="H24" s="494">
        <v>0</v>
      </c>
      <c r="I24" s="494">
        <v>0</v>
      </c>
      <c r="J24" s="494">
        <v>5</v>
      </c>
      <c r="K24" s="494">
        <v>0</v>
      </c>
      <c r="L24" s="494">
        <v>0</v>
      </c>
      <c r="M24" s="494">
        <v>0</v>
      </c>
      <c r="N24" s="494">
        <v>0</v>
      </c>
      <c r="O24" s="494">
        <v>0</v>
      </c>
      <c r="P24" s="494">
        <v>0</v>
      </c>
      <c r="Q24" s="494">
        <v>0</v>
      </c>
      <c r="R24" s="494">
        <v>0</v>
      </c>
      <c r="S24" s="494">
        <v>0</v>
      </c>
      <c r="T24" s="494">
        <v>0</v>
      </c>
      <c r="U24" s="494">
        <v>0</v>
      </c>
      <c r="V24" s="494">
        <v>0</v>
      </c>
      <c r="W24" s="494">
        <v>0</v>
      </c>
      <c r="X24" s="494">
        <v>0</v>
      </c>
      <c r="Y24" s="494">
        <v>0</v>
      </c>
      <c r="Z24" s="494">
        <v>0</v>
      </c>
      <c r="AA24" s="494">
        <v>0</v>
      </c>
      <c r="AB24" s="494">
        <v>0</v>
      </c>
      <c r="AC24" s="494">
        <v>0</v>
      </c>
      <c r="AD24" s="494">
        <v>0</v>
      </c>
      <c r="AE24" s="494">
        <v>0</v>
      </c>
      <c r="AF24" s="494">
        <v>0</v>
      </c>
      <c r="AG24" s="494">
        <v>0</v>
      </c>
      <c r="AH24" s="494">
        <v>0</v>
      </c>
      <c r="AI24" s="494">
        <v>11</v>
      </c>
      <c r="AJ24" s="494">
        <v>0</v>
      </c>
      <c r="AK24" s="494">
        <v>0</v>
      </c>
      <c r="AL24">
        <f t="shared" si="6"/>
        <v>16</v>
      </c>
    </row>
    <row r="25" spans="1:38" x14ac:dyDescent="0.25">
      <c r="A25" s="493" t="s">
        <v>991</v>
      </c>
      <c r="B25" s="494" t="s">
        <v>993</v>
      </c>
      <c r="C25" s="494">
        <v>0</v>
      </c>
      <c r="D25" s="494">
        <v>0</v>
      </c>
      <c r="E25" s="494">
        <v>0.5</v>
      </c>
      <c r="F25" s="494">
        <v>3</v>
      </c>
      <c r="G25" s="494">
        <v>1</v>
      </c>
      <c r="H25" s="494">
        <v>4</v>
      </c>
      <c r="I25" s="494">
        <v>4.5</v>
      </c>
      <c r="J25" s="494">
        <v>1</v>
      </c>
      <c r="K25" s="494">
        <v>2</v>
      </c>
      <c r="L25" s="494">
        <v>1.75</v>
      </c>
      <c r="M25" s="494">
        <v>1.25</v>
      </c>
      <c r="N25" s="494">
        <v>1.75</v>
      </c>
      <c r="O25" s="494">
        <v>1</v>
      </c>
      <c r="P25" s="494">
        <v>0.5</v>
      </c>
      <c r="Q25" s="494">
        <v>1</v>
      </c>
      <c r="R25" s="494">
        <v>1</v>
      </c>
      <c r="S25" s="494">
        <v>0.5</v>
      </c>
      <c r="T25" s="494">
        <v>3.5</v>
      </c>
      <c r="U25" s="494">
        <v>0.75</v>
      </c>
      <c r="V25" s="494">
        <v>0.5</v>
      </c>
      <c r="W25" s="494">
        <v>0.25</v>
      </c>
      <c r="X25" s="494">
        <v>2.5</v>
      </c>
      <c r="Y25" s="494">
        <v>6.5</v>
      </c>
      <c r="Z25" s="494">
        <v>0.25</v>
      </c>
      <c r="AA25" s="494">
        <v>1.25</v>
      </c>
      <c r="AB25" s="494">
        <v>1.25</v>
      </c>
      <c r="AC25" s="494">
        <v>0.25</v>
      </c>
      <c r="AD25" s="494">
        <v>2</v>
      </c>
      <c r="AE25" s="494">
        <v>2.75</v>
      </c>
      <c r="AF25" s="494">
        <v>0</v>
      </c>
      <c r="AG25" s="494">
        <v>2</v>
      </c>
      <c r="AH25" s="494">
        <v>0</v>
      </c>
      <c r="AI25" s="494">
        <v>2</v>
      </c>
      <c r="AJ25" s="494">
        <v>3.5</v>
      </c>
      <c r="AK25" s="494">
        <v>55</v>
      </c>
      <c r="AL25">
        <f t="shared" si="6"/>
        <v>109</v>
      </c>
    </row>
    <row r="26" spans="1:38" x14ac:dyDescent="0.25">
      <c r="A26" s="497"/>
      <c r="B26" s="498"/>
      <c r="C26" s="499"/>
      <c r="D26" s="498"/>
      <c r="E26" s="498"/>
      <c r="F26" s="498"/>
      <c r="G26" s="498"/>
      <c r="H26" s="498"/>
      <c r="I26" s="498"/>
      <c r="J26" s="498"/>
      <c r="K26" s="498"/>
      <c r="L26" s="498"/>
      <c r="M26" s="498"/>
      <c r="N26" s="498"/>
      <c r="O26" s="498"/>
      <c r="P26" s="498"/>
      <c r="Q26" s="498"/>
      <c r="R26" s="498"/>
      <c r="S26" s="498"/>
      <c r="T26" s="498"/>
      <c r="U26" s="498"/>
      <c r="V26" s="498"/>
      <c r="W26" s="498"/>
      <c r="X26" s="498"/>
      <c r="Y26" s="498"/>
      <c r="Z26" s="498"/>
      <c r="AA26" s="498"/>
      <c r="AB26" s="498"/>
      <c r="AC26" s="498"/>
      <c r="AD26" s="498"/>
      <c r="AE26" s="498"/>
      <c r="AF26" s="498"/>
      <c r="AG26" s="498"/>
      <c r="AH26" s="498"/>
      <c r="AI26" s="498"/>
      <c r="AJ26" s="498"/>
      <c r="AK26" s="498"/>
    </row>
    <row r="27" spans="1:38" x14ac:dyDescent="0.25">
      <c r="A27" s="500" t="s">
        <v>994</v>
      </c>
      <c r="B27" s="501"/>
      <c r="C27" s="502"/>
      <c r="D27" s="503"/>
      <c r="E27" s="503"/>
      <c r="F27" s="498"/>
      <c r="G27" s="498"/>
      <c r="H27" s="498"/>
      <c r="I27" s="498"/>
      <c r="J27" s="498"/>
      <c r="K27" s="498"/>
      <c r="L27" s="498"/>
      <c r="M27" s="498"/>
      <c r="N27" s="498"/>
      <c r="O27" s="498"/>
      <c r="P27" s="498"/>
      <c r="Q27" s="498"/>
      <c r="R27" s="498"/>
      <c r="S27" s="498"/>
      <c r="T27" s="498"/>
      <c r="U27" s="498"/>
      <c r="V27" s="498"/>
      <c r="W27" s="498"/>
      <c r="X27" s="498"/>
      <c r="Y27" s="498"/>
      <c r="Z27" s="498"/>
      <c r="AA27" s="498"/>
      <c r="AB27" s="498"/>
      <c r="AC27" s="498"/>
      <c r="AD27" s="498"/>
      <c r="AE27" s="498"/>
      <c r="AF27" s="498"/>
      <c r="AG27" s="498"/>
      <c r="AH27" s="498"/>
      <c r="AI27" s="498"/>
      <c r="AJ27" s="498"/>
      <c r="AK27" s="498"/>
    </row>
    <row r="28" spans="1:38" x14ac:dyDescent="0.25">
      <c r="A28" s="493" t="s">
        <v>926</v>
      </c>
      <c r="B28" s="504" t="s">
        <v>995</v>
      </c>
      <c r="C28" s="494">
        <v>102</v>
      </c>
      <c r="D28" s="494">
        <v>21</v>
      </c>
      <c r="E28" s="504">
        <v>0</v>
      </c>
      <c r="F28" s="504">
        <v>0</v>
      </c>
      <c r="G28" s="504">
        <v>0</v>
      </c>
      <c r="H28" s="504">
        <v>0</v>
      </c>
      <c r="I28" s="504">
        <v>0</v>
      </c>
      <c r="J28" s="504">
        <v>0</v>
      </c>
      <c r="K28" s="504">
        <v>0</v>
      </c>
      <c r="L28" s="504">
        <v>0</v>
      </c>
      <c r="M28" s="504">
        <v>0</v>
      </c>
      <c r="N28" s="504">
        <v>0</v>
      </c>
      <c r="O28" s="504">
        <v>0</v>
      </c>
      <c r="P28" s="504">
        <v>0</v>
      </c>
      <c r="Q28" s="504">
        <v>0</v>
      </c>
      <c r="R28" s="504">
        <v>0</v>
      </c>
      <c r="S28" s="504">
        <v>0</v>
      </c>
      <c r="T28" s="504">
        <v>0</v>
      </c>
      <c r="U28" s="504">
        <v>0</v>
      </c>
      <c r="V28" s="504">
        <v>0</v>
      </c>
      <c r="W28" s="504">
        <v>0</v>
      </c>
      <c r="X28" s="504">
        <v>0</v>
      </c>
      <c r="Y28" s="504">
        <v>0</v>
      </c>
      <c r="Z28" s="504">
        <v>0</v>
      </c>
      <c r="AA28" s="504">
        <v>0</v>
      </c>
      <c r="AB28" s="504">
        <v>0</v>
      </c>
      <c r="AC28" s="504">
        <v>0</v>
      </c>
      <c r="AD28" s="504">
        <v>0</v>
      </c>
      <c r="AE28" s="504">
        <v>0</v>
      </c>
      <c r="AF28" s="504">
        <v>0</v>
      </c>
      <c r="AG28" s="504">
        <v>0</v>
      </c>
      <c r="AH28" s="504">
        <v>0</v>
      </c>
      <c r="AI28" s="504">
        <v>0</v>
      </c>
      <c r="AJ28" s="504">
        <v>0</v>
      </c>
      <c r="AK28" s="504">
        <v>0</v>
      </c>
      <c r="AL28">
        <f t="shared" si="6"/>
        <v>123</v>
      </c>
    </row>
    <row r="29" spans="1:38" x14ac:dyDescent="0.25">
      <c r="A29" s="493" t="s">
        <v>947</v>
      </c>
      <c r="B29" s="504" t="s">
        <v>996</v>
      </c>
      <c r="C29" s="494">
        <v>117.75</v>
      </c>
      <c r="D29" s="494">
        <v>44</v>
      </c>
      <c r="E29" s="504">
        <v>0</v>
      </c>
      <c r="F29" s="504">
        <v>0</v>
      </c>
      <c r="G29" s="504">
        <v>0</v>
      </c>
      <c r="H29" s="504">
        <v>0</v>
      </c>
      <c r="I29" s="504">
        <v>0</v>
      </c>
      <c r="J29" s="504">
        <v>0</v>
      </c>
      <c r="K29" s="504">
        <v>0</v>
      </c>
      <c r="L29" s="504">
        <v>0</v>
      </c>
      <c r="M29" s="504">
        <v>0</v>
      </c>
      <c r="N29" s="504">
        <v>0</v>
      </c>
      <c r="O29" s="504">
        <v>0</v>
      </c>
      <c r="P29" s="504">
        <v>0</v>
      </c>
      <c r="Q29" s="504">
        <v>0</v>
      </c>
      <c r="R29" s="504">
        <v>0</v>
      </c>
      <c r="S29" s="504">
        <v>0</v>
      </c>
      <c r="T29" s="504">
        <v>0</v>
      </c>
      <c r="U29" s="504">
        <v>0</v>
      </c>
      <c r="V29" s="504">
        <v>0</v>
      </c>
      <c r="W29" s="504">
        <v>0</v>
      </c>
      <c r="X29" s="504">
        <v>0</v>
      </c>
      <c r="Y29" s="504">
        <v>0</v>
      </c>
      <c r="Z29" s="504">
        <v>0</v>
      </c>
      <c r="AA29" s="504">
        <v>0</v>
      </c>
      <c r="AB29" s="504">
        <v>0</v>
      </c>
      <c r="AC29" s="504">
        <v>0</v>
      </c>
      <c r="AD29" s="504">
        <v>0</v>
      </c>
      <c r="AE29" s="504">
        <v>0</v>
      </c>
      <c r="AF29" s="504">
        <v>0</v>
      </c>
      <c r="AG29" s="504">
        <v>0</v>
      </c>
      <c r="AH29" s="504">
        <v>0</v>
      </c>
      <c r="AI29" s="504">
        <v>0</v>
      </c>
      <c r="AJ29" s="504">
        <v>0</v>
      </c>
      <c r="AK29" s="504">
        <v>0</v>
      </c>
      <c r="AL29">
        <f t="shared" si="6"/>
        <v>161.75</v>
      </c>
    </row>
    <row r="30" spans="1:38" x14ac:dyDescent="0.25">
      <c r="A30" s="493" t="s">
        <v>926</v>
      </c>
      <c r="B30" s="504" t="s">
        <v>997</v>
      </c>
      <c r="C30" s="494">
        <v>80</v>
      </c>
      <c r="D30" s="494">
        <v>126</v>
      </c>
      <c r="E30" s="504">
        <v>0</v>
      </c>
      <c r="F30" s="504">
        <v>0</v>
      </c>
      <c r="G30" s="504">
        <v>0</v>
      </c>
      <c r="H30" s="504">
        <v>0</v>
      </c>
      <c r="I30" s="504">
        <v>0</v>
      </c>
      <c r="J30" s="504">
        <v>0</v>
      </c>
      <c r="K30" s="504">
        <v>0</v>
      </c>
      <c r="L30" s="504">
        <v>0</v>
      </c>
      <c r="M30" s="504">
        <v>0</v>
      </c>
      <c r="N30" s="504">
        <v>0</v>
      </c>
      <c r="O30" s="504">
        <v>0</v>
      </c>
      <c r="P30" s="504">
        <v>0</v>
      </c>
      <c r="Q30" s="504">
        <v>0</v>
      </c>
      <c r="R30" s="504">
        <v>0</v>
      </c>
      <c r="S30" s="504">
        <v>0</v>
      </c>
      <c r="T30" s="504">
        <v>0</v>
      </c>
      <c r="U30" s="504">
        <v>0</v>
      </c>
      <c r="V30" s="504">
        <v>0</v>
      </c>
      <c r="W30" s="504">
        <v>0</v>
      </c>
      <c r="X30" s="504">
        <v>0</v>
      </c>
      <c r="Y30" s="504">
        <v>0</v>
      </c>
      <c r="Z30" s="504">
        <v>0</v>
      </c>
      <c r="AA30" s="504">
        <v>0</v>
      </c>
      <c r="AB30" s="504">
        <v>0</v>
      </c>
      <c r="AC30" s="504">
        <v>0</v>
      </c>
      <c r="AD30" s="504">
        <v>0</v>
      </c>
      <c r="AE30" s="504">
        <v>0</v>
      </c>
      <c r="AF30" s="504">
        <v>0</v>
      </c>
      <c r="AG30" s="504">
        <v>0</v>
      </c>
      <c r="AH30" s="504">
        <v>0</v>
      </c>
      <c r="AI30" s="504">
        <v>0</v>
      </c>
      <c r="AJ30" s="504">
        <v>0</v>
      </c>
      <c r="AK30" s="504">
        <v>0</v>
      </c>
      <c r="AL30">
        <f t="shared" si="6"/>
        <v>206</v>
      </c>
    </row>
    <row r="31" spans="1:38" x14ac:dyDescent="0.25">
      <c r="A31" s="493" t="s">
        <v>926</v>
      </c>
      <c r="B31" s="524" t="s">
        <v>1020</v>
      </c>
      <c r="C31" s="528">
        <v>193.25</v>
      </c>
      <c r="D31" s="494">
        <v>0</v>
      </c>
      <c r="E31" s="504">
        <v>0</v>
      </c>
      <c r="F31" s="504">
        <v>0</v>
      </c>
      <c r="G31" s="504">
        <v>0</v>
      </c>
      <c r="H31" s="504">
        <v>0</v>
      </c>
      <c r="I31" s="504">
        <v>0</v>
      </c>
      <c r="J31" s="504">
        <v>0</v>
      </c>
      <c r="K31" s="504">
        <v>0</v>
      </c>
      <c r="L31" s="504">
        <v>0</v>
      </c>
      <c r="M31" s="504">
        <v>0</v>
      </c>
      <c r="N31" s="504">
        <v>0</v>
      </c>
      <c r="O31" s="504">
        <v>0</v>
      </c>
      <c r="P31" s="504">
        <v>0</v>
      </c>
      <c r="Q31" s="504">
        <v>0</v>
      </c>
      <c r="R31" s="504">
        <v>0</v>
      </c>
      <c r="S31" s="504">
        <v>0</v>
      </c>
      <c r="T31" s="504">
        <v>0</v>
      </c>
      <c r="U31" s="504">
        <v>0</v>
      </c>
      <c r="V31" s="504">
        <v>0</v>
      </c>
      <c r="W31" s="504">
        <v>0</v>
      </c>
      <c r="X31" s="504">
        <v>0</v>
      </c>
      <c r="Y31" s="504">
        <v>0</v>
      </c>
      <c r="Z31" s="504">
        <v>0</v>
      </c>
      <c r="AA31" s="504">
        <v>0</v>
      </c>
      <c r="AB31" s="504">
        <v>0</v>
      </c>
      <c r="AC31" s="504">
        <v>0</v>
      </c>
      <c r="AD31" s="504">
        <v>0</v>
      </c>
      <c r="AE31" s="504">
        <v>0</v>
      </c>
      <c r="AF31" s="504">
        <v>0</v>
      </c>
      <c r="AG31" s="504">
        <v>0</v>
      </c>
      <c r="AH31" s="504">
        <v>0</v>
      </c>
      <c r="AI31" s="504">
        <v>0</v>
      </c>
      <c r="AJ31" s="504">
        <v>0</v>
      </c>
      <c r="AK31" s="504">
        <v>0</v>
      </c>
      <c r="AL31">
        <f t="shared" si="6"/>
        <v>193.25</v>
      </c>
    </row>
    <row r="32" spans="1:38" x14ac:dyDescent="0.25">
      <c r="A32" s="493" t="s">
        <v>926</v>
      </c>
      <c r="B32" s="524" t="s">
        <v>1021</v>
      </c>
      <c r="C32" s="494">
        <v>168</v>
      </c>
      <c r="D32" s="494">
        <v>0</v>
      </c>
      <c r="E32" s="504">
        <v>0</v>
      </c>
      <c r="F32" s="504">
        <v>0</v>
      </c>
      <c r="G32" s="504">
        <v>0</v>
      </c>
      <c r="H32" s="504">
        <v>0</v>
      </c>
      <c r="I32" s="504">
        <v>0</v>
      </c>
      <c r="J32" s="504">
        <v>0</v>
      </c>
      <c r="K32" s="504">
        <v>0</v>
      </c>
      <c r="L32" s="504">
        <v>0</v>
      </c>
      <c r="M32" s="504">
        <v>0</v>
      </c>
      <c r="N32" s="504">
        <v>0</v>
      </c>
      <c r="O32" s="504">
        <v>0</v>
      </c>
      <c r="P32" s="504">
        <v>0</v>
      </c>
      <c r="Q32" s="504">
        <v>0</v>
      </c>
      <c r="R32" s="504">
        <v>0</v>
      </c>
      <c r="S32" s="504">
        <v>0</v>
      </c>
      <c r="T32" s="504">
        <v>0</v>
      </c>
      <c r="U32" s="504">
        <v>0</v>
      </c>
      <c r="V32" s="504">
        <v>0</v>
      </c>
      <c r="W32" s="504">
        <v>0</v>
      </c>
      <c r="X32" s="504">
        <v>0</v>
      </c>
      <c r="Y32" s="504">
        <v>0</v>
      </c>
      <c r="Z32" s="504">
        <v>0</v>
      </c>
      <c r="AA32" s="504">
        <v>0</v>
      </c>
      <c r="AB32" s="504">
        <v>0</v>
      </c>
      <c r="AC32" s="504">
        <v>0</v>
      </c>
      <c r="AD32" s="504">
        <v>0</v>
      </c>
      <c r="AE32" s="504">
        <v>0</v>
      </c>
      <c r="AF32" s="504">
        <v>0</v>
      </c>
      <c r="AG32" s="504">
        <v>0</v>
      </c>
      <c r="AH32" s="504">
        <v>0</v>
      </c>
      <c r="AI32" s="504">
        <v>0</v>
      </c>
      <c r="AJ32" s="504">
        <v>0</v>
      </c>
      <c r="AK32" s="504">
        <v>0</v>
      </c>
      <c r="AL32">
        <f t="shared" si="6"/>
        <v>168</v>
      </c>
    </row>
    <row r="33" spans="1:38" x14ac:dyDescent="0.25">
      <c r="A33" s="493" t="s">
        <v>926</v>
      </c>
      <c r="B33" s="524" t="s">
        <v>1022</v>
      </c>
      <c r="C33" s="494">
        <v>168</v>
      </c>
      <c r="D33" s="494">
        <v>0</v>
      </c>
      <c r="E33" s="504">
        <v>0</v>
      </c>
      <c r="F33" s="504">
        <v>0</v>
      </c>
      <c r="G33" s="504">
        <v>0</v>
      </c>
      <c r="H33" s="504">
        <v>0</v>
      </c>
      <c r="I33" s="504">
        <v>0</v>
      </c>
      <c r="J33" s="504">
        <v>0</v>
      </c>
      <c r="K33" s="504">
        <v>0</v>
      </c>
      <c r="L33" s="504">
        <v>0</v>
      </c>
      <c r="M33" s="504">
        <v>0</v>
      </c>
      <c r="N33" s="504">
        <v>0</v>
      </c>
      <c r="O33" s="504">
        <v>0</v>
      </c>
      <c r="P33" s="504">
        <v>0</v>
      </c>
      <c r="Q33" s="504">
        <v>0</v>
      </c>
      <c r="R33" s="504">
        <v>0</v>
      </c>
      <c r="S33" s="504">
        <v>0</v>
      </c>
      <c r="T33" s="504">
        <v>0</v>
      </c>
      <c r="U33" s="504">
        <v>0</v>
      </c>
      <c r="V33" s="504">
        <v>0</v>
      </c>
      <c r="W33" s="504">
        <v>0</v>
      </c>
      <c r="X33" s="504">
        <v>0</v>
      </c>
      <c r="Y33" s="504">
        <v>0</v>
      </c>
      <c r="Z33" s="504">
        <v>0</v>
      </c>
      <c r="AA33" s="504">
        <v>0</v>
      </c>
      <c r="AB33" s="504">
        <v>0</v>
      </c>
      <c r="AC33" s="504">
        <v>0</v>
      </c>
      <c r="AD33" s="504">
        <v>0</v>
      </c>
      <c r="AE33" s="504">
        <v>0</v>
      </c>
      <c r="AF33" s="504">
        <v>0</v>
      </c>
      <c r="AG33" s="504">
        <v>0</v>
      </c>
      <c r="AH33" s="504">
        <v>0</v>
      </c>
      <c r="AI33" s="504">
        <v>0</v>
      </c>
      <c r="AJ33" s="504">
        <v>0</v>
      </c>
      <c r="AK33" s="504">
        <v>0</v>
      </c>
      <c r="AL33">
        <f t="shared" si="6"/>
        <v>168</v>
      </c>
    </row>
    <row r="34" spans="1:38" x14ac:dyDescent="0.25">
      <c r="A34" s="500"/>
      <c r="B34" s="504" t="s">
        <v>998</v>
      </c>
      <c r="C34" s="504">
        <f>SUM(C28:C33)</f>
        <v>829</v>
      </c>
      <c r="D34" s="504">
        <f>SUM(D28:D33)</f>
        <v>191</v>
      </c>
      <c r="E34" s="504">
        <v>0.5</v>
      </c>
      <c r="F34" s="504">
        <v>167.2</v>
      </c>
      <c r="G34" s="504">
        <v>42.75</v>
      </c>
      <c r="H34" s="504">
        <v>10</v>
      </c>
      <c r="I34" s="504">
        <v>131.93</v>
      </c>
      <c r="J34" s="504">
        <v>27.950000000000003</v>
      </c>
      <c r="K34" s="504">
        <v>95</v>
      </c>
      <c r="L34" s="504">
        <v>180.89999999999998</v>
      </c>
      <c r="M34" s="504">
        <v>126.44</v>
      </c>
      <c r="N34" s="504">
        <v>67.739999999999995</v>
      </c>
      <c r="O34" s="504">
        <v>27.25</v>
      </c>
      <c r="P34" s="504">
        <v>29.34</v>
      </c>
      <c r="Q34" s="504">
        <v>74.599999999999994</v>
      </c>
      <c r="R34" s="504">
        <v>54.75</v>
      </c>
      <c r="S34" s="504">
        <v>2.5</v>
      </c>
      <c r="T34" s="504">
        <v>99.89</v>
      </c>
      <c r="U34" s="504">
        <v>63.55</v>
      </c>
      <c r="V34" s="504">
        <v>46.739999999999995</v>
      </c>
      <c r="W34" s="504">
        <v>1.25</v>
      </c>
      <c r="X34" s="504">
        <v>90.15</v>
      </c>
      <c r="Y34" s="504">
        <v>169.45000000000002</v>
      </c>
      <c r="Z34" s="504">
        <v>24.25</v>
      </c>
      <c r="AA34" s="504">
        <v>17.130000000000003</v>
      </c>
      <c r="AB34" s="504">
        <v>3.55</v>
      </c>
      <c r="AC34" s="504">
        <v>312.10000000000002</v>
      </c>
      <c r="AD34" s="504">
        <v>70.81</v>
      </c>
      <c r="AE34" s="504">
        <v>5.75</v>
      </c>
      <c r="AF34" s="504">
        <v>7</v>
      </c>
      <c r="AG34" s="504">
        <v>17.3</v>
      </c>
      <c r="AH34" s="504">
        <v>7</v>
      </c>
      <c r="AI34" s="504">
        <v>16</v>
      </c>
      <c r="AJ34" s="504">
        <v>90.2</v>
      </c>
      <c r="AK34" s="504">
        <v>60.5</v>
      </c>
      <c r="AL34">
        <f t="shared" si="6"/>
        <v>3161.47</v>
      </c>
    </row>
    <row r="35" spans="1:38" x14ac:dyDescent="0.25">
      <c r="A35" s="503"/>
      <c r="B35" s="504" t="s">
        <v>999</v>
      </c>
      <c r="C35" s="505" t="s">
        <v>663</v>
      </c>
      <c r="D35" s="505" t="s">
        <v>663</v>
      </c>
      <c r="E35" s="505" t="s">
        <v>663</v>
      </c>
      <c r="F35" s="505" t="s">
        <v>663</v>
      </c>
      <c r="G35" s="505" t="s">
        <v>663</v>
      </c>
      <c r="H35" s="505" t="s">
        <v>663</v>
      </c>
      <c r="I35" s="505" t="s">
        <v>663</v>
      </c>
      <c r="J35" s="505" t="s">
        <v>663</v>
      </c>
      <c r="K35" s="505" t="s">
        <v>663</v>
      </c>
      <c r="L35" s="505" t="s">
        <v>663</v>
      </c>
      <c r="M35" s="505" t="s">
        <v>663</v>
      </c>
      <c r="N35" s="505" t="s">
        <v>663</v>
      </c>
      <c r="O35" s="505" t="s">
        <v>663</v>
      </c>
      <c r="P35" s="505" t="s">
        <v>663</v>
      </c>
      <c r="Q35" s="505" t="s">
        <v>663</v>
      </c>
      <c r="R35" s="505" t="s">
        <v>663</v>
      </c>
      <c r="S35" s="505" t="s">
        <v>663</v>
      </c>
      <c r="T35" s="505" t="s">
        <v>663</v>
      </c>
      <c r="U35" s="505" t="s">
        <v>663</v>
      </c>
      <c r="V35" s="505" t="s">
        <v>663</v>
      </c>
      <c r="W35" s="505" t="s">
        <v>663</v>
      </c>
      <c r="X35" s="505" t="s">
        <v>663</v>
      </c>
      <c r="Y35" s="505" t="s">
        <v>663</v>
      </c>
      <c r="Z35" s="505" t="s">
        <v>663</v>
      </c>
      <c r="AA35" s="505" t="s">
        <v>663</v>
      </c>
      <c r="AB35" s="505" t="s">
        <v>663</v>
      </c>
      <c r="AC35" s="505" t="s">
        <v>663</v>
      </c>
      <c r="AD35" s="505" t="s">
        <v>663</v>
      </c>
      <c r="AE35" s="505" t="s">
        <v>663</v>
      </c>
      <c r="AF35" s="505" t="s">
        <v>663</v>
      </c>
      <c r="AG35" s="505" t="s">
        <v>663</v>
      </c>
      <c r="AH35" s="505" t="s">
        <v>663</v>
      </c>
      <c r="AI35" s="505" t="s">
        <v>663</v>
      </c>
      <c r="AJ35" s="505" t="s">
        <v>663</v>
      </c>
      <c r="AK35" s="505" t="s">
        <v>663</v>
      </c>
      <c r="AL35">
        <f t="shared" si="6"/>
        <v>0</v>
      </c>
    </row>
    <row r="36" spans="1:38" x14ac:dyDescent="0.25">
      <c r="A36" s="506" t="s">
        <v>1000</v>
      </c>
      <c r="B36" s="504" t="s">
        <v>1001</v>
      </c>
      <c r="C36" s="505"/>
      <c r="D36" s="505"/>
      <c r="E36" s="505"/>
      <c r="F36" s="494"/>
      <c r="G36" s="494"/>
      <c r="H36" s="494"/>
      <c r="I36" s="494"/>
      <c r="J36" s="494" t="s">
        <v>570</v>
      </c>
      <c r="K36" s="494"/>
      <c r="L36" s="494" t="s">
        <v>570</v>
      </c>
      <c r="M36" s="494" t="s">
        <v>570</v>
      </c>
      <c r="N36" s="494" t="s">
        <v>570</v>
      </c>
      <c r="O36" s="494" t="s">
        <v>570</v>
      </c>
      <c r="P36" s="494" t="s">
        <v>570</v>
      </c>
      <c r="Q36" s="494" t="s">
        <v>570</v>
      </c>
      <c r="R36" s="494" t="s">
        <v>570</v>
      </c>
      <c r="S36" s="494"/>
      <c r="T36" s="494" t="s">
        <v>570</v>
      </c>
      <c r="U36" s="494" t="s">
        <v>570</v>
      </c>
      <c r="V36" s="494"/>
      <c r="W36" s="494"/>
      <c r="X36" s="507" t="s">
        <v>570</v>
      </c>
      <c r="Y36" s="494"/>
      <c r="Z36" s="494" t="s">
        <v>570</v>
      </c>
      <c r="AA36" s="494" t="s">
        <v>570</v>
      </c>
      <c r="AB36" s="494"/>
      <c r="AC36" s="494" t="s">
        <v>570</v>
      </c>
      <c r="AD36" s="494" t="s">
        <v>570</v>
      </c>
      <c r="AE36" s="494" t="s">
        <v>570</v>
      </c>
      <c r="AF36" s="494" t="s">
        <v>570</v>
      </c>
      <c r="AG36" s="494"/>
      <c r="AH36" s="494"/>
      <c r="AI36" s="494" t="s">
        <v>570</v>
      </c>
      <c r="AJ36" s="494" t="s">
        <v>570</v>
      </c>
      <c r="AK36" s="507"/>
      <c r="AL36">
        <f t="shared" si="6"/>
        <v>0</v>
      </c>
    </row>
    <row r="37" spans="1:38" x14ac:dyDescent="0.25">
      <c r="A37" s="508" t="s">
        <v>1002</v>
      </c>
      <c r="B37" s="503"/>
      <c r="C37" s="509"/>
      <c r="D37" s="509"/>
      <c r="E37" s="509"/>
      <c r="F37" s="510"/>
      <c r="G37" s="510"/>
      <c r="H37" s="510"/>
      <c r="I37" s="510"/>
      <c r="J37" s="498"/>
      <c r="K37" s="498"/>
      <c r="L37" s="498"/>
      <c r="M37" s="498"/>
      <c r="N37" s="498"/>
      <c r="O37" s="498"/>
      <c r="P37" s="498"/>
      <c r="Q37" s="498"/>
      <c r="R37" s="498"/>
      <c r="S37" s="498"/>
      <c r="T37" s="498"/>
      <c r="U37" s="498"/>
      <c r="V37" s="498"/>
      <c r="W37" s="498"/>
      <c r="X37" s="498"/>
      <c r="Y37" s="498"/>
      <c r="Z37" s="498"/>
      <c r="AA37" s="498"/>
      <c r="AB37" s="498"/>
      <c r="AC37" s="498"/>
      <c r="AD37" s="498"/>
      <c r="AE37" s="498"/>
      <c r="AF37" s="498"/>
      <c r="AH37" s="498"/>
    </row>
    <row r="38" spans="1:38" x14ac:dyDescent="0.25">
      <c r="A38" s="511" t="s">
        <v>1003</v>
      </c>
      <c r="B38" s="498"/>
      <c r="C38" s="509"/>
      <c r="D38" s="509"/>
      <c r="E38" s="509"/>
      <c r="F38" s="498"/>
      <c r="G38" s="498"/>
      <c r="H38" s="498"/>
      <c r="I38" s="498"/>
      <c r="J38" s="498"/>
      <c r="K38" s="498"/>
      <c r="L38" s="498"/>
      <c r="M38" s="498"/>
      <c r="N38" s="498"/>
      <c r="O38" s="498"/>
      <c r="P38" s="498"/>
      <c r="Q38" s="498"/>
      <c r="R38" s="498"/>
      <c r="S38" s="498"/>
      <c r="T38" s="498"/>
      <c r="U38" s="498"/>
      <c r="V38" s="498"/>
      <c r="W38" s="498"/>
      <c r="X38" s="498"/>
      <c r="Y38" s="498"/>
      <c r="Z38" s="498"/>
      <c r="AA38" s="498"/>
      <c r="AB38" s="498"/>
      <c r="AC38" s="498"/>
      <c r="AD38" s="498"/>
      <c r="AE38" s="498"/>
      <c r="AF38" s="498"/>
      <c r="AH38" s="498"/>
    </row>
    <row r="39" spans="1:38" x14ac:dyDescent="0.25">
      <c r="A39" s="512" t="s">
        <v>1004</v>
      </c>
      <c r="B39" s="498"/>
      <c r="C39" s="509"/>
      <c r="D39" s="509"/>
      <c r="E39" s="509"/>
      <c r="F39" s="498"/>
      <c r="G39" s="498"/>
      <c r="H39" s="498"/>
      <c r="I39" s="498"/>
      <c r="J39" s="498"/>
      <c r="K39" s="498"/>
      <c r="L39" s="498"/>
      <c r="M39" s="498"/>
      <c r="N39" s="498"/>
      <c r="O39" s="498"/>
      <c r="P39" s="498"/>
      <c r="Q39" s="498"/>
      <c r="R39" s="498"/>
      <c r="S39" s="498"/>
      <c r="T39" s="498"/>
      <c r="U39" s="498"/>
      <c r="V39" s="498"/>
      <c r="W39" s="498"/>
      <c r="X39" s="498"/>
      <c r="Y39" s="498"/>
      <c r="Z39" s="498"/>
      <c r="AA39" s="498"/>
      <c r="AB39" s="498"/>
      <c r="AC39" s="498"/>
      <c r="AD39" s="498"/>
      <c r="AE39" s="498"/>
      <c r="AF39" s="498"/>
      <c r="AH39" s="498"/>
    </row>
    <row r="40" spans="1:38" x14ac:dyDescent="0.25">
      <c r="A40" s="509"/>
      <c r="B40" s="509"/>
      <c r="C40" s="509"/>
      <c r="D40" s="509"/>
      <c r="E40" s="509"/>
      <c r="F40" s="509"/>
      <c r="G40" s="509"/>
      <c r="H40" s="509"/>
      <c r="I40" s="509"/>
      <c r="J40" s="509"/>
      <c r="K40" s="509"/>
      <c r="L40" s="509"/>
      <c r="M40" s="509"/>
      <c r="N40" s="509"/>
      <c r="O40" s="509"/>
      <c r="P40" s="509"/>
      <c r="Q40" s="509"/>
      <c r="R40" s="509"/>
      <c r="S40" s="509"/>
      <c r="T40" s="509"/>
      <c r="U40" s="509"/>
      <c r="V40" s="509"/>
      <c r="W40" s="509"/>
      <c r="X40" s="509"/>
      <c r="Y40" s="509"/>
      <c r="Z40" s="509"/>
      <c r="AA40" s="509"/>
      <c r="AB40" s="509"/>
      <c r="AC40" s="509"/>
      <c r="AD40" s="509"/>
      <c r="AE40" s="509"/>
      <c r="AF40" s="509"/>
      <c r="AH40" s="509"/>
    </row>
    <row r="41" spans="1:38" x14ac:dyDescent="0.25">
      <c r="A41" s="509"/>
      <c r="B41" s="509"/>
      <c r="C41" s="509"/>
      <c r="D41" s="509"/>
      <c r="E41" s="509"/>
      <c r="F41" s="509"/>
      <c r="G41" s="509"/>
      <c r="H41" s="509"/>
      <c r="I41" s="509"/>
      <c r="J41" s="509"/>
      <c r="K41" s="509"/>
      <c r="L41" s="509"/>
      <c r="M41" s="509"/>
      <c r="N41" s="509"/>
      <c r="O41" s="509"/>
      <c r="P41" s="509"/>
      <c r="Q41" s="509"/>
      <c r="R41" s="509"/>
      <c r="S41" s="509"/>
      <c r="T41" s="509"/>
      <c r="U41" s="509"/>
      <c r="V41" s="509"/>
      <c r="W41" s="509"/>
      <c r="X41" s="509"/>
      <c r="Y41" s="509"/>
      <c r="Z41" s="509"/>
      <c r="AA41" s="509"/>
      <c r="AB41" s="509"/>
      <c r="AC41" s="509"/>
      <c r="AD41" s="509"/>
      <c r="AE41" s="509"/>
      <c r="AF41" s="509"/>
      <c r="AH41" s="509"/>
    </row>
    <row r="43" spans="1:38" x14ac:dyDescent="0.25">
      <c r="B43" s="513" t="s">
        <v>1005</v>
      </c>
      <c r="C43" s="513"/>
      <c r="D43" s="468"/>
      <c r="E43" s="513" t="s">
        <v>1006</v>
      </c>
      <c r="F43" s="118"/>
    </row>
    <row r="44" spans="1:38" x14ac:dyDescent="0.25">
      <c r="B44" s="201" t="s">
        <v>903</v>
      </c>
      <c r="C44" s="201" t="s">
        <v>968</v>
      </c>
      <c r="D44" s="468"/>
      <c r="E44" s="201" t="s">
        <v>903</v>
      </c>
      <c r="F44" s="118" t="s">
        <v>968</v>
      </c>
    </row>
    <row r="45" spans="1:38" x14ac:dyDescent="0.25">
      <c r="B45" s="201" t="s">
        <v>904</v>
      </c>
      <c r="C45" s="201" t="s">
        <v>969</v>
      </c>
      <c r="D45" s="468"/>
      <c r="E45" s="201" t="s">
        <v>904</v>
      </c>
      <c r="F45" s="118" t="s">
        <v>969</v>
      </c>
    </row>
    <row r="46" spans="1:38" x14ac:dyDescent="0.25">
      <c r="B46" s="201" t="s">
        <v>905</v>
      </c>
      <c r="C46" s="201" t="s">
        <v>970</v>
      </c>
      <c r="D46" s="468"/>
      <c r="E46" s="201" t="s">
        <v>909</v>
      </c>
      <c r="F46" s="201" t="s">
        <v>970</v>
      </c>
    </row>
    <row r="47" spans="1:38" x14ac:dyDescent="0.25">
      <c r="B47" s="201" t="s">
        <v>906</v>
      </c>
      <c r="C47" s="201" t="s">
        <v>970</v>
      </c>
      <c r="D47" s="468"/>
      <c r="E47" s="201" t="s">
        <v>907</v>
      </c>
      <c r="F47" s="201" t="s">
        <v>970</v>
      </c>
    </row>
    <row r="48" spans="1:38" x14ac:dyDescent="0.25">
      <c r="B48" s="201" t="s">
        <v>907</v>
      </c>
      <c r="C48" s="201" t="s">
        <v>970</v>
      </c>
      <c r="D48" s="468"/>
      <c r="E48" s="201" t="s">
        <v>906</v>
      </c>
      <c r="F48" s="201" t="s">
        <v>970</v>
      </c>
    </row>
    <row r="49" spans="2:6" x14ac:dyDescent="0.25">
      <c r="B49" s="201" t="s">
        <v>908</v>
      </c>
      <c r="C49" s="201" t="s">
        <v>970</v>
      </c>
      <c r="E49" s="201" t="s">
        <v>908</v>
      </c>
      <c r="F49" s="201" t="s">
        <v>970</v>
      </c>
    </row>
    <row r="50" spans="2:6" x14ac:dyDescent="0.25">
      <c r="B50" s="201" t="s">
        <v>909</v>
      </c>
      <c r="C50" s="201" t="s">
        <v>970</v>
      </c>
      <c r="E50" s="201" t="s">
        <v>910</v>
      </c>
      <c r="F50" s="201" t="s">
        <v>970</v>
      </c>
    </row>
    <row r="51" spans="2:6" x14ac:dyDescent="0.25">
      <c r="B51" s="201" t="s">
        <v>910</v>
      </c>
      <c r="C51" s="201" t="s">
        <v>970</v>
      </c>
      <c r="E51" s="201" t="s">
        <v>924</v>
      </c>
      <c r="F51" s="201" t="s">
        <v>970</v>
      </c>
    </row>
    <row r="52" spans="2:6" x14ac:dyDescent="0.25">
      <c r="B52" s="201" t="s">
        <v>911</v>
      </c>
      <c r="C52" s="201" t="s">
        <v>970</v>
      </c>
      <c r="E52" s="201" t="s">
        <v>923</v>
      </c>
      <c r="F52" s="514" t="s">
        <v>972</v>
      </c>
    </row>
    <row r="53" spans="2:6" x14ac:dyDescent="0.25">
      <c r="B53" s="201" t="s">
        <v>912</v>
      </c>
      <c r="C53" s="201" t="s">
        <v>970</v>
      </c>
      <c r="E53" s="201" t="s">
        <v>922</v>
      </c>
      <c r="F53" s="514" t="s">
        <v>972</v>
      </c>
    </row>
    <row r="54" spans="2:6" x14ac:dyDescent="0.25">
      <c r="B54" s="201" t="s">
        <v>913</v>
      </c>
      <c r="C54" s="201" t="s">
        <v>970</v>
      </c>
      <c r="E54" s="201" t="s">
        <v>1007</v>
      </c>
      <c r="F54" s="514" t="s">
        <v>972</v>
      </c>
    </row>
    <row r="55" spans="2:6" x14ac:dyDescent="0.25">
      <c r="B55" s="201" t="s">
        <v>914</v>
      </c>
      <c r="C55" s="201" t="s">
        <v>970</v>
      </c>
      <c r="D55" s="54"/>
      <c r="E55" s="118" t="s">
        <v>920</v>
      </c>
      <c r="F55" s="483" t="s">
        <v>971</v>
      </c>
    </row>
    <row r="56" spans="2:6" x14ac:dyDescent="0.25">
      <c r="B56" s="118" t="s">
        <v>915</v>
      </c>
      <c r="C56" s="201" t="s">
        <v>970</v>
      </c>
      <c r="D56" s="54"/>
      <c r="E56" s="118" t="s">
        <v>905</v>
      </c>
      <c r="F56" s="201" t="s">
        <v>970</v>
      </c>
    </row>
    <row r="57" spans="2:6" x14ac:dyDescent="0.25">
      <c r="B57" s="118" t="s">
        <v>916</v>
      </c>
      <c r="C57" s="201" t="s">
        <v>970</v>
      </c>
      <c r="D57" s="54"/>
      <c r="E57" s="485" t="s">
        <v>973</v>
      </c>
      <c r="F57" s="201" t="s">
        <v>970</v>
      </c>
    </row>
    <row r="58" spans="2:6" x14ac:dyDescent="0.25">
      <c r="B58" s="118" t="s">
        <v>917</v>
      </c>
      <c r="C58" s="201" t="s">
        <v>970</v>
      </c>
      <c r="D58" s="54"/>
      <c r="E58" s="118" t="s">
        <v>914</v>
      </c>
      <c r="F58" s="201" t="s">
        <v>970</v>
      </c>
    </row>
    <row r="59" spans="2:6" x14ac:dyDescent="0.25">
      <c r="B59" s="118" t="s">
        <v>918</v>
      </c>
      <c r="C59" s="201" t="s">
        <v>970</v>
      </c>
      <c r="D59" s="54"/>
      <c r="E59" s="485" t="s">
        <v>974</v>
      </c>
      <c r="F59" s="201" t="s">
        <v>970</v>
      </c>
    </row>
    <row r="60" spans="2:6" x14ac:dyDescent="0.25">
      <c r="B60" s="118" t="s">
        <v>919</v>
      </c>
      <c r="C60" s="201" t="s">
        <v>970</v>
      </c>
      <c r="D60" s="54"/>
      <c r="E60" s="118" t="s">
        <v>919</v>
      </c>
      <c r="F60" s="201" t="s">
        <v>970</v>
      </c>
    </row>
    <row r="61" spans="2:6" x14ac:dyDescent="0.25">
      <c r="B61" s="118" t="s">
        <v>920</v>
      </c>
      <c r="C61" s="515" t="s">
        <v>971</v>
      </c>
      <c r="D61" s="54"/>
      <c r="E61" s="485" t="s">
        <v>975</v>
      </c>
      <c r="F61" s="201" t="s">
        <v>970</v>
      </c>
    </row>
    <row r="62" spans="2:6" x14ac:dyDescent="0.25">
      <c r="B62" s="118" t="s">
        <v>921</v>
      </c>
      <c r="C62" s="201" t="s">
        <v>972</v>
      </c>
      <c r="D62" s="54"/>
      <c r="E62" s="118" t="s">
        <v>918</v>
      </c>
      <c r="F62" s="201" t="s">
        <v>970</v>
      </c>
    </row>
    <row r="63" spans="2:6" x14ac:dyDescent="0.25">
      <c r="B63" s="118" t="s">
        <v>922</v>
      </c>
      <c r="C63" s="201" t="s">
        <v>972</v>
      </c>
      <c r="D63" s="54"/>
      <c r="E63" s="118" t="s">
        <v>917</v>
      </c>
      <c r="F63" s="201" t="s">
        <v>970</v>
      </c>
    </row>
    <row r="64" spans="2:6" x14ac:dyDescent="0.25">
      <c r="B64" s="118" t="s">
        <v>923</v>
      </c>
      <c r="C64" s="201" t="s">
        <v>972</v>
      </c>
      <c r="D64" s="54"/>
      <c r="E64" s="118" t="s">
        <v>911</v>
      </c>
      <c r="F64" s="201" t="s">
        <v>970</v>
      </c>
    </row>
    <row r="65" spans="2:6" x14ac:dyDescent="0.25">
      <c r="B65" s="516" t="s">
        <v>1008</v>
      </c>
      <c r="C65" s="517" t="s">
        <v>971</v>
      </c>
      <c r="D65" s="54"/>
      <c r="E65" s="118" t="s">
        <v>916</v>
      </c>
      <c r="F65" s="201" t="s">
        <v>970</v>
      </c>
    </row>
    <row r="66" spans="2:6" x14ac:dyDescent="0.25">
      <c r="B66" s="118" t="s">
        <v>924</v>
      </c>
      <c r="C66" t="s">
        <v>970</v>
      </c>
      <c r="D66" s="54"/>
      <c r="E66" s="118" t="s">
        <v>912</v>
      </c>
      <c r="F66" s="201" t="s">
        <v>970</v>
      </c>
    </row>
    <row r="67" spans="2:6" x14ac:dyDescent="0.25">
      <c r="D67" s="54"/>
      <c r="E67" s="118" t="s">
        <v>913</v>
      </c>
      <c r="F67" s="201" t="s">
        <v>970</v>
      </c>
    </row>
    <row r="68" spans="2:6" x14ac:dyDescent="0.25">
      <c r="D68" s="54"/>
      <c r="E68" s="485" t="s">
        <v>976</v>
      </c>
      <c r="F68" s="201" t="s">
        <v>970</v>
      </c>
    </row>
    <row r="69" spans="2:6" x14ac:dyDescent="0.25">
      <c r="B69" s="54"/>
      <c r="C69" s="54"/>
      <c r="D69" s="54"/>
      <c r="E69" s="518" t="s">
        <v>977</v>
      </c>
      <c r="F69" s="201" t="s">
        <v>970</v>
      </c>
    </row>
    <row r="70" spans="2:6" x14ac:dyDescent="0.25">
      <c r="B70" s="54"/>
      <c r="C70" s="54"/>
      <c r="D70" s="54"/>
      <c r="E70" s="118" t="s">
        <v>915</v>
      </c>
      <c r="F70" s="201" t="s">
        <v>970</v>
      </c>
    </row>
    <row r="71" spans="2:6" x14ac:dyDescent="0.25">
      <c r="B71" s="54"/>
      <c r="C71" s="54"/>
      <c r="D71" s="54"/>
      <c r="E71" s="485" t="s">
        <v>978</v>
      </c>
      <c r="F71" s="201" t="s">
        <v>970</v>
      </c>
    </row>
    <row r="72" spans="2:6" x14ac:dyDescent="0.25">
      <c r="B72" s="54"/>
      <c r="C72" s="54"/>
      <c r="D72" s="54"/>
      <c r="E72" s="485" t="s">
        <v>979</v>
      </c>
      <c r="F72" s="201" t="s">
        <v>970</v>
      </c>
    </row>
    <row r="73" spans="2:6" x14ac:dyDescent="0.25">
      <c r="B73" s="54"/>
      <c r="C73" s="54"/>
      <c r="D73" s="54"/>
      <c r="E73" s="485" t="s">
        <v>980</v>
      </c>
      <c r="F73" s="201" t="s">
        <v>970</v>
      </c>
    </row>
    <row r="74" spans="2:6" x14ac:dyDescent="0.25">
      <c r="B74" s="54"/>
      <c r="C74" s="54"/>
      <c r="D74" s="54"/>
      <c r="E74" s="485" t="s">
        <v>981</v>
      </c>
      <c r="F74" s="201" t="s">
        <v>970</v>
      </c>
    </row>
    <row r="75" spans="2:6" x14ac:dyDescent="0.25">
      <c r="E75" s="484" t="s">
        <v>982</v>
      </c>
      <c r="F75" s="201" t="s">
        <v>970</v>
      </c>
    </row>
    <row r="76" spans="2:6" x14ac:dyDescent="0.25">
      <c r="E76" s="484" t="s">
        <v>983</v>
      </c>
      <c r="F76" s="201" t="s">
        <v>970</v>
      </c>
    </row>
    <row r="77" spans="2:6" x14ac:dyDescent="0.25">
      <c r="E77" s="484" t="s">
        <v>984</v>
      </c>
      <c r="F77" s="201" t="s">
        <v>970</v>
      </c>
    </row>
    <row r="78" spans="2:6" x14ac:dyDescent="0.25">
      <c r="E78" s="484" t="s">
        <v>985</v>
      </c>
      <c r="F78" s="519" t="s">
        <v>972</v>
      </c>
    </row>
  </sheetData>
  <mergeCells count="2">
    <mergeCell ref="H3:I3"/>
    <mergeCell ref="V3:W3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953EB-D352-4A1F-AC72-4ACFF8198387}">
  <sheetPr codeName="Feuil5">
    <tabColor theme="7" tint="0.79998168889431442"/>
  </sheetPr>
  <dimension ref="A1:BE16"/>
  <sheetViews>
    <sheetView showGridLines="0" topLeftCell="O1" workbookViewId="0">
      <selection activeCell="Y10" sqref="Y10"/>
    </sheetView>
  </sheetViews>
  <sheetFormatPr baseColWidth="10" defaultColWidth="11.42578125" defaultRowHeight="15" outlineLevelCol="1" x14ac:dyDescent="0.25"/>
  <cols>
    <col min="2" max="2" width="2.28515625" style="60" customWidth="1"/>
    <col min="3" max="3" width="2.5703125" style="60" customWidth="1"/>
    <col min="4" max="4" width="5.7109375" customWidth="1"/>
    <col min="5" max="5" width="8.42578125" customWidth="1"/>
    <col min="6" max="6" width="7.28515625" customWidth="1"/>
    <col min="7" max="7" width="15.85546875" customWidth="1"/>
    <col min="8" max="8" width="15.85546875" customWidth="1" outlineLevel="1"/>
    <col min="9" max="9" width="22.5703125" customWidth="1"/>
    <col min="10" max="10" width="10.5703125" bestFit="1" customWidth="1"/>
    <col min="11" max="11" width="9.140625" bestFit="1" customWidth="1"/>
    <col min="12" max="13" width="11.28515625" bestFit="1" customWidth="1"/>
    <col min="14" max="14" width="8.28515625" bestFit="1" customWidth="1"/>
    <col min="15" max="15" width="8.7109375" style="74" bestFit="1" customWidth="1"/>
    <col min="16" max="16" width="8.140625" style="77" bestFit="1" customWidth="1"/>
    <col min="17" max="17" width="7" style="77" bestFit="1" customWidth="1"/>
    <col min="18" max="18" width="8.140625" style="77" bestFit="1" customWidth="1"/>
    <col min="19" max="19" width="8.140625" bestFit="1" customWidth="1"/>
    <col min="20" max="20" width="11.28515625" bestFit="1" customWidth="1"/>
    <col min="21" max="21" width="10.5703125" bestFit="1" customWidth="1"/>
    <col min="22" max="22" width="9.28515625" bestFit="1" customWidth="1"/>
    <col min="23" max="23" width="10.7109375" bestFit="1" customWidth="1"/>
    <col min="24" max="24" width="28.7109375" bestFit="1" customWidth="1"/>
    <col min="25" max="25" width="11.5703125" style="43" outlineLevel="1"/>
    <col min="26" max="26" width="11.42578125" style="43" outlineLevel="1"/>
    <col min="27" max="27" width="4.5703125" style="69" hidden="1" customWidth="1" outlineLevel="1"/>
    <col min="28" max="28" width="11.5703125" style="43" outlineLevel="1"/>
    <col min="29" max="29" width="7.7109375" style="43" customWidth="1" outlineLevel="1"/>
    <col min="30" max="30" width="1.7109375" customWidth="1"/>
    <col min="31" max="31" width="11.5703125" style="43" hidden="1" customWidth="1" outlineLevel="1"/>
    <col min="32" max="32" width="11.5703125" style="69" hidden="1" customWidth="1" outlineLevel="1"/>
    <col min="33" max="33" width="11.5703125" style="43" hidden="1" customWidth="1" outlineLevel="1"/>
    <col min="34" max="34" width="7.140625" style="43" hidden="1" customWidth="1" outlineLevel="1"/>
    <col min="35" max="35" width="1.7109375" hidden="1" customWidth="1" collapsed="1"/>
    <col min="36" max="36" width="11.5703125" style="43" hidden="1" customWidth="1" outlineLevel="1"/>
    <col min="37" max="37" width="11.5703125" style="69" hidden="1" customWidth="1" outlineLevel="1"/>
    <col min="38" max="38" width="11.5703125" style="43" hidden="1" customWidth="1" outlineLevel="1"/>
    <col min="39" max="39" width="6.7109375" style="43" hidden="1" customWidth="1" outlineLevel="1"/>
    <col min="40" max="40" width="1.7109375" customWidth="1" collapsed="1"/>
    <col min="41" max="42" width="11.28515625" style="43" customWidth="1" outlineLevel="1"/>
    <col min="43" max="43" width="3.7109375" style="69" hidden="1" customWidth="1" outlineLevel="1"/>
    <col min="44" max="44" width="11.5703125" style="43" outlineLevel="1"/>
    <col min="45" max="45" width="1.7109375" customWidth="1"/>
    <col min="46" max="46" width="11.5703125" style="43" hidden="1" customWidth="1" outlineLevel="1"/>
    <col min="47" max="47" width="11.5703125" style="69" hidden="1" customWidth="1" outlineLevel="1"/>
    <col min="48" max="48" width="11.5703125" style="43" hidden="1" customWidth="1" outlineLevel="1"/>
    <col min="49" max="49" width="1.7109375" hidden="1" customWidth="1" collapsed="1"/>
    <col min="50" max="50" width="11.5703125" style="43" hidden="1" customWidth="1" outlineLevel="1"/>
    <col min="51" max="51" width="11.5703125" style="69" hidden="1" customWidth="1" outlineLevel="1"/>
    <col min="52" max="52" width="11.5703125" style="43" hidden="1" customWidth="1" outlineLevel="1"/>
    <col min="53" max="53" width="1.7109375" customWidth="1" collapsed="1"/>
    <col min="54" max="55" width="11.5703125" style="76"/>
    <col min="56" max="57" width="0" style="76" hidden="1" customWidth="1"/>
  </cols>
  <sheetData>
    <row r="1" spans="1:57" x14ac:dyDescent="0.25">
      <c r="G1">
        <v>2</v>
      </c>
      <c r="H1">
        <f t="shared" ref="H1:I1" si="0">G1+1</f>
        <v>3</v>
      </c>
      <c r="I1">
        <f t="shared" si="0"/>
        <v>4</v>
      </c>
      <c r="J1">
        <f t="shared" ref="J1" si="1">I1+1</f>
        <v>5</v>
      </c>
      <c r="K1">
        <f t="shared" ref="K1" si="2">J1+1</f>
        <v>6</v>
      </c>
      <c r="L1">
        <f t="shared" ref="L1" si="3">K1+1</f>
        <v>7</v>
      </c>
      <c r="M1">
        <f t="shared" ref="M1" si="4">L1+1</f>
        <v>8</v>
      </c>
      <c r="N1">
        <f t="shared" ref="N1" si="5">M1+1</f>
        <v>9</v>
      </c>
      <c r="O1">
        <f t="shared" ref="O1" si="6">N1+1</f>
        <v>10</v>
      </c>
      <c r="P1">
        <f t="shared" ref="P1" si="7">O1+1</f>
        <v>11</v>
      </c>
      <c r="Q1">
        <f t="shared" ref="Q1" si="8">P1+1</f>
        <v>12</v>
      </c>
      <c r="R1">
        <f t="shared" ref="R1" si="9">Q1+1</f>
        <v>13</v>
      </c>
      <c r="S1">
        <f t="shared" ref="S1" si="10">R1+1</f>
        <v>14</v>
      </c>
      <c r="T1">
        <f t="shared" ref="T1" si="11">S1+1</f>
        <v>15</v>
      </c>
      <c r="U1">
        <f t="shared" ref="U1" si="12">T1+1</f>
        <v>16</v>
      </c>
      <c r="V1">
        <f t="shared" ref="V1" si="13">U1+1</f>
        <v>17</v>
      </c>
      <c r="W1">
        <f t="shared" ref="W1" si="14">V1+1</f>
        <v>18</v>
      </c>
      <c r="X1">
        <f t="shared" ref="X1" si="15">W1+1</f>
        <v>19</v>
      </c>
      <c r="Y1">
        <f t="shared" ref="Y1" si="16">X1+1</f>
        <v>20</v>
      </c>
      <c r="Z1">
        <f t="shared" ref="Z1" si="17">Y1+1</f>
        <v>21</v>
      </c>
      <c r="AA1">
        <f t="shared" ref="AA1" si="18">Z1+1</f>
        <v>22</v>
      </c>
      <c r="AB1">
        <f t="shared" ref="AB1" si="19">AA1+1</f>
        <v>23</v>
      </c>
      <c r="AC1">
        <f t="shared" ref="AC1" si="20">AB1+1</f>
        <v>24</v>
      </c>
      <c r="AD1">
        <f t="shared" ref="AD1" si="21">AC1+1</f>
        <v>25</v>
      </c>
      <c r="AE1">
        <f t="shared" ref="AE1" si="22">AD1+1</f>
        <v>26</v>
      </c>
      <c r="AF1">
        <f t="shared" ref="AF1" si="23">AE1+1</f>
        <v>27</v>
      </c>
      <c r="AG1">
        <f t="shared" ref="AG1" si="24">AF1+1</f>
        <v>28</v>
      </c>
      <c r="AH1">
        <f t="shared" ref="AH1" si="25">AG1+1</f>
        <v>29</v>
      </c>
      <c r="AI1">
        <f t="shared" ref="AI1" si="26">AH1+1</f>
        <v>30</v>
      </c>
      <c r="AJ1">
        <f t="shared" ref="AJ1" si="27">AI1+1</f>
        <v>31</v>
      </c>
      <c r="AK1">
        <f t="shared" ref="AK1" si="28">AJ1+1</f>
        <v>32</v>
      </c>
      <c r="AL1">
        <f t="shared" ref="AL1" si="29">AK1+1</f>
        <v>33</v>
      </c>
      <c r="AM1">
        <f t="shared" ref="AM1" si="30">AL1+1</f>
        <v>34</v>
      </c>
      <c r="AN1">
        <f t="shared" ref="AN1" si="31">AM1+1</f>
        <v>35</v>
      </c>
      <c r="AO1">
        <f t="shared" ref="AO1" si="32">AN1+1</f>
        <v>36</v>
      </c>
      <c r="AP1">
        <f t="shared" ref="AP1" si="33">AO1+1</f>
        <v>37</v>
      </c>
      <c r="AQ1">
        <f t="shared" ref="AQ1" si="34">AP1+1</f>
        <v>38</v>
      </c>
      <c r="AR1">
        <f t="shared" ref="AR1" si="35">AQ1+1</f>
        <v>39</v>
      </c>
      <c r="AS1">
        <f t="shared" ref="AS1" si="36">AR1+1</f>
        <v>40</v>
      </c>
      <c r="AT1">
        <f t="shared" ref="AT1" si="37">AS1+1</f>
        <v>41</v>
      </c>
      <c r="AU1">
        <f t="shared" ref="AU1" si="38">AT1+1</f>
        <v>42</v>
      </c>
      <c r="AV1">
        <f t="shared" ref="AV1" si="39">AU1+1</f>
        <v>43</v>
      </c>
      <c r="AW1">
        <f t="shared" ref="AW1" si="40">AV1+1</f>
        <v>44</v>
      </c>
      <c r="AX1">
        <f t="shared" ref="AX1" si="41">AW1+1</f>
        <v>45</v>
      </c>
      <c r="AY1">
        <f t="shared" ref="AY1" si="42">AX1+1</f>
        <v>46</v>
      </c>
      <c r="AZ1">
        <f t="shared" ref="AZ1" si="43">AY1+1</f>
        <v>47</v>
      </c>
    </row>
    <row r="2" spans="1:57" ht="15.75" thickBot="1" x14ac:dyDescent="0.3">
      <c r="R2" s="76"/>
      <c r="S2" s="430"/>
      <c r="Y2" s="43" t="s">
        <v>13</v>
      </c>
      <c r="Z2" s="43" t="s">
        <v>13</v>
      </c>
      <c r="AA2" s="71" t="s">
        <v>449</v>
      </c>
      <c r="AE2" s="43" t="s">
        <v>27</v>
      </c>
      <c r="AF2" s="71" t="s">
        <v>449</v>
      </c>
      <c r="AJ2" s="43" t="s">
        <v>38</v>
      </c>
      <c r="AK2" s="71" t="s">
        <v>449</v>
      </c>
      <c r="AO2" s="43" t="s">
        <v>13</v>
      </c>
      <c r="AP2" s="43" t="s">
        <v>13</v>
      </c>
      <c r="AQ2" s="71" t="s">
        <v>449</v>
      </c>
      <c r="AT2" s="43" t="s">
        <v>27</v>
      </c>
      <c r="AU2" s="71" t="s">
        <v>449</v>
      </c>
      <c r="AX2" s="43" t="s">
        <v>38</v>
      </c>
      <c r="AY2" s="71" t="s">
        <v>449</v>
      </c>
    </row>
    <row r="3" spans="1:57" ht="15.75" thickBot="1" x14ac:dyDescent="0.3">
      <c r="D3" s="99"/>
      <c r="E3" s="99"/>
      <c r="F3" s="100"/>
      <c r="G3" s="100"/>
      <c r="H3" s="100"/>
      <c r="I3" s="99"/>
      <c r="J3" s="99"/>
      <c r="K3" s="99"/>
      <c r="L3" s="99"/>
      <c r="M3" s="99"/>
      <c r="N3" s="99"/>
      <c r="P3" s="100"/>
      <c r="Q3" s="100"/>
      <c r="R3" s="100"/>
      <c r="S3" s="100"/>
      <c r="W3" s="100"/>
      <c r="Y3" s="45" t="s">
        <v>13</v>
      </c>
      <c r="Z3" s="45" t="s">
        <v>13</v>
      </c>
      <c r="AA3" s="70"/>
      <c r="AB3" s="45"/>
      <c r="AC3" s="46"/>
      <c r="AE3" s="45" t="s">
        <v>27</v>
      </c>
      <c r="AF3" s="70"/>
      <c r="AG3" s="45"/>
      <c r="AH3" s="46"/>
      <c r="AJ3" s="45" t="s">
        <v>38</v>
      </c>
      <c r="AK3" s="70"/>
      <c r="AL3" s="45"/>
      <c r="AM3" s="46"/>
      <c r="AO3" s="45" t="s">
        <v>13</v>
      </c>
      <c r="AP3" s="45" t="s">
        <v>13</v>
      </c>
      <c r="AQ3" s="70"/>
      <c r="AR3" s="45"/>
      <c r="AT3" s="45" t="s">
        <v>27</v>
      </c>
      <c r="AU3" s="70"/>
      <c r="AV3" s="45"/>
      <c r="AX3" s="45" t="s">
        <v>38</v>
      </c>
      <c r="AY3" s="70"/>
      <c r="AZ3" s="45"/>
    </row>
    <row r="4" spans="1:57" ht="60.75" thickBot="1" x14ac:dyDescent="0.3">
      <c r="D4" s="64" t="s">
        <v>472</v>
      </c>
      <c r="E4" s="64" t="s">
        <v>473</v>
      </c>
      <c r="F4" s="64" t="s">
        <v>474</v>
      </c>
      <c r="G4" s="64" t="s">
        <v>367</v>
      </c>
      <c r="H4" s="64" t="s">
        <v>368</v>
      </c>
      <c r="I4" s="64" t="s">
        <v>369</v>
      </c>
      <c r="J4" s="64" t="s">
        <v>475</v>
      </c>
      <c r="K4" s="64" t="s">
        <v>476</v>
      </c>
      <c r="L4" s="47" t="s">
        <v>477</v>
      </c>
      <c r="M4" s="64" t="s">
        <v>478</v>
      </c>
      <c r="N4" s="64" t="s">
        <v>479</v>
      </c>
      <c r="O4" s="75" t="s">
        <v>480</v>
      </c>
      <c r="P4" s="78" t="s">
        <v>481</v>
      </c>
      <c r="Q4" s="78" t="s">
        <v>482</v>
      </c>
      <c r="R4" s="78" t="s">
        <v>483</v>
      </c>
      <c r="S4" s="75" t="s">
        <v>484</v>
      </c>
      <c r="T4" s="75" t="s">
        <v>485</v>
      </c>
      <c r="U4" s="75" t="s">
        <v>486</v>
      </c>
      <c r="V4" s="75" t="s">
        <v>487</v>
      </c>
      <c r="W4" s="75" t="s">
        <v>488</v>
      </c>
      <c r="X4" s="75" t="s">
        <v>489</v>
      </c>
      <c r="Y4" s="49" t="str">
        <f>'REP cout'!B4</f>
        <v>Opération 1: Bioluminescence</v>
      </c>
      <c r="Z4" s="49" t="str">
        <f>'REP cout'!C4</f>
        <v>Opération 2: Nouveaux outils</v>
      </c>
      <c r="AA4" s="67" t="s">
        <v>458</v>
      </c>
      <c r="AB4" s="47" t="s">
        <v>490</v>
      </c>
      <c r="AC4" s="83" t="s">
        <v>471</v>
      </c>
      <c r="AE4" s="47" t="str">
        <f>'REP cout'!I32</f>
        <v>Projet 1</v>
      </c>
      <c r="AF4" s="67" t="s">
        <v>458</v>
      </c>
      <c r="AG4" s="47" t="s">
        <v>491</v>
      </c>
      <c r="AH4" s="83" t="s">
        <v>450</v>
      </c>
      <c r="AJ4" s="47" t="str">
        <f>'REP cout'!O32</f>
        <v>Nom projet</v>
      </c>
      <c r="AK4" s="67" t="s">
        <v>458</v>
      </c>
      <c r="AL4" s="47" t="s">
        <v>492</v>
      </c>
      <c r="AM4" s="83" t="s">
        <v>493</v>
      </c>
      <c r="AO4" s="49" t="str">
        <f>'REP cout'!B4</f>
        <v>Opération 1: Bioluminescence</v>
      </c>
      <c r="AP4" s="49" t="str">
        <f>'REP cout'!C4</f>
        <v>Opération 2: Nouveaux outils</v>
      </c>
      <c r="AQ4" s="67" t="s">
        <v>458</v>
      </c>
      <c r="AR4" s="47" t="s">
        <v>494</v>
      </c>
      <c r="AT4" s="47" t="str">
        <f>AE4</f>
        <v>Projet 1</v>
      </c>
      <c r="AU4" s="67" t="s">
        <v>458</v>
      </c>
      <c r="AV4" s="47" t="s">
        <v>495</v>
      </c>
      <c r="AX4" s="47" t="str">
        <f>AJ4</f>
        <v>Nom projet</v>
      </c>
      <c r="AY4" s="67" t="s">
        <v>458</v>
      </c>
      <c r="AZ4" s="47" t="s">
        <v>496</v>
      </c>
      <c r="BB4" s="92" t="s">
        <v>497</v>
      </c>
      <c r="BC4" s="92" t="s">
        <v>498</v>
      </c>
      <c r="BD4" s="92" t="s">
        <v>499</v>
      </c>
      <c r="BE4" s="92" t="s">
        <v>500</v>
      </c>
    </row>
    <row r="5" spans="1:57" ht="15.75" x14ac:dyDescent="0.3">
      <c r="A5" s="112"/>
      <c r="D5" s="85" t="b">
        <v>1</v>
      </c>
      <c r="E5" s="84" t="b">
        <v>1</v>
      </c>
      <c r="F5" s="11">
        <v>1</v>
      </c>
      <c r="G5" s="11" t="s">
        <v>877</v>
      </c>
      <c r="H5" s="11" t="s">
        <v>878</v>
      </c>
      <c r="I5" s="11" t="s">
        <v>895</v>
      </c>
      <c r="J5" s="11" t="s">
        <v>1018</v>
      </c>
      <c r="K5" s="11">
        <v>2017</v>
      </c>
      <c r="L5" s="11" t="s">
        <v>35</v>
      </c>
      <c r="M5" s="95">
        <v>45257</v>
      </c>
      <c r="N5" s="95"/>
      <c r="O5" s="172">
        <f>IF(AND(VALO_PERSO!M5&lt;=parametrage!$A$13,ISBLANK(VALO_PERSO!N5)),100%,IF(AND(VALO_PERSO!M5&gt;=parametrage!$A$13,ISBLANK(VALO_PERSO!N5)),((parametrage!$A$14-VALO_PERSO!M5+1)/365),IF(AND(VALO_PERSO!M5&lt;=parametrage!$A$13,AND(VALO_PERSO!N5&gt;parametrage!$A$13,VALO_PERSO!N5&lt;=parametrage!$A$14)),((VALO_PERSO!N5-parametrage!$A$13)/365),((VALO_PERSO!N5-VALO_PERSO!M5)/365))))</f>
        <v>1</v>
      </c>
      <c r="P5" s="11">
        <f>VLOOKUP(F5,'Fiche pour valo'!A:I,6,0)</f>
        <v>35345.21</v>
      </c>
      <c r="Q5" s="11">
        <f>VLOOKUP(F5,'Fiche pour valo'!A:I,4,0)</f>
        <v>0</v>
      </c>
      <c r="R5" s="11">
        <f>VLOOKUP(F5,'Fiche pour valo'!A:I,8,0)</f>
        <v>6695.4499999999989</v>
      </c>
      <c r="S5" s="11">
        <f>VLOOKUP(F5,'Fiche pour valo'!A:I,5,0)</f>
        <v>6100.94</v>
      </c>
      <c r="T5" s="93">
        <f t="shared" ref="T5:T6" si="44">IFERROR(R5/P5,0)</f>
        <v>0.189430194360141</v>
      </c>
      <c r="U5" s="93">
        <f t="shared" ref="U5:U6" si="45">IFERROR(S5/R5,0)</f>
        <v>0.91120686436311238</v>
      </c>
      <c r="V5" s="41">
        <f t="shared" ref="V5:V6" si="46">P5+Q5+S5</f>
        <v>41446.15</v>
      </c>
      <c r="W5" s="11">
        <f>VLOOKUP(F5,'Fiche pour valo'!A:I,9,0)</f>
        <v>1019.12</v>
      </c>
      <c r="X5" s="41">
        <f t="shared" ref="X5:X6" si="47">IF(ISBLANK(W5),0,V5/W5)</f>
        <v>40.668566998979514</v>
      </c>
      <c r="Y5" s="29">
        <f>VLOOKUP(F5,'HRECH V 8 avril'!B:F,4,0)</f>
        <v>816</v>
      </c>
      <c r="Z5" s="29">
        <f>VLOOKUP(F5,'HRECH V 8 avril'!B:F,5,0)</f>
        <v>168</v>
      </c>
      <c r="AA5" s="41"/>
      <c r="AB5" s="82">
        <f t="shared" ref="AB5:AB6" si="48">SUM(Y5:AA5)</f>
        <v>984</v>
      </c>
      <c r="AC5" s="94">
        <f t="shared" ref="AC5:AC6" si="49">IFERROR(AB5/W5,0)</f>
        <v>0.96553889630269252</v>
      </c>
      <c r="AE5" s="11"/>
      <c r="AF5" s="41"/>
      <c r="AG5" s="82">
        <f t="shared" ref="AG5" si="50">SUM(AE5:AF5)</f>
        <v>0</v>
      </c>
      <c r="AH5" s="94">
        <f t="shared" ref="AH5:AH6" si="51">IFERROR(AG5/W5,0)</f>
        <v>0</v>
      </c>
      <c r="AJ5" s="11"/>
      <c r="AK5" s="41"/>
      <c r="AL5" s="82">
        <f t="shared" ref="AL5" si="52">SUM(AJ5:AK5)</f>
        <v>0</v>
      </c>
      <c r="AM5" s="94">
        <f t="shared" ref="AM5:AM6" si="53">IFERROR(AL5/W5,0)</f>
        <v>0</v>
      </c>
      <c r="AO5" s="29">
        <f t="shared" ref="AO5:AP5" si="54">IFERROR(Y5*$V5/$W5,0)</f>
        <v>33185.550671167279</v>
      </c>
      <c r="AP5" s="29">
        <f t="shared" si="54"/>
        <v>6832.3192558285582</v>
      </c>
      <c r="AQ5" s="41"/>
      <c r="AR5" s="82">
        <f t="shared" ref="AR5:AR10" si="55">SUM(AO5:AQ5)</f>
        <v>40017.869926995838</v>
      </c>
      <c r="AT5" s="11">
        <f>IFERROR(AE5*$V5/$W5,0)</f>
        <v>0</v>
      </c>
      <c r="AU5" s="41"/>
      <c r="AV5" s="82">
        <f t="shared" ref="AV5" si="56">SUM(AT5:AU5)</f>
        <v>0</v>
      </c>
      <c r="AX5" s="11">
        <f>IFERROR(AI5*$V5/$W5,0)</f>
        <v>0</v>
      </c>
      <c r="AY5" s="41"/>
      <c r="AZ5" s="82">
        <f t="shared" ref="AZ5" si="57">SUM(AX5:AY5)</f>
        <v>0</v>
      </c>
      <c r="BB5" s="11">
        <f>W5-AB5-AG5-AL5</f>
        <v>35.120000000000005</v>
      </c>
      <c r="BC5" s="11">
        <f>IF(AB5&gt;0,W5,0)</f>
        <v>1019.12</v>
      </c>
      <c r="BD5" s="11">
        <f>IF(AG5&gt;0,W5,0)</f>
        <v>0</v>
      </c>
      <c r="BE5" s="11">
        <f>IF(AL5&gt;0,W5,0)</f>
        <v>0</v>
      </c>
    </row>
    <row r="6" spans="1:57" ht="15.75" x14ac:dyDescent="0.3">
      <c r="D6" s="85" t="b">
        <v>1</v>
      </c>
      <c r="E6" s="84" t="b">
        <v>1</v>
      </c>
      <c r="F6" s="11">
        <v>3</v>
      </c>
      <c r="G6" s="11" t="s">
        <v>881</v>
      </c>
      <c r="H6" s="11" t="s">
        <v>882</v>
      </c>
      <c r="I6" s="11" t="s">
        <v>896</v>
      </c>
      <c r="J6" s="11" t="s">
        <v>1019</v>
      </c>
      <c r="K6" s="11">
        <v>2023</v>
      </c>
      <c r="L6" s="11" t="s">
        <v>35</v>
      </c>
      <c r="M6" s="95">
        <v>45261</v>
      </c>
      <c r="N6" s="95"/>
      <c r="O6" s="172">
        <f>IF(AND(VALO_PERSO!M6&lt;=parametrage!$A$13,ISBLANK(VALO_PERSO!N6)),100%,IF(AND(VALO_PERSO!M6&gt;=parametrage!$A$13,ISBLANK(VALO_PERSO!N6)),((parametrage!$A$14-VALO_PERSO!M6+1)/365),IF(AND(VALO_PERSO!M6&lt;=parametrage!$A$13,AND(VALO_PERSO!N6&gt;parametrage!$A$13,VALO_PERSO!N6&lt;=parametrage!$A$14)),((VALO_PERSO!N6-parametrage!$A$13)/365),((VALO_PERSO!N6-VALO_PERSO!M6)/365))))</f>
        <v>1</v>
      </c>
      <c r="P6" s="11">
        <f>VLOOKUP(F6,'Fiche pour valo'!A:I,6,0)</f>
        <v>29800.33</v>
      </c>
      <c r="Q6" s="11">
        <f>VLOOKUP(F6,'Fiche pour valo'!A:I,4,0)</f>
        <v>0</v>
      </c>
      <c r="R6" s="11">
        <f>VLOOKUP(F6,'Fiche pour valo'!A:I,8,0)</f>
        <v>5451.3200000000006</v>
      </c>
      <c r="S6" s="11">
        <f>VLOOKUP(F6,'Fiche pour valo'!A:I,5,0)</f>
        <v>4950.05</v>
      </c>
      <c r="T6" s="93">
        <f t="shared" si="44"/>
        <v>0.18292817562758534</v>
      </c>
      <c r="U6" s="93">
        <f t="shared" si="45"/>
        <v>0.90804612460835166</v>
      </c>
      <c r="V6" s="41">
        <f t="shared" si="46"/>
        <v>34750.380000000005</v>
      </c>
      <c r="W6" s="11">
        <f>VLOOKUP(F6,'Fiche pour valo'!A:I,9,0)</f>
        <v>1448</v>
      </c>
      <c r="X6" s="41">
        <f t="shared" si="47"/>
        <v>23.998881215469616</v>
      </c>
      <c r="Y6" s="29">
        <f>VLOOKUP(F6,'HRECH V 8 avril'!B:F,4,0)</f>
        <v>942</v>
      </c>
      <c r="Z6" s="29">
        <f>VLOOKUP(F6,'HRECH V 8 avril'!B:F,5,0)</f>
        <v>352</v>
      </c>
      <c r="AA6" s="41"/>
      <c r="AB6" s="82">
        <f t="shared" si="48"/>
        <v>1294</v>
      </c>
      <c r="AC6" s="94">
        <f t="shared" si="49"/>
        <v>0.89364640883977897</v>
      </c>
      <c r="AE6" s="11"/>
      <c r="AF6" s="41"/>
      <c r="AG6" s="82">
        <f t="shared" ref="AG6" si="58">SUM(AE6:AF6)</f>
        <v>0</v>
      </c>
      <c r="AH6" s="94">
        <f t="shared" si="51"/>
        <v>0</v>
      </c>
      <c r="AJ6" s="11"/>
      <c r="AK6" s="41"/>
      <c r="AL6" s="82">
        <f t="shared" ref="AL6" si="59">SUM(AJ6:AK6)</f>
        <v>0</v>
      </c>
      <c r="AM6" s="94">
        <f t="shared" si="53"/>
        <v>0</v>
      </c>
      <c r="AO6" s="29">
        <f t="shared" ref="AO6:AO10" si="60">IFERROR(Y6*$V6/$W6,0)</f>
        <v>22606.94610497238</v>
      </c>
      <c r="AP6" s="29">
        <f t="shared" ref="AP6:AP10" si="61">IFERROR(Z6*$V6/$W6,0)</f>
        <v>8447.6061878453056</v>
      </c>
      <c r="AQ6" s="41"/>
      <c r="AR6" s="82">
        <f t="shared" si="55"/>
        <v>31054.552292817687</v>
      </c>
      <c r="AT6" s="11">
        <f>IFERROR(AE6*$V6/$W6,0)</f>
        <v>0</v>
      </c>
      <c r="AU6" s="41"/>
      <c r="AV6" s="82">
        <f t="shared" ref="AV6" si="62">SUM(AT6:AU6)</f>
        <v>0</v>
      </c>
      <c r="AX6" s="11">
        <f>IFERROR(AJ6*$V6/$W6,0)</f>
        <v>0</v>
      </c>
      <c r="AY6" s="41"/>
      <c r="AZ6" s="82">
        <f t="shared" ref="AZ6" si="63">SUM(AX6:AY6)</f>
        <v>0</v>
      </c>
      <c r="BB6" s="11">
        <f>W6-AB6-AG6-AL6</f>
        <v>154</v>
      </c>
      <c r="BC6" s="11">
        <f>IF(AB6&gt;0,W6,0)</f>
        <v>1448</v>
      </c>
      <c r="BD6" s="11">
        <f>IF(AG6&gt;0,W6,0)</f>
        <v>0</v>
      </c>
      <c r="BE6" s="11">
        <f>IF(AL6&gt;0,W6,0)</f>
        <v>0</v>
      </c>
    </row>
    <row r="7" spans="1:57" ht="15.75" x14ac:dyDescent="0.3">
      <c r="D7" s="85" t="b">
        <v>1</v>
      </c>
      <c r="E7" s="84" t="b">
        <v>1</v>
      </c>
      <c r="F7" s="11">
        <v>4</v>
      </c>
      <c r="G7" s="11" t="s">
        <v>883</v>
      </c>
      <c r="H7" s="11" t="s">
        <v>884</v>
      </c>
      <c r="I7" s="11" t="s">
        <v>931</v>
      </c>
      <c r="J7" s="11" t="s">
        <v>1014</v>
      </c>
      <c r="K7" s="11">
        <v>2008</v>
      </c>
      <c r="L7" s="11" t="s">
        <v>54</v>
      </c>
      <c r="M7" s="95">
        <v>45488</v>
      </c>
      <c r="N7" s="470"/>
      <c r="O7" s="172">
        <f>IF(AND(VALO_PERSO!M7&lt;=parametrage!$A$13,ISBLANK(VALO_PERSO!N7)),100%,IF(AND(VALO_PERSO!M7&gt;=parametrage!$A$13,ISBLANK(VALO_PERSO!N7)),((parametrage!$A$14-VALO_PERSO!M7+1)/365),IF(AND(VALO_PERSO!M7&lt;=parametrage!$A$13,AND(VALO_PERSO!N7&gt;parametrage!$A$13,VALO_PERSO!N7&lt;=parametrage!$A$14)),((VALO_PERSO!N7-parametrage!$A$13)/365),((VALO_PERSO!N7-VALO_PERSO!M7)/365))))</f>
        <v>1</v>
      </c>
      <c r="P7" s="11">
        <f>VLOOKUP(F7,'Fiche pour valo'!A:I,6,0)</f>
        <v>88000</v>
      </c>
      <c r="Q7" s="11">
        <f>VLOOKUP(F7,'Fiche pour valo'!A:I,4,0)</f>
        <v>0</v>
      </c>
      <c r="R7" s="11">
        <f>VLOOKUP(F7,'Fiche pour valo'!A:I,8,0)</f>
        <v>15493.130000000001</v>
      </c>
      <c r="S7" s="11">
        <f>VLOOKUP(F7,'Fiche pour valo'!A:I,5,0)</f>
        <v>14071.820000000002</v>
      </c>
      <c r="T7" s="93">
        <f t="shared" ref="T7" si="64">IFERROR(R7/P7,0)</f>
        <v>0.17605829545454546</v>
      </c>
      <c r="U7" s="93">
        <f t="shared" ref="U7" si="65">IFERROR(S7/R7,0)</f>
        <v>0.90826191996065353</v>
      </c>
      <c r="V7" s="41">
        <f t="shared" ref="V7" si="66">P7+Q7+S7</f>
        <v>102071.82</v>
      </c>
      <c r="W7" s="11">
        <f>VLOOKUP(F7,'Fiche pour valo'!A:I,9,0)</f>
        <v>1365.03</v>
      </c>
      <c r="X7" s="41">
        <f t="shared" ref="X7" si="67">IF(ISBLANK(W7),0,V7/W7)</f>
        <v>74.776246675897241</v>
      </c>
      <c r="Y7" s="29">
        <f>VLOOKUP(F7,'HRECH V 8 avril'!B:F,4,0)</f>
        <v>567</v>
      </c>
      <c r="Z7" s="29">
        <f>VLOOKUP(F7,'HRECH V 8 avril'!B:F,5,0)</f>
        <v>0</v>
      </c>
      <c r="AA7" s="41"/>
      <c r="AB7" s="82">
        <f t="shared" ref="AB7" si="68">SUM(Y7:AA7)</f>
        <v>567</v>
      </c>
      <c r="AC7" s="94">
        <f t="shared" ref="AC7" si="69">IFERROR(AB7/W7,0)</f>
        <v>0.41537548625304938</v>
      </c>
      <c r="AE7" s="11"/>
      <c r="AF7" s="41"/>
      <c r="AG7" s="82">
        <f t="shared" ref="AG7" si="70">SUM(AE7:AF7)</f>
        <v>0</v>
      </c>
      <c r="AH7" s="94">
        <f t="shared" ref="AH7" si="71">IFERROR(AG7/W7,0)</f>
        <v>0</v>
      </c>
      <c r="AJ7" s="11"/>
      <c r="AK7" s="41"/>
      <c r="AL7" s="82">
        <f t="shared" ref="AL7" si="72">SUM(AJ7:AK7)</f>
        <v>0</v>
      </c>
      <c r="AM7" s="94">
        <f t="shared" ref="AM7" si="73">IFERROR(AL7/W7,0)</f>
        <v>0</v>
      </c>
      <c r="AO7" s="29">
        <f t="shared" si="60"/>
        <v>42398.131865233736</v>
      </c>
      <c r="AP7" s="29">
        <f t="shared" si="61"/>
        <v>0</v>
      </c>
      <c r="AQ7" s="41"/>
      <c r="AR7" s="82">
        <f t="shared" si="55"/>
        <v>42398.131865233736</v>
      </c>
      <c r="AT7" s="469"/>
      <c r="AU7" s="471"/>
      <c r="AV7" s="472"/>
      <c r="AX7" s="469"/>
      <c r="AY7" s="471"/>
      <c r="AZ7" s="472"/>
      <c r="BB7" s="11">
        <f t="shared" ref="BB7:BB8" si="74">W7-AB7-AG7-AL7</f>
        <v>798.03</v>
      </c>
      <c r="BC7" s="11">
        <f t="shared" ref="BC7:BC8" si="75">IF(AB7&gt;0,W7,0)</f>
        <v>1365.03</v>
      </c>
      <c r="BD7" s="469"/>
      <c r="BE7" s="469"/>
    </row>
    <row r="8" spans="1:57" ht="15.75" x14ac:dyDescent="0.3">
      <c r="D8" s="85" t="b">
        <v>1</v>
      </c>
      <c r="E8" s="84" t="b">
        <v>1</v>
      </c>
      <c r="F8" s="11">
        <v>5</v>
      </c>
      <c r="G8" s="11" t="s">
        <v>885</v>
      </c>
      <c r="H8" s="11" t="s">
        <v>886</v>
      </c>
      <c r="I8" s="11" t="s">
        <v>929</v>
      </c>
      <c r="J8" s="11" t="s">
        <v>1017</v>
      </c>
      <c r="K8" s="11">
        <v>2008</v>
      </c>
      <c r="L8" s="11" t="s">
        <v>35</v>
      </c>
      <c r="M8" s="95">
        <v>45733</v>
      </c>
      <c r="N8" s="470"/>
      <c r="O8" s="172">
        <f>IF(AND(VALO_PERSO!M8&lt;=parametrage!$A$13,ISBLANK(VALO_PERSO!N8)),100%,IF(AND(VALO_PERSO!M8&gt;=parametrage!$A$13,ISBLANK(VALO_PERSO!N8)),((parametrage!$A$14-VALO_PERSO!M8+1)/365),IF(AND(VALO_PERSO!M8&lt;=parametrage!$A$13,AND(VALO_PERSO!N8&gt;parametrage!$A$13,VALO_PERSO!N8&lt;=parametrage!$A$14)),((VALO_PERSO!N8-parametrage!$A$13)/365),((VALO_PERSO!N8-VALO_PERSO!M8)/365))))</f>
        <v>0.79452054794520544</v>
      </c>
      <c r="P8" s="11">
        <f>VLOOKUP(F8,'Fiche pour valo'!A:I,6,0)</f>
        <v>55632.78</v>
      </c>
      <c r="Q8" s="11">
        <f>VLOOKUP(F8,'Fiche pour valo'!A:I,4,0)</f>
        <v>0</v>
      </c>
      <c r="R8" s="11">
        <f>VLOOKUP(F8,'Fiche pour valo'!A:I,8,0)</f>
        <v>11737.730000000001</v>
      </c>
      <c r="S8" s="11">
        <f>VLOOKUP(F8,'Fiche pour valo'!A:I,5,0)</f>
        <v>10822.060000000001</v>
      </c>
      <c r="T8" s="93">
        <f t="shared" ref="T8" si="76">IFERROR(R8/P8,0)</f>
        <v>0.21098586121347884</v>
      </c>
      <c r="U8" s="93">
        <f t="shared" ref="U8" si="77">IFERROR(S8/R8,0)</f>
        <v>0.92198917507899736</v>
      </c>
      <c r="V8" s="41">
        <f t="shared" ref="V8" si="78">P8+Q8+S8</f>
        <v>66454.84</v>
      </c>
      <c r="W8" s="11">
        <f>VLOOKUP(F8,'Fiche pour valo'!A:I,9,0)</f>
        <v>1406.32</v>
      </c>
      <c r="X8" s="41">
        <f t="shared" ref="X8" si="79">IF(ISBLANK(W8),0,V8/W8)</f>
        <v>47.254422890949428</v>
      </c>
      <c r="Y8" s="29">
        <f>VLOOKUP(F8,'HRECH V 8 avril'!B:F,4,0)</f>
        <v>560</v>
      </c>
      <c r="Z8" s="526">
        <f>VLOOKUP(F8,'HRECH V 8 avril'!B:F,5,0)-100</f>
        <v>782</v>
      </c>
      <c r="AA8" s="41"/>
      <c r="AB8" s="82">
        <f t="shared" ref="AB8" si="80">SUM(Y8:AA8)</f>
        <v>1342</v>
      </c>
      <c r="AC8" s="94">
        <f t="shared" ref="AC8" si="81">IFERROR(AB8/W8,0)</f>
        <v>0.95426360998919169</v>
      </c>
      <c r="AE8" s="469"/>
      <c r="AF8" s="471"/>
      <c r="AG8" s="472"/>
      <c r="AH8" s="473"/>
      <c r="AJ8" s="469"/>
      <c r="AK8" s="471"/>
      <c r="AL8" s="472"/>
      <c r="AM8" s="473"/>
      <c r="AO8" s="29">
        <f t="shared" si="60"/>
        <v>26462.476818931678</v>
      </c>
      <c r="AP8" s="29">
        <f t="shared" si="61"/>
        <v>36952.958700722455</v>
      </c>
      <c r="AQ8" s="41"/>
      <c r="AR8" s="82">
        <f t="shared" si="55"/>
        <v>63415.435519654129</v>
      </c>
      <c r="AT8" s="469"/>
      <c r="AU8" s="471"/>
      <c r="AV8" s="472"/>
      <c r="AX8" s="469"/>
      <c r="AY8" s="471"/>
      <c r="AZ8" s="472"/>
      <c r="BB8" s="11">
        <f t="shared" si="74"/>
        <v>64.319999999999936</v>
      </c>
      <c r="BC8" s="11">
        <f t="shared" si="75"/>
        <v>1406.32</v>
      </c>
      <c r="BD8" s="469"/>
      <c r="BE8" s="469"/>
    </row>
    <row r="9" spans="1:57" ht="15.75" x14ac:dyDescent="0.3">
      <c r="D9" s="85" t="b">
        <v>1</v>
      </c>
      <c r="E9" s="84" t="b">
        <v>1</v>
      </c>
      <c r="F9" s="11">
        <v>6</v>
      </c>
      <c r="G9" s="11" t="s">
        <v>887</v>
      </c>
      <c r="H9" s="11" t="s">
        <v>888</v>
      </c>
      <c r="I9" s="11" t="s">
        <v>963</v>
      </c>
      <c r="J9" s="11" t="s">
        <v>1015</v>
      </c>
      <c r="K9" s="11">
        <v>2024</v>
      </c>
      <c r="L9" s="11" t="s">
        <v>61</v>
      </c>
      <c r="M9" s="95">
        <v>45933</v>
      </c>
      <c r="N9" s="470"/>
      <c r="O9" s="172">
        <f>IF(AND(VALO_PERSO!M9&lt;=parametrage!$A$13,ISBLANK(VALO_PERSO!N9)),100%,IF(AND(VALO_PERSO!M9&gt;=parametrage!$A$13,ISBLANK(VALO_PERSO!N9)),((parametrage!$A$14-VALO_PERSO!M9+1)/365),IF(AND(VALO_PERSO!M9&lt;=parametrage!$A$13,AND(VALO_PERSO!N9&gt;parametrage!$A$13,VALO_PERSO!N9&lt;=parametrage!$A$14)),((VALO_PERSO!N9-parametrage!$A$13)/365),((VALO_PERSO!N9-VALO_PERSO!M9)/365))))</f>
        <v>0.24657534246575341</v>
      </c>
      <c r="P9" s="11">
        <f>VLOOKUP(F9,'Fiche pour valo'!A:I,6,0)</f>
        <v>8907.25</v>
      </c>
      <c r="Q9" s="11">
        <f>VLOOKUP(F9,'Fiche pour valo'!A:I,4,0)</f>
        <v>88.8</v>
      </c>
      <c r="R9" s="11">
        <f>VLOOKUP(F9,'Fiche pour valo'!A:I,8,0)</f>
        <v>3455.5</v>
      </c>
      <c r="S9" s="11">
        <f>VLOOKUP(F9,'Fiche pour valo'!A:I,5,0)</f>
        <v>3216.5999999999995</v>
      </c>
      <c r="T9" s="93">
        <f t="shared" ref="T9" si="82">IFERROR(R9/P9,0)</f>
        <v>0.38794240646664235</v>
      </c>
      <c r="U9" s="93">
        <f t="shared" ref="U9" si="83">IFERROR(S9/R9,0)</f>
        <v>0.93086384025466629</v>
      </c>
      <c r="V9" s="41">
        <f t="shared" ref="V9" si="84">P9+Q9+S9</f>
        <v>12212.649999999998</v>
      </c>
      <c r="W9" s="11">
        <f>VLOOKUP(F9,'Fiche pour valo'!A:I,9,0)</f>
        <v>480</v>
      </c>
      <c r="X9" s="41">
        <f t="shared" ref="X9" si="85">IF(ISBLANK(W9),0,V9/W9)</f>
        <v>25.443020833333328</v>
      </c>
      <c r="Y9" s="29">
        <f>VLOOKUP(F9,'HRECH V 8 avril'!B:F,4,0)</f>
        <v>267.28800000000001</v>
      </c>
      <c r="Z9" s="29">
        <f>VLOOKUP(F9,'HRECH V 8 avril'!B:F,5,0)</f>
        <v>0</v>
      </c>
      <c r="AA9" s="41"/>
      <c r="AB9" s="82">
        <f t="shared" ref="AB9" si="86">SUM(Y9:AA9)</f>
        <v>267.28800000000001</v>
      </c>
      <c r="AC9" s="94">
        <f t="shared" ref="AC9" si="87">IFERROR(AB9/W9,0)</f>
        <v>0.55685000000000007</v>
      </c>
      <c r="AE9" s="469"/>
      <c r="AF9" s="471"/>
      <c r="AG9" s="472"/>
      <c r="AH9" s="473"/>
      <c r="AJ9" s="469"/>
      <c r="AK9" s="471"/>
      <c r="AL9" s="472"/>
      <c r="AM9" s="473"/>
      <c r="AO9" s="29">
        <f t="shared" si="60"/>
        <v>6800.6141524999994</v>
      </c>
      <c r="AP9" s="29"/>
      <c r="AQ9" s="41"/>
      <c r="AR9" s="82">
        <f t="shared" si="55"/>
        <v>6800.6141524999994</v>
      </c>
      <c r="AT9" s="469"/>
      <c r="AU9" s="471"/>
      <c r="AV9" s="472"/>
      <c r="AX9" s="469"/>
      <c r="AY9" s="471"/>
      <c r="AZ9" s="472"/>
      <c r="BB9" s="11">
        <f t="shared" ref="BB9:BB10" si="88">W9-AB9-AG9-AL9</f>
        <v>212.71199999999999</v>
      </c>
      <c r="BC9" s="11">
        <f t="shared" ref="BC9:BC10" si="89">IF(AB9&gt;0,W9,0)</f>
        <v>480</v>
      </c>
      <c r="BD9" s="469"/>
      <c r="BE9" s="469"/>
    </row>
    <row r="10" spans="1:57" ht="15.75" x14ac:dyDescent="0.3">
      <c r="D10" s="85" t="b">
        <v>1</v>
      </c>
      <c r="E10" s="84" t="b">
        <v>1</v>
      </c>
      <c r="F10" s="11">
        <v>7</v>
      </c>
      <c r="G10" s="11" t="s">
        <v>889</v>
      </c>
      <c r="H10" s="11" t="s">
        <v>890</v>
      </c>
      <c r="I10" s="11" t="s">
        <v>930</v>
      </c>
      <c r="J10" s="11" t="s">
        <v>1016</v>
      </c>
      <c r="K10" s="11">
        <v>2021</v>
      </c>
      <c r="L10" s="11" t="s">
        <v>35</v>
      </c>
      <c r="M10" s="95">
        <v>45978</v>
      </c>
      <c r="N10" s="470"/>
      <c r="O10" s="172">
        <f>IF(AND(VALO_PERSO!M10&lt;=parametrage!$A$13,ISBLANK(VALO_PERSO!N10)),100%,IF(AND(VALO_PERSO!M10&gt;=parametrage!$A$13,ISBLANK(VALO_PERSO!N10)),((parametrage!$A$14-VALO_PERSO!M10+1)/365),IF(AND(VALO_PERSO!M10&lt;=parametrage!$A$13,AND(VALO_PERSO!N10&gt;parametrage!$A$13,VALO_PERSO!N10&lt;=parametrage!$A$14)),((VALO_PERSO!N10-parametrage!$A$13)/365),((VALO_PERSO!N10-VALO_PERSO!M10)/365))))</f>
        <v>0.12328767123287671</v>
      </c>
      <c r="P10" s="11">
        <f>VLOOKUP(F10,'Fiche pour valo'!A:I,6,0)</f>
        <v>3409.74</v>
      </c>
      <c r="Q10" s="11">
        <f>VLOOKUP(F10,'Fiche pour valo'!A:I,4,0)</f>
        <v>0</v>
      </c>
      <c r="R10" s="11">
        <f>VLOOKUP(F10,'Fiche pour valo'!A:I,8,0)</f>
        <v>603.63999999999987</v>
      </c>
      <c r="S10" s="11">
        <f>VLOOKUP(F10,'Fiche pour valo'!A:I,5,0)</f>
        <v>547.53</v>
      </c>
      <c r="T10" s="93">
        <f t="shared" ref="T10" si="90">IFERROR(R10/P10,0)</f>
        <v>0.17703402605477248</v>
      </c>
      <c r="U10" s="93">
        <f t="shared" ref="U10" si="91">IFERROR(S10/R10,0)</f>
        <v>0.90704724670333325</v>
      </c>
      <c r="V10" s="41">
        <f t="shared" ref="V10" si="92">P10+Q10+S10</f>
        <v>3957.2699999999995</v>
      </c>
      <c r="W10" s="11">
        <f>VLOOKUP(F10,'Fiche pour valo'!A:I,9,0)</f>
        <v>214.67</v>
      </c>
      <c r="X10" s="41">
        <f t="shared" ref="X10" si="93">IF(ISBLANK(W10),0,V10/W10)</f>
        <v>18.434201332277446</v>
      </c>
      <c r="Y10" s="29">
        <f>193.25</f>
        <v>193.25</v>
      </c>
      <c r="Z10" s="29">
        <f>VLOOKUP(F10,'HRECH V 8 avril'!B:F,5,0)</f>
        <v>0</v>
      </c>
      <c r="AA10" s="41"/>
      <c r="AB10" s="82">
        <f t="shared" ref="AB10" si="94">SUM(Y10:AA10)</f>
        <v>193.25</v>
      </c>
      <c r="AC10" s="94">
        <f t="shared" ref="AC10" si="95">IFERROR(AB10/W10,0)</f>
        <v>0.90021894069967867</v>
      </c>
      <c r="AE10" s="469"/>
      <c r="AF10" s="471"/>
      <c r="AG10" s="472"/>
      <c r="AH10" s="473"/>
      <c r="AJ10" s="469"/>
      <c r="AK10" s="471"/>
      <c r="AL10" s="472"/>
      <c r="AM10" s="473"/>
      <c r="AO10" s="29">
        <f t="shared" si="60"/>
        <v>3562.4094074626169</v>
      </c>
      <c r="AP10" s="29">
        <f t="shared" si="61"/>
        <v>0</v>
      </c>
      <c r="AQ10" s="41"/>
      <c r="AR10" s="82">
        <f t="shared" si="55"/>
        <v>3562.4094074626169</v>
      </c>
      <c r="AT10" s="469"/>
      <c r="AU10" s="471"/>
      <c r="AV10" s="472"/>
      <c r="AX10" s="469"/>
      <c r="AY10" s="471"/>
      <c r="AZ10" s="472"/>
      <c r="BB10" s="11">
        <f t="shared" si="88"/>
        <v>21.419999999999987</v>
      </c>
      <c r="BC10" s="11">
        <f t="shared" si="89"/>
        <v>214.67</v>
      </c>
      <c r="BD10" s="469"/>
      <c r="BE10" s="469"/>
    </row>
    <row r="11" spans="1:57" ht="15.75" x14ac:dyDescent="0.3">
      <c r="D11" s="85" t="b">
        <v>1</v>
      </c>
      <c r="E11" s="84" t="b">
        <v>1</v>
      </c>
      <c r="F11" s="11">
        <v>8</v>
      </c>
      <c r="G11" s="11" t="s">
        <v>891</v>
      </c>
      <c r="H11" s="11" t="s">
        <v>892</v>
      </c>
      <c r="I11" s="11" t="s">
        <v>1024</v>
      </c>
      <c r="J11" s="11" t="s">
        <v>1023</v>
      </c>
      <c r="K11" s="11">
        <v>2022</v>
      </c>
      <c r="L11" s="11" t="s">
        <v>22</v>
      </c>
      <c r="M11" s="95">
        <v>45985</v>
      </c>
      <c r="N11" s="470"/>
      <c r="O11" s="172">
        <f>IF(AND(VALO_PERSO!M11&lt;=parametrage!$A$13,ISBLANK(VALO_PERSO!N11)),100%,IF(AND(VALO_PERSO!M11&gt;=parametrage!$A$13,ISBLANK(VALO_PERSO!N11)),((parametrage!$A$14-VALO_PERSO!M11+1)/365),IF(AND(VALO_PERSO!M11&lt;=parametrage!$A$13,AND(VALO_PERSO!N11&gt;parametrage!$A$13,VALO_PERSO!N11&lt;=parametrage!$A$14)),((VALO_PERSO!N11-parametrage!$A$13)/365),((VALO_PERSO!N11-VALO_PERSO!M11)/365))))</f>
        <v>0.10410958904109589</v>
      </c>
      <c r="P11" s="11">
        <f>VLOOKUP(F11,'Fiche pour valo'!A:I,6,0)</f>
        <v>4184.6000000000004</v>
      </c>
      <c r="Q11" s="11">
        <f>VLOOKUP(F11,'Fiche pour valo'!A:I,4,0)</f>
        <v>88.8</v>
      </c>
      <c r="R11" s="11">
        <f>VLOOKUP(F11,'Fiche pour valo'!A:I,8,0)</f>
        <v>765.09999999999991</v>
      </c>
      <c r="S11" s="11">
        <f>VLOOKUP(F11,'Fiche pour valo'!A:I,5,0)</f>
        <v>654.37</v>
      </c>
      <c r="T11" s="93">
        <f t="shared" ref="T11" si="96">IFERROR(R11/P11,0)</f>
        <v>0.18283706925393103</v>
      </c>
      <c r="U11" s="93">
        <f t="shared" ref="U11" si="97">IFERROR(S11/R11,0)</f>
        <v>0.85527382041563205</v>
      </c>
      <c r="V11" s="41">
        <f>P11+Q11+S11</f>
        <v>4927.7700000000004</v>
      </c>
      <c r="W11" s="11">
        <f>VLOOKUP(F11,'Fiche pour valo'!A:I,9,0)</f>
        <v>186.67</v>
      </c>
      <c r="X11" s="41">
        <f t="shared" ref="X11" si="98">IF(ISBLANK(W11),0,V11/W11)</f>
        <v>26.398296458991808</v>
      </c>
      <c r="Y11" s="29">
        <f>VLOOKUP(F11,'HRECH V 8 avril'!B:F,4,0)</f>
        <v>168</v>
      </c>
      <c r="Z11" s="29">
        <f>VLOOKUP(F11,'HRECH V 8 avril'!B:F,5,0)</f>
        <v>0</v>
      </c>
      <c r="AA11" s="41"/>
      <c r="AB11" s="82">
        <f t="shared" ref="AB11" si="99">SUM(Y11:AA11)</f>
        <v>168</v>
      </c>
      <c r="AC11" s="94">
        <f t="shared" ref="AC11" si="100">IFERROR(AB11/W11,0)</f>
        <v>0.89998392885841327</v>
      </c>
      <c r="AE11" s="469"/>
      <c r="AF11" s="471"/>
      <c r="AG11" s="472"/>
      <c r="AH11" s="473"/>
      <c r="AJ11" s="469"/>
      <c r="AK11" s="471"/>
      <c r="AL11" s="472"/>
      <c r="AM11" s="473"/>
      <c r="AO11" s="29">
        <f t="shared" ref="AO11" si="101">IFERROR(Y11*$V11/$W11,0)</f>
        <v>4434.9138051106238</v>
      </c>
      <c r="AP11" s="29">
        <f t="shared" ref="AP11" si="102">IFERROR(Z11*$V11/$W11,0)</f>
        <v>0</v>
      </c>
      <c r="AQ11" s="41"/>
      <c r="AR11" s="82">
        <f>SUM(AO11:AQ11)</f>
        <v>4434.9138051106238</v>
      </c>
      <c r="AT11" s="469"/>
      <c r="AU11" s="471"/>
      <c r="AV11" s="472"/>
      <c r="AX11" s="469"/>
      <c r="AY11" s="471"/>
      <c r="AZ11" s="472"/>
      <c r="BB11" s="11">
        <f t="shared" ref="BB11" si="103">W11-AB11-AG11-AL11</f>
        <v>18.669999999999987</v>
      </c>
      <c r="BC11" s="11">
        <f t="shared" ref="BC11" si="104">IF(AB11&gt;0,W11,0)</f>
        <v>186.67</v>
      </c>
      <c r="BD11" s="469"/>
      <c r="BE11" s="469"/>
    </row>
    <row r="12" spans="1:57" ht="15.75" thickBot="1" x14ac:dyDescent="0.3">
      <c r="D12" s="61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5" t="s">
        <v>360</v>
      </c>
      <c r="Y12" s="66">
        <f>SUM(Y5:Y11)</f>
        <v>3513.538</v>
      </c>
      <c r="Z12" s="66">
        <f t="shared" ref="Z12:AB12" si="105">SUM(Z5:Z11)</f>
        <v>1302</v>
      </c>
      <c r="AA12" s="66">
        <f t="shared" si="105"/>
        <v>0</v>
      </c>
      <c r="AB12" s="66">
        <f t="shared" si="105"/>
        <v>4815.5380000000005</v>
      </c>
      <c r="AC12" s="79"/>
      <c r="AE12" s="66">
        <f>SUM(AE5:AE6)</f>
        <v>0</v>
      </c>
      <c r="AF12" s="68">
        <f>SUM(AF5:AF6)</f>
        <v>0</v>
      </c>
      <c r="AG12" s="66">
        <f>SUM(AG5:AG6)</f>
        <v>0</v>
      </c>
      <c r="AH12" s="79"/>
      <c r="AJ12" s="66">
        <f>SUM(AJ5:AJ6)</f>
        <v>0</v>
      </c>
      <c r="AK12" s="68">
        <f>SUM(AK5:AK6)</f>
        <v>0</v>
      </c>
      <c r="AL12" s="66">
        <f>SUM(AL5:AL6)</f>
        <v>0</v>
      </c>
      <c r="AM12" s="79"/>
      <c r="AO12" s="66">
        <f>SUM(AO5:AO11)</f>
        <v>139451.0428253783</v>
      </c>
      <c r="AP12" s="66">
        <f t="shared" ref="AP12:AR12" si="106">SUM(AP5:AP11)</f>
        <v>52232.884144396317</v>
      </c>
      <c r="AQ12" s="66">
        <f t="shared" si="106"/>
        <v>0</v>
      </c>
      <c r="AR12" s="66">
        <f t="shared" si="106"/>
        <v>191683.92696977462</v>
      </c>
      <c r="AT12" s="66">
        <f>SUM(AT5:AT6)</f>
        <v>0</v>
      </c>
      <c r="AU12" s="68">
        <f>SUM(AU5:AU6)</f>
        <v>0</v>
      </c>
      <c r="AV12" s="66">
        <f>SUM(AV5:AV6)</f>
        <v>0</v>
      </c>
      <c r="AX12" s="66">
        <f>SUM(AX5:AX6)</f>
        <v>0</v>
      </c>
      <c r="AY12" s="68">
        <f>SUM(AY5:AY6)</f>
        <v>0</v>
      </c>
      <c r="AZ12" s="66">
        <f>SUM(AZ5:AZ6)</f>
        <v>0</v>
      </c>
      <c r="BB12" s="66">
        <f>SUM(BB5:BB10)</f>
        <v>1285.6019999999999</v>
      </c>
      <c r="BC12" s="66">
        <f t="shared" ref="BC12:BE12" si="107">SUM(BC5:BC10)</f>
        <v>5933.1399999999994</v>
      </c>
      <c r="BD12" s="66">
        <f t="shared" si="107"/>
        <v>0</v>
      </c>
      <c r="BE12" s="66">
        <f t="shared" si="107"/>
        <v>0</v>
      </c>
    </row>
    <row r="14" spans="1:57" ht="15.75" thickBot="1" x14ac:dyDescent="0.3">
      <c r="T14" s="215"/>
      <c r="U14" s="215"/>
      <c r="V14" s="215"/>
      <c r="W14" s="215"/>
      <c r="X14" s="216" t="s">
        <v>501</v>
      </c>
      <c r="AO14" s="66"/>
      <c r="AP14" s="66"/>
      <c r="AQ14" s="66" t="e">
        <f>AA5/AD5*'Calcul FF'!Q18</f>
        <v>#DIV/0!</v>
      </c>
      <c r="AR14" s="66"/>
    </row>
    <row r="16" spans="1:57" ht="15.75" thickBot="1" x14ac:dyDescent="0.3">
      <c r="T16" s="62"/>
      <c r="U16" s="62"/>
      <c r="V16" s="62"/>
      <c r="W16" s="62"/>
      <c r="X16" s="65" t="s">
        <v>502</v>
      </c>
      <c r="AO16" s="66">
        <f>AO12-AO14</f>
        <v>139451.0428253783</v>
      </c>
      <c r="AP16" s="66">
        <f>AP12-AP14</f>
        <v>52232.884144396317</v>
      </c>
      <c r="AR16" s="66">
        <f>SUM(AO16:AQ16)</f>
        <v>191683.92696977462</v>
      </c>
    </row>
  </sheetData>
  <conditionalFormatting sqref="D7:L7 D5:I6 L5:L6 D8:M11">
    <cfRule type="expression" dxfId="67" priority="13">
      <formula>$B5&gt;0</formula>
    </cfRule>
  </conditionalFormatting>
  <conditionalFormatting sqref="F12:F1048576 F1:F7 F8:M11">
    <cfRule type="duplicateValues" dxfId="66" priority="12"/>
  </conditionalFormatting>
  <conditionalFormatting sqref="T2:T1048576">
    <cfRule type="top10" dxfId="65" priority="6" bottom="1" rank="3"/>
    <cfRule type="top10" dxfId="64" priority="7" rank="3"/>
  </conditionalFormatting>
  <conditionalFormatting sqref="U2:U1048576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{F8DBB1C6-B42E-4ED8-AD1A-442D9ED2F16A}</x14:id>
        </ext>
      </extLst>
    </cfRule>
  </conditionalFormatting>
  <conditionalFormatting sqref="P3:S3">
    <cfRule type="duplicateValues" dxfId="63" priority="4"/>
  </conditionalFormatting>
  <conditionalFormatting sqref="W3">
    <cfRule type="duplicateValues" dxfId="62" priority="3"/>
  </conditionalFormatting>
  <conditionalFormatting sqref="J5:K5">
    <cfRule type="expression" dxfId="61" priority="2">
      <formula>$B5&gt;0</formula>
    </cfRule>
  </conditionalFormatting>
  <conditionalFormatting sqref="J6:K6">
    <cfRule type="expression" dxfId="60" priority="1">
      <formula>$B6&gt;0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9" r:id="rId3" name="Button 17">
              <controlPr defaultSize="0" print="0" autoFill="0" autoPict="0" macro="[0]!InsererColonneMultiple">
                <anchor moveWithCells="1" sizeWithCells="1">
                  <from>
                    <xdr:col>8</xdr:col>
                    <xdr:colOff>1047750</xdr:colOff>
                    <xdr:row>1</xdr:row>
                    <xdr:rowOff>19050</xdr:rowOff>
                  </from>
                  <to>
                    <xdr:col>9</xdr:col>
                    <xdr:colOff>742950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4" name="Button 18">
              <controlPr defaultSize="0" print="0" autoFill="0" autoPict="0" macro="[0]!Module13.DupliquerLignesAvecTexteDansToutesFeuilles">
                <anchor moveWithCells="1" sizeWithCells="1">
                  <from>
                    <xdr:col>3</xdr:col>
                    <xdr:colOff>47625</xdr:colOff>
                    <xdr:row>1</xdr:row>
                    <xdr:rowOff>0</xdr:rowOff>
                  </from>
                  <to>
                    <xdr:col>6</xdr:col>
                    <xdr:colOff>123825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8DBB1C6-B42E-4ED8-AD1A-442D9ED2F1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U2:U1048576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F5E0E3F-2BA8-4704-BD6D-B5A98BDCEF68}">
          <x14:formula1>
            <xm:f>parametrage!$P$2:$P$11</xm:f>
          </x14:formula1>
          <xm:sqref>L5:L11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A4C9A-58EE-474B-B742-756A224D741F}">
  <sheetPr codeName="Feuil23">
    <tabColor rgb="FF2D44EA"/>
  </sheetPr>
  <dimension ref="A1:AO14"/>
  <sheetViews>
    <sheetView showGridLines="0" topLeftCell="A2" workbookViewId="0">
      <selection activeCell="P32" sqref="P32"/>
    </sheetView>
  </sheetViews>
  <sheetFormatPr baseColWidth="10" defaultColWidth="11.42578125" defaultRowHeight="15" outlineLevelCol="1" x14ac:dyDescent="0.25"/>
  <cols>
    <col min="2" max="2" width="7.28515625" customWidth="1"/>
    <col min="3" max="3" width="15.85546875" customWidth="1"/>
    <col min="4" max="4" width="15.85546875" customWidth="1" outlineLevel="1"/>
    <col min="5" max="5" width="22.28515625" bestFit="1" customWidth="1"/>
    <col min="7" max="7" width="10.140625" customWidth="1"/>
    <col min="8" max="8" width="10" style="77" customWidth="1"/>
    <col min="9" max="9" width="8.42578125" style="77" customWidth="1"/>
    <col min="10" max="10" width="8.28515625" customWidth="1"/>
    <col min="14" max="14" width="11.5703125" style="43" outlineLevel="1"/>
    <col min="15" max="15" width="11.42578125" style="43" outlineLevel="1"/>
    <col min="16" max="16" width="11.5703125" style="43" outlineLevel="1"/>
    <col min="17" max="17" width="1.7109375" customWidth="1"/>
    <col min="18" max="18" width="11.5703125" style="43" hidden="1" customWidth="1" outlineLevel="1"/>
    <col min="19" max="19" width="11.5703125" style="69" hidden="1" customWidth="1" outlineLevel="1"/>
    <col min="20" max="20" width="11.5703125" style="43" hidden="1" customWidth="1" outlineLevel="1"/>
    <col min="21" max="21" width="1.7109375" hidden="1" customWidth="1" collapsed="1"/>
    <col min="22" max="22" width="11.5703125" style="43" hidden="1" customWidth="1" outlineLevel="1"/>
    <col min="23" max="23" width="11.5703125" style="69" hidden="1" customWidth="1" outlineLevel="1"/>
    <col min="24" max="24" width="11.5703125" style="43" hidden="1" customWidth="1" outlineLevel="1"/>
    <col min="25" max="25" width="1.7109375" customWidth="1" collapsed="1"/>
    <col min="26" max="26" width="11.5703125" style="43" outlineLevel="1"/>
    <col min="27" max="27" width="11.42578125" style="43" outlineLevel="1"/>
    <col min="28" max="28" width="11.5703125" style="43" outlineLevel="1"/>
    <col min="29" max="29" width="1.7109375" customWidth="1"/>
    <col min="30" max="30" width="11.5703125" style="43" hidden="1" customWidth="1" outlineLevel="1"/>
    <col min="31" max="31" width="11.5703125" style="69" hidden="1" customWidth="1" outlineLevel="1"/>
    <col min="32" max="32" width="11.5703125" style="43" hidden="1" customWidth="1" outlineLevel="1"/>
    <col min="33" max="33" width="1.7109375" hidden="1" customWidth="1" collapsed="1"/>
    <col min="34" max="34" width="11.5703125" style="43" hidden="1" customWidth="1" outlineLevel="1"/>
    <col min="35" max="35" width="11.5703125" style="69" hidden="1" customWidth="1" outlineLevel="1"/>
    <col min="36" max="36" width="11.5703125" style="43" hidden="1" customWidth="1" outlineLevel="1"/>
    <col min="37" max="37" width="1.7109375" customWidth="1" collapsed="1"/>
    <col min="38" max="39" width="11.5703125" style="76"/>
    <col min="40" max="41" width="0" style="76" hidden="1" customWidth="1"/>
  </cols>
  <sheetData>
    <row r="1" spans="1:41" ht="15.75" thickBot="1" x14ac:dyDescent="0.3">
      <c r="E1" s="99"/>
      <c r="F1" s="99"/>
      <c r="G1" s="99"/>
      <c r="H1"/>
      <c r="I1"/>
      <c r="N1" s="45" t="s">
        <v>13</v>
      </c>
      <c r="O1" s="45" t="s">
        <v>13</v>
      </c>
      <c r="P1" s="45"/>
      <c r="R1" s="45" t="s">
        <v>27</v>
      </c>
      <c r="S1" s="70"/>
      <c r="T1" s="45"/>
      <c r="V1" s="45" t="s">
        <v>38</v>
      </c>
      <c r="W1" s="70"/>
      <c r="X1" s="45"/>
      <c r="Z1" s="45" t="s">
        <v>13</v>
      </c>
      <c r="AA1" s="45" t="s">
        <v>13</v>
      </c>
      <c r="AB1" s="45"/>
      <c r="AD1" s="45" t="s">
        <v>27</v>
      </c>
      <c r="AE1" s="70"/>
      <c r="AF1" s="45"/>
      <c r="AH1" s="45" t="s">
        <v>38</v>
      </c>
      <c r="AI1" s="70"/>
      <c r="AJ1" s="45"/>
    </row>
    <row r="2" spans="1:41" ht="60.75" thickBot="1" x14ac:dyDescent="0.3">
      <c r="B2" s="64" t="s">
        <v>474</v>
      </c>
      <c r="C2" s="64" t="s">
        <v>367</v>
      </c>
      <c r="D2" s="64" t="s">
        <v>368</v>
      </c>
      <c r="E2" s="64" t="s">
        <v>369</v>
      </c>
      <c r="F2" s="64" t="s">
        <v>475</v>
      </c>
      <c r="G2" s="64" t="s">
        <v>476</v>
      </c>
      <c r="H2" s="78" t="s">
        <v>481</v>
      </c>
      <c r="I2" s="78" t="s">
        <v>483</v>
      </c>
      <c r="J2" s="75" t="s">
        <v>484</v>
      </c>
      <c r="K2" s="75" t="s">
        <v>487</v>
      </c>
      <c r="L2" s="75" t="s">
        <v>488</v>
      </c>
      <c r="M2" s="75" t="s">
        <v>489</v>
      </c>
      <c r="N2" s="49" t="str">
        <f>'REP cout'!B4</f>
        <v>Opération 1: Bioluminescence</v>
      </c>
      <c r="O2" s="49" t="str">
        <f>'REP cout'!C4</f>
        <v>Opération 2: Nouveaux outils</v>
      </c>
      <c r="P2" s="47" t="s">
        <v>490</v>
      </c>
      <c r="R2" s="47" t="str">
        <f>'REP cout'!I32</f>
        <v>Projet 1</v>
      </c>
      <c r="S2" s="67" t="s">
        <v>458</v>
      </c>
      <c r="T2" s="47" t="s">
        <v>491</v>
      </c>
      <c r="V2" s="47" t="str">
        <f>'REP cout'!O32</f>
        <v>Nom projet</v>
      </c>
      <c r="W2" s="67" t="s">
        <v>458</v>
      </c>
      <c r="X2" s="47" t="s">
        <v>492</v>
      </c>
      <c r="Z2" s="49" t="str">
        <f>'REP cout'!B4</f>
        <v>Opération 1: Bioluminescence</v>
      </c>
      <c r="AA2" s="49" t="str">
        <f>'REP cout'!C4</f>
        <v>Opération 2: Nouveaux outils</v>
      </c>
      <c r="AB2" s="47" t="s">
        <v>494</v>
      </c>
      <c r="AD2" s="47" t="str">
        <f>R2</f>
        <v>Projet 1</v>
      </c>
      <c r="AE2" s="67" t="s">
        <v>458</v>
      </c>
      <c r="AF2" s="47" t="s">
        <v>495</v>
      </c>
      <c r="AH2" s="47" t="str">
        <f>V2</f>
        <v>Nom projet</v>
      </c>
      <c r="AI2" s="67" t="s">
        <v>458</v>
      </c>
      <c r="AJ2" s="47" t="s">
        <v>496</v>
      </c>
      <c r="AL2" s="92" t="s">
        <v>497</v>
      </c>
      <c r="AM2" s="92" t="s">
        <v>498</v>
      </c>
      <c r="AN2" s="92" t="s">
        <v>499</v>
      </c>
      <c r="AO2" s="92" t="s">
        <v>500</v>
      </c>
    </row>
    <row r="3" spans="1:41" ht="15.75" x14ac:dyDescent="0.3">
      <c r="A3" s="112"/>
      <c r="B3" s="11">
        <f>VALO_PERSO!F5</f>
        <v>1</v>
      </c>
      <c r="C3" s="11" t="str">
        <f>VALO_PERSO!G5</f>
        <v>CIEREN</v>
      </c>
      <c r="D3" s="11" t="str">
        <f>VALO_PERSO!H5</f>
        <v>Marion</v>
      </c>
      <c r="E3" s="11" t="str">
        <f>VALO_PERSO!I5</f>
        <v>Chef de Projet R&amp;D</v>
      </c>
      <c r="F3" s="11" t="str">
        <f>VALO_PERSO!J5</f>
        <v>UPMC Sorbonne + Doctorat</v>
      </c>
      <c r="G3" s="11">
        <f>VALO_PERSO!K5</f>
        <v>2017</v>
      </c>
      <c r="H3" s="11">
        <f>VALO_PERSO!P5</f>
        <v>35345.21</v>
      </c>
      <c r="I3" s="11">
        <f>VALO_PERSO!R5</f>
        <v>6695.4499999999989</v>
      </c>
      <c r="J3" s="11">
        <f>VALO_PERSO!S5</f>
        <v>6100.94</v>
      </c>
      <c r="K3" s="29">
        <f>VALO_PERSO!V5</f>
        <v>41446.15</v>
      </c>
      <c r="L3" s="29">
        <f>VALO_PERSO!W5</f>
        <v>1019.12</v>
      </c>
      <c r="M3" s="29">
        <f>VALO_PERSO!X5</f>
        <v>40.668566998979514</v>
      </c>
      <c r="N3" s="11">
        <f>VALO_PERSO!Y5</f>
        <v>816</v>
      </c>
      <c r="O3" s="11">
        <f>VALO_PERSO!Z5</f>
        <v>168</v>
      </c>
      <c r="P3" s="82">
        <f>VALO_PERSO!AB5</f>
        <v>984</v>
      </c>
      <c r="R3" s="11">
        <f>VALO_PERSO!AE5</f>
        <v>0</v>
      </c>
      <c r="S3" s="41"/>
      <c r="T3" s="82">
        <f>VALO_PERSO!AG5</f>
        <v>0</v>
      </c>
      <c r="V3" s="11">
        <f>VALO_PERSO!AJ5</f>
        <v>0</v>
      </c>
      <c r="W3" s="41"/>
      <c r="X3" s="82">
        <f>VALO_PERSO!AL5</f>
        <v>0</v>
      </c>
      <c r="Z3" s="29">
        <f>VALO_PERSO!AO5</f>
        <v>33185.550671167279</v>
      </c>
      <c r="AA3" s="29">
        <f>VALO_PERSO!AP5</f>
        <v>6832.3192558285582</v>
      </c>
      <c r="AB3" s="82">
        <f>VALO_PERSO!AR5</f>
        <v>40017.869926995838</v>
      </c>
      <c r="AD3" s="11">
        <f>VALO_PERSO!AT5</f>
        <v>0</v>
      </c>
      <c r="AE3" s="41"/>
      <c r="AF3" s="82">
        <f>VALO_PERSO!AV5</f>
        <v>0</v>
      </c>
      <c r="AH3" s="11">
        <f>VALO_PERSO!AX5</f>
        <v>0</v>
      </c>
      <c r="AI3" s="41"/>
      <c r="AJ3" s="82">
        <f>VALO_PERSO!AZ5</f>
        <v>0</v>
      </c>
      <c r="AL3" s="11">
        <f>VALO_PERSO!BB5</f>
        <v>35.120000000000005</v>
      </c>
      <c r="AM3" s="11">
        <f>VALO_PERSO!BC5</f>
        <v>1019.12</v>
      </c>
      <c r="AN3" s="11">
        <f>VALO_PERSO!BD5</f>
        <v>0</v>
      </c>
      <c r="AO3" s="11">
        <f>VALO_PERSO!BE5</f>
        <v>0</v>
      </c>
    </row>
    <row r="4" spans="1:41" ht="15.75" x14ac:dyDescent="0.3">
      <c r="B4" s="11">
        <f>VALO_PERSO!F6</f>
        <v>3</v>
      </c>
      <c r="C4" s="11" t="str">
        <f>VALO_PERSO!G6</f>
        <v>JONDOT</v>
      </c>
      <c r="D4" s="11" t="str">
        <f>VALO_PERSO!H6</f>
        <v>Keita</v>
      </c>
      <c r="E4" s="11" t="str">
        <f>VALO_PERSO!I6</f>
        <v>Ingénieur R&amp;D</v>
      </c>
      <c r="F4" s="11" t="str">
        <f>VALO_PERSO!J6</f>
        <v>Université Grenoble Alpes + Master of Sciences et Management des Biotechnologies</v>
      </c>
      <c r="G4" s="11">
        <f>VALO_PERSO!K6</f>
        <v>2023</v>
      </c>
      <c r="H4" s="11">
        <f>VALO_PERSO!P6</f>
        <v>29800.33</v>
      </c>
      <c r="I4" s="11">
        <f>VALO_PERSO!R6</f>
        <v>5451.3200000000006</v>
      </c>
      <c r="J4" s="11">
        <f>VALO_PERSO!S6</f>
        <v>4950.05</v>
      </c>
      <c r="K4" s="29">
        <f>VALO_PERSO!V6</f>
        <v>34750.380000000005</v>
      </c>
      <c r="L4" s="29">
        <f>VALO_PERSO!W6</f>
        <v>1448</v>
      </c>
      <c r="M4" s="29">
        <f>VALO_PERSO!X6</f>
        <v>23.998881215469616</v>
      </c>
      <c r="N4" s="11">
        <f>VALO_PERSO!Y6</f>
        <v>942</v>
      </c>
      <c r="O4" s="11">
        <f>VALO_PERSO!Z6</f>
        <v>352</v>
      </c>
      <c r="P4" s="82">
        <f>VALO_PERSO!AB6</f>
        <v>1294</v>
      </c>
      <c r="R4" s="11">
        <f>VALO_PERSO!AE6</f>
        <v>0</v>
      </c>
      <c r="S4" s="41"/>
      <c r="T4" s="82">
        <f>VALO_PERSO!AG6</f>
        <v>0</v>
      </c>
      <c r="V4" s="11">
        <f>VALO_PERSO!AJ6</f>
        <v>0</v>
      </c>
      <c r="W4" s="41"/>
      <c r="X4" s="82">
        <f>VALO_PERSO!AL6</f>
        <v>0</v>
      </c>
      <c r="Z4" s="29">
        <f>VALO_PERSO!AO6</f>
        <v>22606.94610497238</v>
      </c>
      <c r="AA4" s="29">
        <f>VALO_PERSO!AP6</f>
        <v>8447.6061878453056</v>
      </c>
      <c r="AB4" s="82">
        <f>VALO_PERSO!AR6</f>
        <v>31054.552292817687</v>
      </c>
      <c r="AD4" s="11">
        <f>VALO_PERSO!AT6</f>
        <v>0</v>
      </c>
      <c r="AE4" s="41"/>
      <c r="AF4" s="82">
        <f>VALO_PERSO!AV6</f>
        <v>0</v>
      </c>
      <c r="AH4" s="11">
        <f>VALO_PERSO!AX6</f>
        <v>0</v>
      </c>
      <c r="AI4" s="41"/>
      <c r="AJ4" s="82">
        <f>VALO_PERSO!AZ6</f>
        <v>0</v>
      </c>
      <c r="AL4" s="11">
        <f>VALO_PERSO!BB6</f>
        <v>154</v>
      </c>
      <c r="AM4" s="11">
        <f>VALO_PERSO!BC6</f>
        <v>1448</v>
      </c>
      <c r="AN4" s="11">
        <f>VALO_PERSO!BD6</f>
        <v>0</v>
      </c>
      <c r="AO4" s="11">
        <f>VALO_PERSO!BE6</f>
        <v>0</v>
      </c>
    </row>
    <row r="5" spans="1:41" ht="15.75" x14ac:dyDescent="0.3">
      <c r="B5" s="11">
        <f>VALO_PERSO!F7</f>
        <v>4</v>
      </c>
      <c r="C5" s="11" t="str">
        <f>VALO_PERSO!G7</f>
        <v>POHER</v>
      </c>
      <c r="D5" s="11" t="str">
        <f>VALO_PERSO!H7</f>
        <v>Vincent</v>
      </c>
      <c r="E5" s="11" t="str">
        <f>VALO_PERSO!I7</f>
        <v>PDG</v>
      </c>
      <c r="F5" s="11" t="str">
        <f>VALO_PERSO!J7</f>
        <v>Imperial College London + Doctor of Philosophy</v>
      </c>
      <c r="G5" s="11">
        <f>VALO_PERSO!K7</f>
        <v>2008</v>
      </c>
      <c r="H5" s="11">
        <f>VALO_PERSO!P7</f>
        <v>88000</v>
      </c>
      <c r="I5" s="11">
        <f>VALO_PERSO!R7</f>
        <v>15493.130000000001</v>
      </c>
      <c r="J5" s="11">
        <f>VALO_PERSO!S7</f>
        <v>14071.820000000002</v>
      </c>
      <c r="K5" s="29">
        <f>VALO_PERSO!V7</f>
        <v>102071.82</v>
      </c>
      <c r="L5" s="29">
        <f>VALO_PERSO!W7</f>
        <v>1365.03</v>
      </c>
      <c r="M5" s="29">
        <f>VALO_PERSO!X7</f>
        <v>74.776246675897241</v>
      </c>
      <c r="N5" s="11">
        <f>VALO_PERSO!Y7</f>
        <v>567</v>
      </c>
      <c r="O5" s="11">
        <f>VALO_PERSO!Z7</f>
        <v>0</v>
      </c>
      <c r="P5" s="82">
        <f>VALO_PERSO!AB7</f>
        <v>567</v>
      </c>
      <c r="R5" s="11">
        <f>VALO_PERSO!AE7</f>
        <v>0</v>
      </c>
      <c r="S5" s="41"/>
      <c r="T5" s="82">
        <f>VALO_PERSO!AG7</f>
        <v>0</v>
      </c>
      <c r="V5" s="11">
        <f>VALO_PERSO!AJ7</f>
        <v>0</v>
      </c>
      <c r="W5" s="41"/>
      <c r="X5" s="82">
        <f>VALO_PERSO!AL7</f>
        <v>0</v>
      </c>
      <c r="Z5" s="29">
        <f>VALO_PERSO!AO7</f>
        <v>42398.131865233736</v>
      </c>
      <c r="AA5" s="29">
        <f>VALO_PERSO!AP7</f>
        <v>0</v>
      </c>
      <c r="AB5" s="82">
        <f>VALO_PERSO!AR7</f>
        <v>42398.131865233736</v>
      </c>
      <c r="AD5" s="11">
        <f>VALO_PERSO!AT7</f>
        <v>0</v>
      </c>
      <c r="AE5" s="41"/>
      <c r="AF5" s="82">
        <f>VALO_PERSO!AV7</f>
        <v>0</v>
      </c>
      <c r="AH5" s="11">
        <f>VALO_PERSO!AX7</f>
        <v>0</v>
      </c>
      <c r="AI5" s="41"/>
      <c r="AJ5" s="82">
        <f>VALO_PERSO!AZ7</f>
        <v>0</v>
      </c>
      <c r="AL5" s="11">
        <f>VALO_PERSO!BB7</f>
        <v>798.03</v>
      </c>
      <c r="AM5" s="11">
        <f>VALO_PERSO!BC7</f>
        <v>1365.03</v>
      </c>
      <c r="AN5" s="469"/>
      <c r="AO5" s="469"/>
    </row>
    <row r="6" spans="1:41" ht="15.75" x14ac:dyDescent="0.3">
      <c r="B6" s="11">
        <f>VALO_PERSO!F8</f>
        <v>5</v>
      </c>
      <c r="C6" s="11" t="str">
        <f>VALO_PERSO!G8</f>
        <v>SPIACZKA</v>
      </c>
      <c r="D6" s="11" t="str">
        <f>VALO_PERSO!H8</f>
        <v>Johanna</v>
      </c>
      <c r="E6" s="11" t="str">
        <f>VALO_PERSO!I8</f>
        <v xml:space="preserve">Directrice Technique </v>
      </c>
      <c r="F6" s="11" t="str">
        <f>VALO_PERSO!J8</f>
        <v>Université Grenoble 1 + Doctorat</v>
      </c>
      <c r="G6" s="11">
        <f>VALO_PERSO!K8</f>
        <v>2008</v>
      </c>
      <c r="H6" s="11">
        <f>VALO_PERSO!P8</f>
        <v>55632.78</v>
      </c>
      <c r="I6" s="11">
        <f>VALO_PERSO!R8</f>
        <v>11737.730000000001</v>
      </c>
      <c r="J6" s="11">
        <f>VALO_PERSO!S8</f>
        <v>10822.060000000001</v>
      </c>
      <c r="K6" s="29">
        <f>VALO_PERSO!V8</f>
        <v>66454.84</v>
      </c>
      <c r="L6" s="29">
        <f>VALO_PERSO!W8</f>
        <v>1406.32</v>
      </c>
      <c r="M6" s="29">
        <f>VALO_PERSO!X8</f>
        <v>47.254422890949428</v>
      </c>
      <c r="N6" s="11">
        <f>VALO_PERSO!Y8</f>
        <v>560</v>
      </c>
      <c r="O6" s="11">
        <f>VALO_PERSO!Z8</f>
        <v>782</v>
      </c>
      <c r="P6" s="82">
        <f>VALO_PERSO!AB8</f>
        <v>1342</v>
      </c>
      <c r="R6" s="11">
        <f>VALO_PERSO!AE8</f>
        <v>0</v>
      </c>
      <c r="S6" s="41"/>
      <c r="T6" s="82">
        <f>VALO_PERSO!AG8</f>
        <v>0</v>
      </c>
      <c r="V6" s="11">
        <f>VALO_PERSO!AJ8</f>
        <v>0</v>
      </c>
      <c r="W6" s="41"/>
      <c r="X6" s="82">
        <f>VALO_PERSO!AL8</f>
        <v>0</v>
      </c>
      <c r="Z6" s="29">
        <f>VALO_PERSO!AO8</f>
        <v>26462.476818931678</v>
      </c>
      <c r="AA6" s="29">
        <f>VALO_PERSO!AP8</f>
        <v>36952.958700722455</v>
      </c>
      <c r="AB6" s="82">
        <f>VALO_PERSO!AR8</f>
        <v>63415.435519654129</v>
      </c>
      <c r="AD6" s="11">
        <f>VALO_PERSO!AT8</f>
        <v>0</v>
      </c>
      <c r="AE6" s="41"/>
      <c r="AF6" s="82">
        <f>VALO_PERSO!AV8</f>
        <v>0</v>
      </c>
      <c r="AH6" s="11">
        <f>VALO_PERSO!AX8</f>
        <v>0</v>
      </c>
      <c r="AI6" s="41"/>
      <c r="AJ6" s="82">
        <f>VALO_PERSO!AZ8</f>
        <v>0</v>
      </c>
      <c r="AL6" s="11">
        <f>VALO_PERSO!BB8</f>
        <v>64.319999999999936</v>
      </c>
      <c r="AM6" s="11">
        <f>VALO_PERSO!BC8</f>
        <v>1406.32</v>
      </c>
      <c r="AN6" s="469"/>
      <c r="AO6" s="469"/>
    </row>
    <row r="7" spans="1:41" ht="15.75" x14ac:dyDescent="0.3">
      <c r="B7" s="11">
        <f>VALO_PERSO!F9</f>
        <v>6</v>
      </c>
      <c r="C7" s="11" t="str">
        <f>VALO_PERSO!G9</f>
        <v>ROBLIN</v>
      </c>
      <c r="D7" s="11" t="str">
        <f>VALO_PERSO!H9</f>
        <v>Tom</v>
      </c>
      <c r="E7" s="11" t="str">
        <f>VALO_PERSO!I9</f>
        <v>Doctorant</v>
      </c>
      <c r="F7" s="11" t="str">
        <f>VALO_PERSO!J9</f>
        <v>INSA Lyon + Diplôme d'Ingénieur</v>
      </c>
      <c r="G7" s="11">
        <f>VALO_PERSO!K9</f>
        <v>2024</v>
      </c>
      <c r="H7" s="11">
        <f>VALO_PERSO!P9</f>
        <v>8907.25</v>
      </c>
      <c r="I7" s="11">
        <f>VALO_PERSO!R9</f>
        <v>3455.5</v>
      </c>
      <c r="J7" s="11">
        <f>VALO_PERSO!S9</f>
        <v>3216.5999999999995</v>
      </c>
      <c r="K7" s="29">
        <f>VALO_PERSO!V9</f>
        <v>12212.649999999998</v>
      </c>
      <c r="L7" s="29">
        <f>VALO_PERSO!W9</f>
        <v>480</v>
      </c>
      <c r="M7" s="29">
        <f>VALO_PERSO!X9</f>
        <v>25.443020833333328</v>
      </c>
      <c r="N7" s="11">
        <f>VALO_PERSO!Y9</f>
        <v>267.28800000000001</v>
      </c>
      <c r="O7" s="11">
        <f>VALO_PERSO!Z9</f>
        <v>0</v>
      </c>
      <c r="P7" s="82">
        <f>VALO_PERSO!AB9</f>
        <v>267.28800000000001</v>
      </c>
      <c r="R7" s="11">
        <f>VALO_PERSO!AE9</f>
        <v>0</v>
      </c>
      <c r="S7" s="41"/>
      <c r="T7" s="82">
        <f>VALO_PERSO!AG9</f>
        <v>0</v>
      </c>
      <c r="V7" s="11">
        <f>VALO_PERSO!AJ9</f>
        <v>0</v>
      </c>
      <c r="W7" s="41"/>
      <c r="X7" s="82">
        <f>VALO_PERSO!AL9</f>
        <v>0</v>
      </c>
      <c r="Z7" s="29">
        <f>VALO_PERSO!AO9</f>
        <v>6800.6141524999994</v>
      </c>
      <c r="AA7" s="29">
        <f>VALO_PERSO!AP9</f>
        <v>0</v>
      </c>
      <c r="AB7" s="82">
        <f>VALO_PERSO!AR9</f>
        <v>6800.6141524999994</v>
      </c>
      <c r="AD7" s="11">
        <f>VALO_PERSO!AT9</f>
        <v>0</v>
      </c>
      <c r="AE7" s="41"/>
      <c r="AF7" s="82">
        <f>VALO_PERSO!AV9</f>
        <v>0</v>
      </c>
      <c r="AH7" s="11">
        <f>VALO_PERSO!AX9</f>
        <v>0</v>
      </c>
      <c r="AI7" s="41"/>
      <c r="AJ7" s="82">
        <f>VALO_PERSO!AZ9</f>
        <v>0</v>
      </c>
      <c r="AL7" s="11">
        <f>VALO_PERSO!BB9</f>
        <v>212.71199999999999</v>
      </c>
      <c r="AM7" s="11">
        <f>VALO_PERSO!BC9</f>
        <v>480</v>
      </c>
      <c r="AN7" s="469"/>
      <c r="AO7" s="469"/>
    </row>
    <row r="8" spans="1:41" ht="15.75" x14ac:dyDescent="0.3">
      <c r="B8" s="11">
        <f>VALO_PERSO!F10</f>
        <v>7</v>
      </c>
      <c r="C8" s="11" t="str">
        <f>VALO_PERSO!G10</f>
        <v>PERROT</v>
      </c>
      <c r="D8" s="11" t="str">
        <f>VALO_PERSO!H10</f>
        <v>Salomé</v>
      </c>
      <c r="E8" s="11" t="str">
        <f>VALO_PERSO!I10</f>
        <v>Technicienne de laboratoire</v>
      </c>
      <c r="F8" s="11" t="str">
        <f>VALO_PERSO!J10</f>
        <v>Conservatoir National des Arts et Métiers + License Sciences Technologies et Santé</v>
      </c>
      <c r="G8" s="11">
        <f>VALO_PERSO!K10</f>
        <v>2021</v>
      </c>
      <c r="H8" s="11">
        <f>VALO_PERSO!P10</f>
        <v>3409.74</v>
      </c>
      <c r="I8" s="11">
        <f>VALO_PERSO!R10</f>
        <v>603.63999999999987</v>
      </c>
      <c r="J8" s="11">
        <f>VALO_PERSO!S10</f>
        <v>547.53</v>
      </c>
      <c r="K8" s="29">
        <f>VALO_PERSO!V10</f>
        <v>3957.2699999999995</v>
      </c>
      <c r="L8" s="29">
        <f>VALO_PERSO!W10</f>
        <v>214.67</v>
      </c>
      <c r="M8" s="29">
        <f>VALO_PERSO!X10</f>
        <v>18.434201332277446</v>
      </c>
      <c r="N8" s="11">
        <f>VALO_PERSO!Y10</f>
        <v>193.25</v>
      </c>
      <c r="O8" s="11">
        <f>VALO_PERSO!Z10</f>
        <v>0</v>
      </c>
      <c r="P8" s="82">
        <f>VALO_PERSO!AB10</f>
        <v>193.25</v>
      </c>
      <c r="R8" s="11">
        <f>VALO_PERSO!AE10</f>
        <v>0</v>
      </c>
      <c r="S8" s="41"/>
      <c r="T8" s="82">
        <f>VALO_PERSO!AG10</f>
        <v>0</v>
      </c>
      <c r="V8" s="11">
        <f>VALO_PERSO!AJ10</f>
        <v>0</v>
      </c>
      <c r="W8" s="41"/>
      <c r="X8" s="82">
        <f>VALO_PERSO!AL10</f>
        <v>0</v>
      </c>
      <c r="Z8" s="29">
        <f>VALO_PERSO!AO10</f>
        <v>3562.4094074626169</v>
      </c>
      <c r="AA8" s="29">
        <f>VALO_PERSO!AP10</f>
        <v>0</v>
      </c>
      <c r="AB8" s="82">
        <f>VALO_PERSO!AR10</f>
        <v>3562.4094074626169</v>
      </c>
      <c r="AD8" s="11">
        <f>VALO_PERSO!AT10</f>
        <v>0</v>
      </c>
      <c r="AE8" s="41"/>
      <c r="AF8" s="82">
        <f>VALO_PERSO!AV10</f>
        <v>0</v>
      </c>
      <c r="AH8" s="11">
        <f>VALO_PERSO!AX10</f>
        <v>0</v>
      </c>
      <c r="AI8" s="41"/>
      <c r="AJ8" s="82">
        <f>VALO_PERSO!AZ10</f>
        <v>0</v>
      </c>
      <c r="AL8" s="11">
        <f>VALO_PERSO!BB10</f>
        <v>21.419999999999987</v>
      </c>
      <c r="AM8" s="11">
        <f>VALO_PERSO!BC10</f>
        <v>214.67</v>
      </c>
      <c r="AN8" s="469"/>
      <c r="AO8" s="469"/>
    </row>
    <row r="9" spans="1:41" ht="15.75" x14ac:dyDescent="0.3">
      <c r="B9" s="11">
        <f>VALO_PERSO!F11</f>
        <v>8</v>
      </c>
      <c r="C9" s="11" t="str">
        <f>VALO_PERSO!G11</f>
        <v>GRACIETTE</v>
      </c>
      <c r="D9" s="11" t="str">
        <f>VALO_PERSO!H11</f>
        <v>Adrien</v>
      </c>
      <c r="E9" s="11" t="str">
        <f>VALO_PERSO!I11</f>
        <v>Ingénieur R&amp;D Electronique</v>
      </c>
      <c r="F9" s="11" t="str">
        <f>VALO_PERSO!J11</f>
        <v>IMT Atlantique, Diplôme d'ingénieur</v>
      </c>
      <c r="G9" s="11">
        <f>VALO_PERSO!K11</f>
        <v>2022</v>
      </c>
      <c r="H9" s="11">
        <f>VALO_PERSO!P11</f>
        <v>4184.6000000000004</v>
      </c>
      <c r="I9" s="11">
        <f>VALO_PERSO!R11</f>
        <v>765.09999999999991</v>
      </c>
      <c r="J9" s="11">
        <f>VALO_PERSO!S11</f>
        <v>654.37</v>
      </c>
      <c r="K9" s="29">
        <f>VALO_PERSO!V11</f>
        <v>4927.7700000000004</v>
      </c>
      <c r="L9" s="29">
        <f>VALO_PERSO!W11</f>
        <v>186.67</v>
      </c>
      <c r="M9" s="29">
        <f>VALO_PERSO!X11</f>
        <v>26.398296458991808</v>
      </c>
      <c r="N9" s="11">
        <f>VALO_PERSO!Y11</f>
        <v>168</v>
      </c>
      <c r="O9" s="11">
        <f>VALO_PERSO!Z11</f>
        <v>0</v>
      </c>
      <c r="P9" s="82">
        <f>VALO_PERSO!AB11</f>
        <v>168</v>
      </c>
      <c r="R9" s="11">
        <f>VALO_PERSO!AE11</f>
        <v>0</v>
      </c>
      <c r="S9" s="41"/>
      <c r="T9" s="82">
        <f>VALO_PERSO!AG11</f>
        <v>0</v>
      </c>
      <c r="V9" s="11">
        <f>VALO_PERSO!AJ11</f>
        <v>0</v>
      </c>
      <c r="W9" s="41"/>
      <c r="X9" s="82">
        <f>VALO_PERSO!AL11</f>
        <v>0</v>
      </c>
      <c r="Z9" s="29">
        <f>VALO_PERSO!AO11</f>
        <v>4434.9138051106238</v>
      </c>
      <c r="AA9" s="29">
        <f>VALO_PERSO!AP11</f>
        <v>0</v>
      </c>
      <c r="AB9" s="82">
        <f>VALO_PERSO!AR11</f>
        <v>4434.9138051106238</v>
      </c>
      <c r="AD9" s="11">
        <f>VALO_PERSO!AT11</f>
        <v>0</v>
      </c>
      <c r="AE9" s="41"/>
      <c r="AF9" s="82">
        <f>VALO_PERSO!AV11</f>
        <v>0</v>
      </c>
      <c r="AH9" s="11">
        <f>VALO_PERSO!AX11</f>
        <v>0</v>
      </c>
      <c r="AI9" s="41"/>
      <c r="AJ9" s="82">
        <f>VALO_PERSO!AZ11</f>
        <v>0</v>
      </c>
      <c r="AL9" s="11">
        <f>VALO_PERSO!BB11</f>
        <v>18.669999999999987</v>
      </c>
      <c r="AM9" s="11">
        <f>VALO_PERSO!BC11</f>
        <v>186.67</v>
      </c>
      <c r="AN9" s="469"/>
      <c r="AO9" s="469"/>
    </row>
    <row r="10" spans="1:41" ht="15.75" thickBot="1" x14ac:dyDescent="0.3">
      <c r="B10" s="62"/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5" t="s">
        <v>360</v>
      </c>
      <c r="N10" s="66">
        <f>SUM(N3:N9)</f>
        <v>3513.538</v>
      </c>
      <c r="O10" s="66">
        <f t="shared" ref="O10:P10" si="0">SUM(O3:O9)</f>
        <v>1302</v>
      </c>
      <c r="P10" s="66">
        <f t="shared" si="0"/>
        <v>4815.5380000000005</v>
      </c>
      <c r="R10" s="66">
        <f>SUM(R3:R4)</f>
        <v>0</v>
      </c>
      <c r="S10" s="68">
        <f>SUM(S3:S4)</f>
        <v>0</v>
      </c>
      <c r="T10" s="66">
        <f>SUM(T3:T4)</f>
        <v>0</v>
      </c>
      <c r="V10" s="66">
        <f>SUM(V3:V4)</f>
        <v>0</v>
      </c>
      <c r="W10" s="68">
        <f>SUM(W3:W4)</f>
        <v>0</v>
      </c>
      <c r="X10" s="66">
        <f>SUM(X3:X4)</f>
        <v>0</v>
      </c>
      <c r="Z10" s="66">
        <f>SUM(Z3:Z9)</f>
        <v>139451.0428253783</v>
      </c>
      <c r="AA10" s="66">
        <f t="shared" ref="AA10:AB10" si="1">SUM(AA3:AA9)</f>
        <v>52232.884144396317</v>
      </c>
      <c r="AB10" s="66">
        <f t="shared" si="1"/>
        <v>191683.92696977462</v>
      </c>
      <c r="AD10" s="66">
        <f>SUM(AD3:AD4)</f>
        <v>0</v>
      </c>
      <c r="AE10" s="68">
        <f>SUM(AE3:AE4)</f>
        <v>0</v>
      </c>
      <c r="AF10" s="66">
        <f>SUM(AF3:AF4)</f>
        <v>0</v>
      </c>
      <c r="AH10" s="66">
        <f>SUM(AH3:AH4)</f>
        <v>0</v>
      </c>
      <c r="AI10" s="68">
        <f>SUM(AI3:AI4)</f>
        <v>0</v>
      </c>
      <c r="AJ10" s="66">
        <f>SUM(AJ3:AJ4)</f>
        <v>0</v>
      </c>
      <c r="AL10" s="66">
        <f>SUM(AL3:AL9)</f>
        <v>1304.2719999999999</v>
      </c>
      <c r="AM10" s="66">
        <f t="shared" ref="AM10:AO10" si="2">SUM(AM3:AM9)</f>
        <v>6119.8099999999995</v>
      </c>
      <c r="AN10" s="66">
        <f t="shared" si="2"/>
        <v>0</v>
      </c>
      <c r="AO10" s="66">
        <f t="shared" si="2"/>
        <v>0</v>
      </c>
    </row>
    <row r="12" spans="1:41" ht="15.75" thickBot="1" x14ac:dyDescent="0.3">
      <c r="K12" s="215"/>
      <c r="L12" s="215"/>
      <c r="M12" s="216" t="s">
        <v>501</v>
      </c>
      <c r="Z12" s="66">
        <f>VALO_PERSO!AO14</f>
        <v>0</v>
      </c>
      <c r="AA12" s="66">
        <f>VALO_PERSO!AP14</f>
        <v>0</v>
      </c>
      <c r="AB12" s="66">
        <f>VALO_PERSO!AR14</f>
        <v>0</v>
      </c>
    </row>
    <row r="14" spans="1:41" ht="15.75" thickBot="1" x14ac:dyDescent="0.3">
      <c r="K14" s="62"/>
      <c r="L14" s="62"/>
      <c r="M14" s="65" t="s">
        <v>502</v>
      </c>
      <c r="Z14" s="66">
        <f>VALO_PERSO!AO16</f>
        <v>139451.0428253783</v>
      </c>
      <c r="AA14" s="66">
        <f>VALO_PERSO!AP16</f>
        <v>52232.884144396317</v>
      </c>
      <c r="AB14" s="66">
        <f>SUM(Z14:AA14)</f>
        <v>191683.92696977462</v>
      </c>
    </row>
  </sheetData>
  <conditionalFormatting sqref="L1">
    <cfRule type="duplicateValues" dxfId="59" priority="1"/>
  </conditionalFormatting>
  <conditionalFormatting sqref="B3:G9">
    <cfRule type="expression" dxfId="58" priority="104">
      <formula>#REF!&gt;0</formula>
    </cfRule>
  </conditionalFormatting>
  <conditionalFormatting sqref="H1:J1">
    <cfRule type="duplicateValues" dxfId="57" priority="105"/>
  </conditionalFormatting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E0AB8-05BE-4152-8C8E-0FF24DD17EDC}">
  <sheetPr codeName="Feuil16">
    <tabColor theme="2" tint="-0.249977111117893"/>
  </sheetPr>
  <dimension ref="A2:R15"/>
  <sheetViews>
    <sheetView showGridLines="0" workbookViewId="0">
      <selection activeCell="D13" sqref="D13"/>
    </sheetView>
  </sheetViews>
  <sheetFormatPr baseColWidth="10" defaultColWidth="11.42578125" defaultRowHeight="12.75" x14ac:dyDescent="0.2"/>
  <cols>
    <col min="1" max="1" width="11.42578125" style="204"/>
    <col min="2" max="2" width="72" style="204" customWidth="1"/>
    <col min="3" max="3" width="35" style="204" bestFit="1" customWidth="1"/>
    <col min="4" max="4" width="44.85546875" style="204" customWidth="1"/>
    <col min="5" max="5" width="20.42578125" style="207" customWidth="1"/>
    <col min="6" max="6" width="55.42578125" style="204" customWidth="1"/>
    <col min="7" max="7" width="15.5703125" style="204" bestFit="1" customWidth="1"/>
    <col min="8" max="13" width="11.42578125" style="204"/>
    <col min="14" max="14" width="19.28515625" style="204" bestFit="1" customWidth="1"/>
    <col min="15" max="15" width="25.7109375" style="204" bestFit="1" customWidth="1"/>
    <col min="16" max="16" width="17.42578125" style="204" customWidth="1"/>
    <col min="17" max="17" width="22.5703125" style="204" bestFit="1" customWidth="1"/>
    <col min="18" max="16384" width="11.42578125" style="204"/>
  </cols>
  <sheetData>
    <row r="2" spans="1:18" ht="38.25" x14ac:dyDescent="0.2">
      <c r="A2" s="203" t="s">
        <v>838</v>
      </c>
      <c r="B2" s="203" t="s">
        <v>503</v>
      </c>
      <c r="C2" s="203" t="s">
        <v>504</v>
      </c>
      <c r="D2" s="203" t="s">
        <v>505</v>
      </c>
      <c r="E2" s="442" t="s">
        <v>506</v>
      </c>
      <c r="F2" s="442" t="s">
        <v>507</v>
      </c>
      <c r="H2" s="205"/>
    </row>
    <row r="3" spans="1:18" ht="25.5" x14ac:dyDescent="0.2">
      <c r="A3" s="438" t="s">
        <v>508</v>
      </c>
      <c r="B3" s="439" t="s">
        <v>509</v>
      </c>
      <c r="C3" s="439" t="s">
        <v>510</v>
      </c>
      <c r="D3" s="439" t="s">
        <v>511</v>
      </c>
      <c r="E3" s="443">
        <f>7*5*52</f>
        <v>1820</v>
      </c>
      <c r="F3" s="439" t="s">
        <v>512</v>
      </c>
      <c r="G3" s="206"/>
      <c r="H3" s="205"/>
      <c r="R3" s="204" t="s">
        <v>508</v>
      </c>
    </row>
    <row r="4" spans="1:18" ht="25.5" x14ac:dyDescent="0.2">
      <c r="A4" s="438" t="s">
        <v>508</v>
      </c>
      <c r="B4" s="439" t="s">
        <v>513</v>
      </c>
      <c r="C4" s="439" t="s">
        <v>510</v>
      </c>
      <c r="D4" s="439" t="s">
        <v>511</v>
      </c>
      <c r="E4" s="443">
        <f>7.8*5*52</f>
        <v>2028</v>
      </c>
      <c r="F4" s="439"/>
      <c r="G4" s="206"/>
      <c r="H4" s="205"/>
      <c r="R4" s="204" t="s">
        <v>514</v>
      </c>
    </row>
    <row r="5" spans="1:18" ht="25.5" x14ac:dyDescent="0.2">
      <c r="A5" s="438" t="s">
        <v>508</v>
      </c>
      <c r="B5" s="439" t="s">
        <v>515</v>
      </c>
      <c r="C5" s="439" t="s">
        <v>510</v>
      </c>
      <c r="D5" s="439" t="s">
        <v>511</v>
      </c>
      <c r="E5" s="443">
        <f>8*5*52</f>
        <v>2080</v>
      </c>
      <c r="F5" s="439"/>
      <c r="G5" s="206"/>
      <c r="H5" s="205"/>
      <c r="R5" s="204" t="s">
        <v>516</v>
      </c>
    </row>
    <row r="6" spans="1:18" ht="25.5" x14ac:dyDescent="0.2">
      <c r="A6" s="438" t="s">
        <v>514</v>
      </c>
      <c r="B6" s="439" t="s">
        <v>517</v>
      </c>
      <c r="C6" s="439" t="s">
        <v>510</v>
      </c>
      <c r="D6" s="439" t="s">
        <v>511</v>
      </c>
      <c r="E6" s="443">
        <f>7*5*52</f>
        <v>1820</v>
      </c>
      <c r="F6" s="439" t="s">
        <v>512</v>
      </c>
      <c r="R6" s="204" t="s">
        <v>518</v>
      </c>
    </row>
    <row r="7" spans="1:18" x14ac:dyDescent="0.2">
      <c r="A7" s="438" t="s">
        <v>514</v>
      </c>
      <c r="B7" s="439" t="s">
        <v>519</v>
      </c>
      <c r="C7" s="439" t="s">
        <v>510</v>
      </c>
      <c r="D7" s="439" t="s">
        <v>511</v>
      </c>
      <c r="E7" s="443">
        <f>7.8*5*52</f>
        <v>2028</v>
      </c>
      <c r="F7" s="439"/>
      <c r="R7" s="204" t="s">
        <v>520</v>
      </c>
    </row>
    <row r="8" spans="1:18" x14ac:dyDescent="0.2">
      <c r="A8" s="438" t="s">
        <v>514</v>
      </c>
      <c r="B8" s="439" t="s">
        <v>521</v>
      </c>
      <c r="C8" s="439" t="s">
        <v>510</v>
      </c>
      <c r="D8" s="439" t="s">
        <v>511</v>
      </c>
      <c r="E8" s="443">
        <f>8*5*52</f>
        <v>2080</v>
      </c>
      <c r="F8" s="439"/>
    </row>
    <row r="9" spans="1:18" ht="25.5" x14ac:dyDescent="0.2">
      <c r="A9" s="438" t="s">
        <v>516</v>
      </c>
      <c r="B9" s="439" t="s">
        <v>522</v>
      </c>
      <c r="C9" s="439" t="s">
        <v>523</v>
      </c>
      <c r="D9" s="439" t="s">
        <v>524</v>
      </c>
      <c r="E9" s="443" t="s">
        <v>525</v>
      </c>
      <c r="F9" s="439" t="s">
        <v>526</v>
      </c>
    </row>
    <row r="10" spans="1:18" ht="25.5" x14ac:dyDescent="0.2">
      <c r="A10" s="438" t="s">
        <v>516</v>
      </c>
      <c r="B10" s="439" t="s">
        <v>527</v>
      </c>
      <c r="C10" s="439" t="s">
        <v>523</v>
      </c>
      <c r="D10" s="439" t="s">
        <v>528</v>
      </c>
      <c r="E10" s="443" t="s">
        <v>525</v>
      </c>
      <c r="F10" s="439" t="s">
        <v>526</v>
      </c>
    </row>
    <row r="11" spans="1:18" ht="25.5" x14ac:dyDescent="0.2">
      <c r="A11" s="438" t="s">
        <v>516</v>
      </c>
      <c r="B11" s="439" t="s">
        <v>529</v>
      </c>
      <c r="C11" s="439" t="s">
        <v>523</v>
      </c>
      <c r="D11" s="439" t="s">
        <v>530</v>
      </c>
      <c r="E11" s="443" t="s">
        <v>525</v>
      </c>
      <c r="F11" s="439" t="s">
        <v>526</v>
      </c>
    </row>
    <row r="12" spans="1:18" ht="25.5" x14ac:dyDescent="0.2">
      <c r="A12" s="438" t="s">
        <v>518</v>
      </c>
      <c r="B12" s="439" t="s">
        <v>531</v>
      </c>
      <c r="C12" s="439" t="s">
        <v>532</v>
      </c>
      <c r="D12" s="439" t="s">
        <v>533</v>
      </c>
      <c r="E12" s="443" t="s">
        <v>525</v>
      </c>
      <c r="F12" s="439" t="s">
        <v>534</v>
      </c>
    </row>
    <row r="13" spans="1:18" ht="25.5" x14ac:dyDescent="0.2">
      <c r="A13" s="438" t="s">
        <v>518</v>
      </c>
      <c r="B13" s="439" t="s">
        <v>535</v>
      </c>
      <c r="C13" s="439" t="s">
        <v>532</v>
      </c>
      <c r="D13" s="439" t="s">
        <v>536</v>
      </c>
      <c r="E13" s="443" t="s">
        <v>525</v>
      </c>
      <c r="F13" s="439" t="s">
        <v>534</v>
      </c>
    </row>
    <row r="14" spans="1:18" ht="25.5" x14ac:dyDescent="0.2">
      <c r="A14" s="438" t="s">
        <v>520</v>
      </c>
      <c r="B14" s="439" t="s">
        <v>537</v>
      </c>
      <c r="C14" s="439" t="s">
        <v>538</v>
      </c>
      <c r="D14" s="439" t="s">
        <v>539</v>
      </c>
      <c r="E14" s="443">
        <f>218*8</f>
        <v>1744</v>
      </c>
      <c r="F14" s="439" t="s">
        <v>534</v>
      </c>
    </row>
    <row r="15" spans="1:18" x14ac:dyDescent="0.2">
      <c r="A15" s="438" t="s">
        <v>520</v>
      </c>
      <c r="B15" s="440" t="s">
        <v>540</v>
      </c>
      <c r="C15" s="440" t="s">
        <v>538</v>
      </c>
      <c r="D15" s="440" t="s">
        <v>541</v>
      </c>
      <c r="E15" s="441">
        <f>47*35</f>
        <v>1645</v>
      </c>
      <c r="F15" s="440" t="s">
        <v>534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B143D-AF21-49F5-B30E-B2C40FE280BA}">
  <sheetPr codeName="Feuil12">
    <tabColor theme="4" tint="-0.249977111117893"/>
  </sheetPr>
  <dimension ref="A1:P29"/>
  <sheetViews>
    <sheetView showGridLines="0" workbookViewId="0">
      <selection activeCell="J14" sqref="J14"/>
    </sheetView>
  </sheetViews>
  <sheetFormatPr baseColWidth="10" defaultColWidth="11.42578125" defaultRowHeight="15" x14ac:dyDescent="0.25"/>
  <cols>
    <col min="4" max="4" width="13" bestFit="1" customWidth="1"/>
    <col min="5" max="5" width="15.5703125" bestFit="1" customWidth="1"/>
    <col min="6" max="6" width="12.85546875" bestFit="1" customWidth="1"/>
    <col min="7" max="7" width="31" bestFit="1" customWidth="1"/>
    <col min="8" max="8" width="33.28515625" bestFit="1" customWidth="1"/>
    <col min="9" max="9" width="22.140625" bestFit="1" customWidth="1"/>
    <col min="11" max="12" width="15.42578125" bestFit="1" customWidth="1"/>
  </cols>
  <sheetData>
    <row r="1" spans="1:13" ht="18.75" x14ac:dyDescent="0.3">
      <c r="A1" s="457" t="s">
        <v>849</v>
      </c>
      <c r="B1" s="457"/>
      <c r="C1" s="457"/>
      <c r="G1" s="73"/>
      <c r="K1" s="73">
        <v>45658</v>
      </c>
      <c r="L1" s="73">
        <v>45703</v>
      </c>
      <c r="M1" s="73">
        <v>46022</v>
      </c>
    </row>
    <row r="3" spans="1:13" x14ac:dyDescent="0.25">
      <c r="A3" s="444"/>
      <c r="B3" s="445" t="s">
        <v>542</v>
      </c>
      <c r="C3" s="444"/>
      <c r="D3" s="112"/>
    </row>
    <row r="4" spans="1:13" x14ac:dyDescent="0.25">
      <c r="A4" s="446"/>
      <c r="B4" s="446"/>
      <c r="C4" s="446"/>
    </row>
    <row r="5" spans="1:13" x14ac:dyDescent="0.25">
      <c r="A5" s="446" t="s">
        <v>366</v>
      </c>
      <c r="B5" s="446" t="s">
        <v>543</v>
      </c>
      <c r="C5" s="446" t="s">
        <v>368</v>
      </c>
      <c r="D5" t="s">
        <v>845</v>
      </c>
      <c r="E5" t="s">
        <v>839</v>
      </c>
      <c r="F5" t="s">
        <v>840</v>
      </c>
      <c r="G5" t="s">
        <v>852</v>
      </c>
      <c r="H5" t="s">
        <v>853</v>
      </c>
      <c r="I5" t="s">
        <v>841</v>
      </c>
      <c r="J5" t="s">
        <v>842</v>
      </c>
      <c r="K5" t="s">
        <v>843</v>
      </c>
      <c r="L5" t="s">
        <v>844</v>
      </c>
    </row>
    <row r="6" spans="1:13" ht="15.75" x14ac:dyDescent="0.3">
      <c r="A6" s="11">
        <v>1</v>
      </c>
      <c r="B6" s="11" t="s">
        <v>877</v>
      </c>
      <c r="C6" s="11" t="s">
        <v>878</v>
      </c>
      <c r="D6" t="str">
        <f>VLOOKUP(A6,VALO_PERSO!F:L,7,0)</f>
        <v>Technicien</v>
      </c>
      <c r="E6" s="73">
        <f>IF(VLOOKUP(A6,VALO_PERSO!$F:$M,8,0)&lt;='Calcul FF'!$K$1,'Calcul FF'!$K$1,VLOOKUP(A6,VALO_PERSO!$F:$M,8,0))</f>
        <v>45658</v>
      </c>
      <c r="F6" s="73">
        <f>IF(ISBLANK(VLOOKUP(A6,VALO_PERSO!$F:$N,9,0)),'Calcul FF'!$M$1,VLOOKUP(A6,VALO_PERSO!$F:$N,9,0))</f>
        <v>46022</v>
      </c>
      <c r="G6" s="462">
        <f t="shared" ref="G6" si="0">IFERROR(IF(NETWORKDAYS(E6,$L$1)&lt;0,0,NETWORKDAYS(E6,$L$1)),0)</f>
        <v>33</v>
      </c>
      <c r="H6" s="462">
        <f t="shared" ref="H6" si="1">IFERROR(IF(NETWORKDAYS($L$1,F6)&lt;0,0,NETWORKDAYS($L$1,F6)),0)</f>
        <v>228</v>
      </c>
      <c r="I6" s="77">
        <f>IFERROR(IF(VLOOKUP(A6,VALO_PERSO!F:L,7,0)="jeune docteur",VLOOKUP(A6,VALO_PERSO!F:AR,39,0)*2*'Calcul FF'!G6/('Calcul FF'!G6+'Calcul FF'!H6),VLOOKUP(A6,VALO_PERSO!F:AR,39,0)*'Calcul FF'!G6/('Calcul FF'!G6+'Calcul FF'!H6)),0)</f>
        <v>5059.730680424761</v>
      </c>
      <c r="J6" s="77">
        <f>IFERROR(VLOOKUP(A6,VALO_PERSO!F:AR,39,0)*'Calcul FF'!H6/('Calcul FF'!G6+'Calcul FF'!H6),0)</f>
        <v>34958.139246571074</v>
      </c>
      <c r="K6" s="77">
        <f t="shared" ref="K6" si="2">IFERROR(IF(D6="jeune docteur",I6,I6*0.43),0)</f>
        <v>2175.684192582647</v>
      </c>
      <c r="L6" s="77">
        <f>IFERROR(J6*0.4,0)</f>
        <v>13983.255698628431</v>
      </c>
    </row>
    <row r="7" spans="1:13" ht="15.75" x14ac:dyDescent="0.3">
      <c r="A7" s="11">
        <v>3</v>
      </c>
      <c r="B7" s="11" t="s">
        <v>881</v>
      </c>
      <c r="C7" s="11" t="s">
        <v>882</v>
      </c>
      <c r="D7" t="str">
        <f>VLOOKUP(A7,VALO_PERSO!F:L,7,0)</f>
        <v>Technicien</v>
      </c>
      <c r="E7" s="73">
        <f>IF(VLOOKUP(A7,VALO_PERSO!$F:$M,8,0)&lt;='Calcul FF'!$K$1,'Calcul FF'!$K$1,VLOOKUP(A7,VALO_PERSO!$F:$M,8,0))</f>
        <v>45658</v>
      </c>
      <c r="F7" s="73">
        <f>IF(ISBLANK(VLOOKUP(A7,VALO_PERSO!$F:$N,9,0)),'Calcul FF'!$M$1,VLOOKUP(A7,VALO_PERSO!$F:$N,9,0))</f>
        <v>46022</v>
      </c>
      <c r="G7" s="462">
        <f t="shared" ref="G7:G11" si="3">IFERROR(IF(NETWORKDAYS(E7,$L$1)&lt;0,0,NETWORKDAYS(E7,$L$1)),0)</f>
        <v>33</v>
      </c>
      <c r="H7" s="462">
        <f t="shared" ref="H7:H11" si="4">IFERROR(IF(NETWORKDAYS($L$1,F7)&lt;0,0,NETWORKDAYS($L$1,F7)),0)</f>
        <v>228</v>
      </c>
      <c r="I7" s="77">
        <f>IFERROR(IF(VLOOKUP(A7,VALO_PERSO!F:L,7,0)="jeune docteur",VLOOKUP(A7,VALO_PERSO!F:AR,39,0)*2*'Calcul FF'!G7/('Calcul FF'!G7+'Calcul FF'!H7),VLOOKUP(A7,VALO_PERSO!F:AR,39,0)*'Calcul FF'!G7/('Calcul FF'!G7+'Calcul FF'!H7)),0)</f>
        <v>3926.4376462183286</v>
      </c>
      <c r="J7" s="77">
        <f>IFERROR(VLOOKUP(A7,VALO_PERSO!F:AR,39,0)*'Calcul FF'!H7/('Calcul FF'!G7+'Calcul FF'!H7),0)</f>
        <v>27128.114646599359</v>
      </c>
      <c r="K7" s="77">
        <f t="shared" ref="K7:K11" si="5">IFERROR(IF(D7="jeune docteur",I7,I7*0.43),0)</f>
        <v>1688.3681878738812</v>
      </c>
      <c r="L7" s="77">
        <f t="shared" ref="L7:L11" si="6">IFERROR(J7*0.4,0)</f>
        <v>10851.245858639744</v>
      </c>
    </row>
    <row r="8" spans="1:13" ht="15.75" x14ac:dyDescent="0.3">
      <c r="A8" s="11">
        <v>4</v>
      </c>
      <c r="B8" s="11" t="s">
        <v>883</v>
      </c>
      <c r="C8" s="11" t="s">
        <v>884</v>
      </c>
      <c r="D8" t="str">
        <f>VLOOKUP(A8,VALO_PERSO!F:L,7,0)</f>
        <v>Dirigeant</v>
      </c>
      <c r="E8" s="73">
        <f>IF(VLOOKUP(A8,VALO_PERSO!$F:$M,8,0)&lt;='Calcul FF'!$K$1,'Calcul FF'!$K$1,VLOOKUP(A8,VALO_PERSO!$F:$M,8,0))</f>
        <v>45658</v>
      </c>
      <c r="F8" s="73">
        <f>IF(ISBLANK(VLOOKUP(A8,VALO_PERSO!$F:$N,9,0)),'Calcul FF'!$M$1,VLOOKUP(A8,VALO_PERSO!$F:$N,9,0))</f>
        <v>46022</v>
      </c>
      <c r="G8" s="462">
        <f t="shared" si="3"/>
        <v>33</v>
      </c>
      <c r="H8" s="462">
        <f t="shared" si="4"/>
        <v>228</v>
      </c>
      <c r="I8" s="77">
        <f>IFERROR(IF(VLOOKUP(A8,VALO_PERSO!F:L,7,0)="jeune docteur",VLOOKUP(A8,VALO_PERSO!F:AR,39,0)*2*'Calcul FF'!G8/('Calcul FF'!G8+'Calcul FF'!H8),VLOOKUP(A8,VALO_PERSO!F:AR,39,0)*'Calcul FF'!G8/('Calcul FF'!G8+'Calcul FF'!H8)),0)</f>
        <v>5360.6833392824265</v>
      </c>
      <c r="J8" s="77">
        <f>IFERROR(VLOOKUP(A8,VALO_PERSO!F:AR,39,0)*'Calcul FF'!H8/('Calcul FF'!G8+'Calcul FF'!H8),0)</f>
        <v>37037.448525951309</v>
      </c>
      <c r="K8" s="77">
        <f t="shared" si="5"/>
        <v>2305.0938358914432</v>
      </c>
      <c r="L8" s="77">
        <f t="shared" si="6"/>
        <v>14814.979410380525</v>
      </c>
    </row>
    <row r="9" spans="1:13" ht="15.75" x14ac:dyDescent="0.3">
      <c r="A9" s="11">
        <v>5</v>
      </c>
      <c r="B9" s="11" t="s">
        <v>885</v>
      </c>
      <c r="C9" s="11" t="s">
        <v>886</v>
      </c>
      <c r="D9" t="str">
        <f>VLOOKUP(A9,VALO_PERSO!F:L,7,0)</f>
        <v>Technicien</v>
      </c>
      <c r="E9" s="73">
        <f>IF(VLOOKUP(A9,VALO_PERSO!$F:$M,8,0)&lt;='Calcul FF'!$K$1,'Calcul FF'!$K$1,VLOOKUP(A9,VALO_PERSO!$F:$M,8,0))</f>
        <v>45733</v>
      </c>
      <c r="F9" s="73">
        <f>IF(ISBLANK(VLOOKUP(A9,VALO_PERSO!$F:$N,9,0)),'Calcul FF'!$M$1,VLOOKUP(A9,VALO_PERSO!$F:$N,9,0))</f>
        <v>46022</v>
      </c>
      <c r="G9" s="462">
        <f t="shared" si="3"/>
        <v>0</v>
      </c>
      <c r="H9" s="462">
        <f t="shared" si="4"/>
        <v>228</v>
      </c>
      <c r="I9" s="77">
        <f>IFERROR(IF(VLOOKUP(A9,VALO_PERSO!F:L,7,0)="jeune docteur",VLOOKUP(A9,VALO_PERSO!F:AR,39,0)*2*'Calcul FF'!G9/('Calcul FF'!G9+'Calcul FF'!H9),VLOOKUP(A9,VALO_PERSO!F:AR,39,0)*'Calcul FF'!G9/('Calcul FF'!G9+'Calcul FF'!H9)),0)</f>
        <v>0</v>
      </c>
      <c r="J9" s="77">
        <f>IFERROR(VLOOKUP(A9,VALO_PERSO!F:AR,39,0)*'Calcul FF'!H9/('Calcul FF'!G9+'Calcul FF'!H9),0)</f>
        <v>63415.435519654129</v>
      </c>
      <c r="K9" s="77">
        <f t="shared" si="5"/>
        <v>0</v>
      </c>
      <c r="L9" s="77">
        <f t="shared" si="6"/>
        <v>25366.174207861652</v>
      </c>
    </row>
    <row r="10" spans="1:13" ht="15.75" x14ac:dyDescent="0.3">
      <c r="A10" s="11">
        <v>6</v>
      </c>
      <c r="B10" s="11" t="s">
        <v>887</v>
      </c>
      <c r="C10" s="11" t="s">
        <v>888</v>
      </c>
      <c r="D10" t="str">
        <f>VLOOKUP(A10,VALO_PERSO!F:L,7,0)</f>
        <v>Thésard</v>
      </c>
      <c r="E10" s="73">
        <f>IF(VLOOKUP(A10,VALO_PERSO!$F:$M,8,0)&lt;='Calcul FF'!$K$1,'Calcul FF'!$K$1,VLOOKUP(A10,VALO_PERSO!$F:$M,8,0))</f>
        <v>45933</v>
      </c>
      <c r="F10" s="73">
        <f>IF(ISBLANK(VLOOKUP(A10,VALO_PERSO!$F:$N,9,0)),'Calcul FF'!$M$1,VLOOKUP(A10,VALO_PERSO!$F:$N,9,0))</f>
        <v>46022</v>
      </c>
      <c r="G10" s="462">
        <f t="shared" si="3"/>
        <v>0</v>
      </c>
      <c r="H10" s="462">
        <f t="shared" si="4"/>
        <v>228</v>
      </c>
      <c r="I10" s="77">
        <f>IFERROR(IF(VLOOKUP(A10,VALO_PERSO!F:L,7,0)="jeune docteur",VLOOKUP(A10,VALO_PERSO!F:AR,39,0)*2*'Calcul FF'!G10/('Calcul FF'!G10+'Calcul FF'!H10),VLOOKUP(A10,VALO_PERSO!F:AR,39,0)*'Calcul FF'!G10/('Calcul FF'!G10+'Calcul FF'!H10)),0)</f>
        <v>0</v>
      </c>
      <c r="J10" s="77">
        <f>IFERROR(VLOOKUP(A10,VALO_PERSO!F:AR,39,0)*'Calcul FF'!H10/('Calcul FF'!G10+'Calcul FF'!H10),0)</f>
        <v>6800.6141524999994</v>
      </c>
      <c r="K10" s="77">
        <f t="shared" si="5"/>
        <v>0</v>
      </c>
      <c r="L10" s="77">
        <f t="shared" si="6"/>
        <v>2720.2456609999999</v>
      </c>
    </row>
    <row r="11" spans="1:13" ht="15.75" x14ac:dyDescent="0.3">
      <c r="A11" s="11">
        <v>7</v>
      </c>
      <c r="B11" s="11" t="s">
        <v>889</v>
      </c>
      <c r="C11" s="11" t="s">
        <v>890</v>
      </c>
      <c r="D11" t="str">
        <f>VLOOKUP(A11,VALO_PERSO!F:L,7,0)</f>
        <v>Technicien</v>
      </c>
      <c r="E11" s="73">
        <f>IF(VLOOKUP(A11,VALO_PERSO!$F:$M,8,0)&lt;='Calcul FF'!$K$1,'Calcul FF'!$K$1,VLOOKUP(A11,VALO_PERSO!$F:$M,8,0))</f>
        <v>45978</v>
      </c>
      <c r="F11" s="73">
        <f>IF(ISBLANK(VLOOKUP(A11,VALO_PERSO!$F:$N,9,0)),'Calcul FF'!$M$1,VLOOKUP(A11,VALO_PERSO!$F:$N,9,0))</f>
        <v>46022</v>
      </c>
      <c r="G11" s="462">
        <f t="shared" si="3"/>
        <v>0</v>
      </c>
      <c r="H11" s="462">
        <f t="shared" si="4"/>
        <v>228</v>
      </c>
      <c r="I11" s="77">
        <f>IFERROR(IF(VLOOKUP(A11,VALO_PERSO!F:L,7,0)="jeune docteur",VLOOKUP(A11,VALO_PERSO!F:AR,39,0)*2*'Calcul FF'!G11/('Calcul FF'!G11+'Calcul FF'!H11),VLOOKUP(A11,VALO_PERSO!F:AR,39,0)*'Calcul FF'!G11/('Calcul FF'!G11+'Calcul FF'!H11)),0)</f>
        <v>0</v>
      </c>
      <c r="J11" s="77">
        <f>IFERROR(VLOOKUP(A11,VALO_PERSO!F:AR,39,0)*'Calcul FF'!H11/('Calcul FF'!G11+'Calcul FF'!H11),0)</f>
        <v>3562.4094074626169</v>
      </c>
      <c r="K11" s="77">
        <f t="shared" si="5"/>
        <v>0</v>
      </c>
      <c r="L11" s="77">
        <f t="shared" si="6"/>
        <v>1424.9637629850467</v>
      </c>
    </row>
    <row r="12" spans="1:13" ht="15.75" x14ac:dyDescent="0.3">
      <c r="A12" s="527">
        <v>8</v>
      </c>
      <c r="B12" s="527"/>
      <c r="C12" s="527"/>
      <c r="D12" t="str">
        <f>VLOOKUP(A12,VALO_PERSO!F:L,7,0)</f>
        <v>Chercheur</v>
      </c>
      <c r="E12" s="73">
        <f>IF(VLOOKUP(A12,VALO_PERSO!$F:$M,8,0)&lt;='Calcul FF'!$K$1,'Calcul FF'!$K$1,VLOOKUP(A12,VALO_PERSO!$F:$M,8,0))</f>
        <v>45985</v>
      </c>
      <c r="F12" s="73">
        <f>IF(ISBLANK(VLOOKUP(A12,VALO_PERSO!$F:$N,9,0)),'Calcul FF'!$M$1,VLOOKUP(A12,VALO_PERSO!$F:$N,9,0))</f>
        <v>46022</v>
      </c>
      <c r="G12" s="462">
        <f t="shared" ref="G12" si="7">IFERROR(IF(NETWORKDAYS(E12,$L$1)&lt;0,0,NETWORKDAYS(E12,$L$1)),0)</f>
        <v>0</v>
      </c>
      <c r="H12" s="462">
        <f t="shared" ref="H12" si="8">IFERROR(IF(NETWORKDAYS($L$1,F12)&lt;0,0,NETWORKDAYS($L$1,F12)),0)</f>
        <v>228</v>
      </c>
      <c r="I12" s="77">
        <f>IFERROR(IF(VLOOKUP(A12,VALO_PERSO!F:L,7,0)="jeune docteur",VLOOKUP(A12,VALO_PERSO!F:AR,39,0)*2*'Calcul FF'!G12/('Calcul FF'!G12+'Calcul FF'!H12),VLOOKUP(A12,VALO_PERSO!F:AR,39,0)*'Calcul FF'!G12/('Calcul FF'!G12+'Calcul FF'!H12)),0)</f>
        <v>0</v>
      </c>
      <c r="J12" s="77">
        <f>IFERROR(VLOOKUP(A12,VALO_PERSO!F:AR,39,0)*'Calcul FF'!H12/('Calcul FF'!G12+'Calcul FF'!H12),0)</f>
        <v>4434.9138051106238</v>
      </c>
      <c r="K12" s="77">
        <f t="shared" ref="K12" si="9">IFERROR(IF(D12="jeune docteur",I12,I12*0.43),0)</f>
        <v>0</v>
      </c>
      <c r="L12" s="77">
        <f t="shared" ref="L12" si="10">IFERROR(J12*0.4,0)</f>
        <v>1773.9655220442496</v>
      </c>
    </row>
    <row r="13" spans="1:13" s="458" customFormat="1" x14ac:dyDescent="0.25">
      <c r="B13" s="459"/>
      <c r="C13" s="459"/>
      <c r="D13" s="459"/>
      <c r="E13" s="459"/>
      <c r="F13" s="459"/>
      <c r="G13" s="459"/>
      <c r="H13" s="460" t="s">
        <v>437</v>
      </c>
      <c r="I13" s="461">
        <f>SUM(I6:I12)</f>
        <v>14346.851665925516</v>
      </c>
      <c r="J13" s="461">
        <f>SUM(J6:J12)</f>
        <v>177337.07530384909</v>
      </c>
      <c r="K13" s="461">
        <f>SUM(K6:K12)</f>
        <v>6169.1462163479719</v>
      </c>
      <c r="L13" s="461">
        <f>SUM(L6:L12)</f>
        <v>70934.83012153965</v>
      </c>
    </row>
    <row r="14" spans="1:13" x14ac:dyDescent="0.25">
      <c r="A14" s="446"/>
      <c r="B14" s="446"/>
      <c r="C14" s="446"/>
      <c r="E14" s="73"/>
      <c r="F14" s="73"/>
    </row>
    <row r="15" spans="1:13" x14ac:dyDescent="0.25">
      <c r="A15" s="446"/>
      <c r="B15" s="446"/>
      <c r="C15" s="446"/>
      <c r="E15" s="73"/>
      <c r="F15" s="73"/>
    </row>
    <row r="16" spans="1:13" x14ac:dyDescent="0.25">
      <c r="A16" s="446"/>
      <c r="B16" s="446"/>
      <c r="C16" s="446"/>
    </row>
    <row r="17" spans="1:16" x14ac:dyDescent="0.25">
      <c r="A17" s="446"/>
      <c r="B17" s="446"/>
      <c r="C17" s="446"/>
      <c r="P17" t="s">
        <v>848</v>
      </c>
    </row>
    <row r="18" spans="1:16" x14ac:dyDescent="0.25">
      <c r="N18" t="s">
        <v>846</v>
      </c>
      <c r="O18" s="77">
        <f>SUMIF(D:D,"jeune docteur",I:I)</f>
        <v>0</v>
      </c>
      <c r="P18" t="b">
        <f>O18/2+O19=VALO_PERSO!AR12</f>
        <v>1</v>
      </c>
    </row>
    <row r="19" spans="1:16" x14ac:dyDescent="0.25">
      <c r="N19" t="s">
        <v>847</v>
      </c>
      <c r="O19" s="77">
        <f>I27+I13-O18+J13+J27</f>
        <v>191683.92696977462</v>
      </c>
    </row>
    <row r="22" spans="1:16" ht="18.75" x14ac:dyDescent="0.3">
      <c r="A22" s="457" t="s">
        <v>850</v>
      </c>
    </row>
    <row r="23" spans="1:16" x14ac:dyDescent="0.25">
      <c r="D23" t="s">
        <v>845</v>
      </c>
      <c r="E23" t="s">
        <v>839</v>
      </c>
      <c r="F23" t="s">
        <v>840</v>
      </c>
      <c r="G23" t="s">
        <v>851</v>
      </c>
      <c r="H23" t="s">
        <v>854</v>
      </c>
      <c r="I23" t="s">
        <v>841</v>
      </c>
      <c r="J23" t="s">
        <v>842</v>
      </c>
      <c r="K23" t="s">
        <v>843</v>
      </c>
      <c r="L23" t="s">
        <v>844</v>
      </c>
    </row>
    <row r="24" spans="1:16" x14ac:dyDescent="0.25">
      <c r="D24" t="str">
        <f>VLOOKUP(A26,VALO_PERSO!F:L,7,0)</f>
        <v>Technicien</v>
      </c>
      <c r="E24" s="73">
        <f>IF(VLOOKUP(A26,VALO_PERSO!$F:$M,8,0)&lt;='Calcul FF'!$K$1,'Calcul FF'!$K$1,VLOOKUP(A26,VALO_PERSO!$F:$M,8,0))</f>
        <v>45658</v>
      </c>
      <c r="F24" s="73">
        <f>IF(ISBLANK(VLOOKUP(A26,VALO_PERSO!$F:$N,9,0)),'Calcul FF'!$M$1,VLOOKUP(A26,VALO_PERSO!$F:$N,9,0))</f>
        <v>46022</v>
      </c>
      <c r="I24" s="77">
        <f>IFERROR(IF(VLOOKUP(A26,VALO_PERSO!F:L,7,0)="jeune docteur",VLOOKUP(A26,VALO_PERSO!F:AR,VALO_PERSO!$AR$1,0)*2*'Calcul FF'!G24/('Calcul FF'!G24+'Calcul FF'!H24),VLOOKUP(A26,VALO_PERSO!F:AR,$AP$1,0)*'Calcul FF'!G24/('Calcul FF'!G24+'Calcul FF'!H24)),0)</f>
        <v>0</v>
      </c>
      <c r="J24" s="77">
        <f>IFERROR(VLOOKUP(A26,VALO_PERSO!F:AR,$AP$1,0)*'Calcul FF'!H24/('Calcul FF'!G24+'Calcul FF'!H24),0)</f>
        <v>0</v>
      </c>
      <c r="K24" s="77">
        <f>IFERROR(IF(D24="jeune docteur",I24,I24*0.43),0)</f>
        <v>0</v>
      </c>
      <c r="L24" s="77">
        <f>IFERROR(J24*0.4,0)</f>
        <v>0</v>
      </c>
    </row>
    <row r="25" spans="1:16" x14ac:dyDescent="0.25">
      <c r="A25" s="446" t="s">
        <v>366</v>
      </c>
      <c r="B25" s="446" t="s">
        <v>543</v>
      </c>
      <c r="C25" s="446" t="s">
        <v>368</v>
      </c>
      <c r="D25" t="str">
        <f>VLOOKUP(A27,VALO_PERSO!F:L,7,0)</f>
        <v>Technicien</v>
      </c>
      <c r="E25" s="73">
        <f>IF(VLOOKUP(A27,VALO_PERSO!$F:$M,8,0)&lt;='Calcul FF'!$K$1,'Calcul FF'!$K$1,VLOOKUP(A27,VALO_PERSO!$F:$M,8,0))</f>
        <v>45658</v>
      </c>
      <c r="F25" s="73">
        <f>IF(ISBLANK(VLOOKUP(A27,VALO_PERSO!$F:$N,9,0)),'Calcul FF'!$M$1,VLOOKUP(A27,VALO_PERSO!$F:$N,9,0))</f>
        <v>46022</v>
      </c>
      <c r="I25" s="77">
        <f>IFERROR(IF(VLOOKUP(A27,VALO_PERSO!F:L,7,0)="jeune docteur",VLOOKUP(A27,VALO_PERSO!F:AR,37,0)*2*'Calcul FF'!G25/('Calcul FF'!G25+'Calcul FF'!H25),VLOOKUP(A27,VALO_PERSO!F:AR,37,0)*'Calcul FF'!G25/('Calcul FF'!G25+'Calcul FF'!H25)),0)</f>
        <v>0</v>
      </c>
      <c r="J25" s="77">
        <f>IFERROR(VLOOKUP(A27,VALO_PERSO!F:AR,37,0)*'Calcul FF'!H25/('Calcul FF'!G25+'Calcul FF'!H25),0)</f>
        <v>0</v>
      </c>
      <c r="K25" s="77">
        <f t="shared" ref="K25:K26" si="11">IFERROR(IF(D25="jeune docteur",I25,I25*0.43),0)</f>
        <v>0</v>
      </c>
      <c r="L25" s="77">
        <f t="shared" ref="L25:L26" si="12">IFERROR(J25*0.4,0)</f>
        <v>0</v>
      </c>
    </row>
    <row r="26" spans="1:16" x14ac:dyDescent="0.25">
      <c r="A26" s="446">
        <v>1</v>
      </c>
      <c r="B26" s="446"/>
      <c r="C26" s="446"/>
      <c r="I26" s="77">
        <f>IFERROR(IF(VLOOKUP(A28,VALO_PERSO!F:L,7,0)="jeune docteur",VLOOKUP(A28,VALO_PERSO!F:AR,37,0)*2*'Calcul FF'!G26/('Calcul FF'!G26+'Calcul FF'!H26),VLOOKUP(A28,VALO_PERSO!F:AR,37,0)*'Calcul FF'!G26/('Calcul FF'!G26+'Calcul FF'!H26)),0)</f>
        <v>0</v>
      </c>
      <c r="J26" s="77">
        <f>IFERROR(VLOOKUP(A28,VALO_PERSO!F:AR,37,0)*'Calcul FF'!H26/('Calcul FF'!G26+'Calcul FF'!H26),0)</f>
        <v>0</v>
      </c>
      <c r="K26" s="77">
        <f t="shared" si="11"/>
        <v>0</v>
      </c>
      <c r="L26" s="77">
        <f t="shared" si="12"/>
        <v>0</v>
      </c>
    </row>
    <row r="27" spans="1:16" s="458" customFormat="1" x14ac:dyDescent="0.25">
      <c r="A27" s="446">
        <v>3</v>
      </c>
      <c r="B27" s="446"/>
      <c r="C27" s="446"/>
      <c r="D27" s="459"/>
      <c r="E27" s="459"/>
      <c r="F27" s="459"/>
      <c r="G27" s="459"/>
      <c r="H27" s="460" t="s">
        <v>437</v>
      </c>
      <c r="I27" s="461">
        <f>SUM(I24:I26)</f>
        <v>0</v>
      </c>
      <c r="J27" s="461">
        <f>SUM(J24:J26)</f>
        <v>0</v>
      </c>
      <c r="K27" s="461">
        <f>SUM(K24:K26)</f>
        <v>0</v>
      </c>
      <c r="L27" s="461">
        <f>SUM(L24:L26)</f>
        <v>0</v>
      </c>
    </row>
    <row r="28" spans="1:16" x14ac:dyDescent="0.25">
      <c r="A28" s="446">
        <v>8</v>
      </c>
      <c r="B28" s="446"/>
      <c r="C28" s="446"/>
    </row>
    <row r="29" spans="1:16" x14ac:dyDescent="0.25">
      <c r="A29" s="458"/>
      <c r="B29" s="459"/>
      <c r="C29" s="459"/>
    </row>
  </sheetData>
  <conditionalFormatting sqref="B30:B1048576 B14:B28 B1:B5">
    <cfRule type="duplicateValues" dxfId="56" priority="8"/>
  </conditionalFormatting>
  <conditionalFormatting sqref="P18">
    <cfRule type="containsText" dxfId="55" priority="5" operator="containsText" text="faux">
      <formula>NOT(ISERROR(SEARCH("faux",P18)))</formula>
    </cfRule>
    <cfRule type="containsText" dxfId="54" priority="6" operator="containsText" text="VRAI">
      <formula>NOT(ISERROR(SEARCH("VRAI",P18)))</formula>
    </cfRule>
  </conditionalFormatting>
  <conditionalFormatting sqref="A6:C12">
    <cfRule type="expression" dxfId="53" priority="2">
      <formula>$B6&gt;0</formula>
    </cfRule>
  </conditionalFormatting>
  <conditionalFormatting sqref="A6:A7 A8:C12">
    <cfRule type="duplicateValues" dxfId="52" priority="1"/>
  </conditionalFormatting>
  <pageMargins left="0.7" right="0.7" top="0.75" bottom="0.75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76879-BD85-461E-BC57-1D31037F846C}">
  <sheetPr codeName="Feuil13">
    <tabColor theme="7" tint="0.79998168889431442"/>
  </sheetPr>
  <dimension ref="A3:T33"/>
  <sheetViews>
    <sheetView showGridLines="0" topLeftCell="D1" workbookViewId="0">
      <selection activeCell="D3" sqref="D3"/>
    </sheetView>
  </sheetViews>
  <sheetFormatPr baseColWidth="10" defaultColWidth="11.42578125" defaultRowHeight="15" outlineLevelCol="1" x14ac:dyDescent="0.25"/>
  <cols>
    <col min="2" max="2" width="3.5703125" customWidth="1"/>
    <col min="7" max="7" width="13.7109375" customWidth="1"/>
    <col min="10" max="10" width="13.5703125" customWidth="1"/>
    <col min="16" max="16" width="11.5703125" customWidth="1" outlineLevel="1"/>
    <col min="17" max="17" width="1.7109375" customWidth="1"/>
    <col min="18" max="18" width="11.5703125" customWidth="1" outlineLevel="1"/>
    <col min="19" max="19" width="1.7109375" customWidth="1"/>
    <col min="20" max="20" width="11.5703125" outlineLevel="1"/>
  </cols>
  <sheetData>
    <row r="3" spans="2:20" ht="15.75" thickBot="1" x14ac:dyDescent="0.3">
      <c r="C3" s="99"/>
      <c r="D3" s="100"/>
      <c r="E3" s="100"/>
      <c r="F3" s="99"/>
      <c r="G3" s="100"/>
      <c r="H3" s="99"/>
      <c r="I3" s="99"/>
      <c r="J3" s="100"/>
      <c r="K3" s="99"/>
      <c r="L3" s="99"/>
      <c r="M3" s="99"/>
      <c r="N3" s="99"/>
      <c r="O3" s="100"/>
      <c r="P3" s="99"/>
      <c r="R3" s="99"/>
      <c r="T3" s="99"/>
    </row>
    <row r="4" spans="2:20" ht="45.75" thickBot="1" x14ac:dyDescent="0.3">
      <c r="C4" s="64" t="s">
        <v>451</v>
      </c>
      <c r="D4" s="64" t="s">
        <v>453</v>
      </c>
      <c r="E4" s="64" t="s">
        <v>544</v>
      </c>
      <c r="F4" s="64" t="s">
        <v>545</v>
      </c>
      <c r="G4" s="64" t="s">
        <v>546</v>
      </c>
      <c r="H4" s="64" t="s">
        <v>547</v>
      </c>
      <c r="I4" s="64" t="s">
        <v>548</v>
      </c>
      <c r="J4" s="64" t="s">
        <v>392</v>
      </c>
      <c r="K4" s="64" t="s">
        <v>549</v>
      </c>
      <c r="L4" s="64" t="s">
        <v>550</v>
      </c>
      <c r="M4" s="64" t="s">
        <v>551</v>
      </c>
      <c r="N4" s="64" t="s">
        <v>552</v>
      </c>
      <c r="O4" s="64" t="s">
        <v>553</v>
      </c>
      <c r="P4" s="64" t="s">
        <v>554</v>
      </c>
      <c r="R4" s="64" t="s">
        <v>555</v>
      </c>
      <c r="T4" s="64" t="s">
        <v>556</v>
      </c>
    </row>
    <row r="5" spans="2:20" ht="15.75" x14ac:dyDescent="0.3">
      <c r="B5" s="60">
        <f t="shared" ref="B5:B25" si="0">IF((P5+R5+T5)&gt;O5,1,0)</f>
        <v>0</v>
      </c>
      <c r="C5" s="84" t="b">
        <v>0</v>
      </c>
      <c r="D5" s="11"/>
      <c r="E5" s="11"/>
      <c r="F5" s="11"/>
      <c r="G5" s="11"/>
      <c r="H5" s="95"/>
      <c r="I5" s="11"/>
      <c r="J5" s="11"/>
      <c r="K5" s="11"/>
      <c r="L5" s="11"/>
      <c r="M5" s="11"/>
      <c r="N5" s="11"/>
      <c r="O5" s="11"/>
      <c r="P5" s="11"/>
      <c r="R5" s="11"/>
      <c r="T5" s="11"/>
    </row>
    <row r="6" spans="2:20" ht="15.75" x14ac:dyDescent="0.3">
      <c r="B6" s="60">
        <f t="shared" si="0"/>
        <v>0</v>
      </c>
      <c r="C6" s="84" t="b">
        <v>0</v>
      </c>
      <c r="D6" s="11"/>
      <c r="E6" s="11"/>
      <c r="F6" s="11"/>
      <c r="G6" s="11"/>
      <c r="H6" s="95"/>
      <c r="I6" s="11"/>
      <c r="J6" s="11"/>
      <c r="K6" s="11"/>
      <c r="L6" s="11"/>
      <c r="M6" s="11"/>
      <c r="N6" s="11"/>
      <c r="O6" s="11"/>
      <c r="P6" s="11"/>
      <c r="R6" s="11"/>
      <c r="T6" s="11"/>
    </row>
    <row r="7" spans="2:20" ht="15.75" x14ac:dyDescent="0.3">
      <c r="B7" s="60">
        <f t="shared" si="0"/>
        <v>0</v>
      </c>
      <c r="C7" s="84" t="b">
        <v>0</v>
      </c>
      <c r="D7" s="11"/>
      <c r="E7" s="11"/>
      <c r="F7" s="11"/>
      <c r="G7" s="11"/>
      <c r="H7" s="95"/>
      <c r="I7" s="11"/>
      <c r="J7" s="11"/>
      <c r="K7" s="11"/>
      <c r="L7" s="11"/>
      <c r="M7" s="11"/>
      <c r="N7" s="11"/>
      <c r="O7" s="11"/>
      <c r="P7" s="11"/>
      <c r="R7" s="11"/>
      <c r="T7" s="11"/>
    </row>
    <row r="8" spans="2:20" ht="15.75" x14ac:dyDescent="0.3">
      <c r="B8" s="60">
        <f t="shared" si="0"/>
        <v>0</v>
      </c>
      <c r="C8" s="84" t="b">
        <v>0</v>
      </c>
      <c r="D8" s="11"/>
      <c r="E8" s="11"/>
      <c r="F8" s="11"/>
      <c r="G8" s="11"/>
      <c r="H8" s="95"/>
      <c r="I8" s="11"/>
      <c r="J8" s="11"/>
      <c r="K8" s="11"/>
      <c r="L8" s="11"/>
      <c r="M8" s="11"/>
      <c r="N8" s="11"/>
      <c r="O8" s="11"/>
      <c r="P8" s="11"/>
      <c r="R8" s="11"/>
      <c r="T8" s="11"/>
    </row>
    <row r="9" spans="2:20" ht="15.75" x14ac:dyDescent="0.3">
      <c r="B9" s="60">
        <f t="shared" si="0"/>
        <v>0</v>
      </c>
      <c r="C9" s="84" t="b">
        <v>0</v>
      </c>
      <c r="D9" s="11"/>
      <c r="E9" s="11"/>
      <c r="F9" s="11"/>
      <c r="G9" s="11"/>
      <c r="H9" s="95"/>
      <c r="I9" s="11"/>
      <c r="J9" s="11"/>
      <c r="K9" s="11"/>
      <c r="L9" s="11"/>
      <c r="M9" s="11"/>
      <c r="N9" s="11"/>
      <c r="O9" s="11"/>
      <c r="P9" s="11"/>
      <c r="R9" s="11"/>
      <c r="T9" s="11"/>
    </row>
    <row r="10" spans="2:20" ht="15.75" x14ac:dyDescent="0.3">
      <c r="B10" s="60">
        <f t="shared" si="0"/>
        <v>0</v>
      </c>
      <c r="C10" s="84" t="b">
        <v>0</v>
      </c>
      <c r="D10" s="11"/>
      <c r="E10" s="11"/>
      <c r="F10" s="11"/>
      <c r="G10" s="11"/>
      <c r="H10" s="95"/>
      <c r="I10" s="11"/>
      <c r="J10" s="11"/>
      <c r="K10" s="11"/>
      <c r="L10" s="11"/>
      <c r="M10" s="11"/>
      <c r="N10" s="11"/>
      <c r="O10" s="11"/>
      <c r="P10" s="11"/>
      <c r="R10" s="11"/>
      <c r="T10" s="11"/>
    </row>
    <row r="11" spans="2:20" ht="15.75" x14ac:dyDescent="0.3">
      <c r="B11" s="60">
        <f t="shared" si="0"/>
        <v>0</v>
      </c>
      <c r="C11" s="84" t="b">
        <v>0</v>
      </c>
      <c r="D11" s="11"/>
      <c r="E11" s="11"/>
      <c r="F11" s="11"/>
      <c r="G11" s="11"/>
      <c r="H11" s="95"/>
      <c r="I11" s="11"/>
      <c r="J11" s="11"/>
      <c r="K11" s="11"/>
      <c r="L11" s="11"/>
      <c r="M11" s="11"/>
      <c r="N11" s="11"/>
      <c r="O11" s="11"/>
      <c r="P11" s="11"/>
      <c r="R11" s="11"/>
      <c r="T11" s="11"/>
    </row>
    <row r="12" spans="2:20" ht="15.75" x14ac:dyDescent="0.3">
      <c r="B12" s="60">
        <f t="shared" si="0"/>
        <v>0</v>
      </c>
      <c r="C12" s="84" t="b">
        <v>0</v>
      </c>
      <c r="D12" s="11"/>
      <c r="E12" s="11"/>
      <c r="F12" s="11"/>
      <c r="G12" s="11"/>
      <c r="H12" s="95"/>
      <c r="I12" s="11"/>
      <c r="J12" s="11"/>
      <c r="K12" s="11"/>
      <c r="L12" s="11"/>
      <c r="M12" s="11"/>
      <c r="N12" s="11"/>
      <c r="O12" s="11"/>
      <c r="P12" s="11"/>
      <c r="R12" s="11"/>
      <c r="T12" s="11"/>
    </row>
    <row r="13" spans="2:20" ht="15.75" x14ac:dyDescent="0.3">
      <c r="B13" s="60">
        <f t="shared" si="0"/>
        <v>0</v>
      </c>
      <c r="C13" s="84" t="b">
        <v>0</v>
      </c>
      <c r="D13" s="11"/>
      <c r="E13" s="11"/>
      <c r="F13" s="11"/>
      <c r="G13" s="11"/>
      <c r="H13" s="95"/>
      <c r="I13" s="11"/>
      <c r="J13" s="11"/>
      <c r="K13" s="11"/>
      <c r="L13" s="11"/>
      <c r="M13" s="11"/>
      <c r="N13" s="11"/>
      <c r="O13" s="11"/>
      <c r="P13" s="11"/>
      <c r="R13" s="11"/>
      <c r="T13" s="11"/>
    </row>
    <row r="14" spans="2:20" ht="15.75" x14ac:dyDescent="0.3">
      <c r="B14" s="60">
        <f t="shared" si="0"/>
        <v>0</v>
      </c>
      <c r="C14" s="84" t="b">
        <v>0</v>
      </c>
      <c r="D14" s="11"/>
      <c r="E14" s="11"/>
      <c r="F14" s="11"/>
      <c r="G14" s="11"/>
      <c r="H14" s="95"/>
      <c r="I14" s="11"/>
      <c r="J14" s="11"/>
      <c r="K14" s="11"/>
      <c r="L14" s="11"/>
      <c r="M14" s="11"/>
      <c r="N14" s="11"/>
      <c r="O14" s="11"/>
      <c r="P14" s="11"/>
      <c r="R14" s="11"/>
      <c r="T14" s="11"/>
    </row>
    <row r="15" spans="2:20" ht="15.75" x14ac:dyDescent="0.3">
      <c r="B15" s="60">
        <f t="shared" si="0"/>
        <v>0</v>
      </c>
      <c r="C15" s="84" t="b">
        <v>0</v>
      </c>
      <c r="D15" s="11"/>
      <c r="E15" s="11"/>
      <c r="F15" s="11"/>
      <c r="G15" s="11"/>
      <c r="H15" s="95"/>
      <c r="I15" s="11"/>
      <c r="J15" s="11"/>
      <c r="K15" s="11"/>
      <c r="L15" s="11"/>
      <c r="M15" s="11"/>
      <c r="N15" s="11"/>
      <c r="O15" s="11"/>
      <c r="P15" s="11"/>
      <c r="R15" s="11"/>
      <c r="T15" s="11"/>
    </row>
    <row r="16" spans="2:20" ht="15.75" x14ac:dyDescent="0.3">
      <c r="B16" s="60">
        <f t="shared" si="0"/>
        <v>0</v>
      </c>
      <c r="C16" s="84" t="b">
        <v>0</v>
      </c>
      <c r="D16" s="11"/>
      <c r="E16" s="11"/>
      <c r="F16" s="11"/>
      <c r="G16" s="11"/>
      <c r="H16" s="95"/>
      <c r="I16" s="11"/>
      <c r="J16" s="11"/>
      <c r="K16" s="11"/>
      <c r="L16" s="11"/>
      <c r="M16" s="11"/>
      <c r="N16" s="11"/>
      <c r="O16" s="11"/>
      <c r="P16" s="11"/>
      <c r="R16" s="11"/>
      <c r="T16" s="11"/>
    </row>
    <row r="17" spans="1:20" ht="15.75" x14ac:dyDescent="0.3">
      <c r="B17" s="60">
        <f t="shared" si="0"/>
        <v>0</v>
      </c>
      <c r="C17" s="84" t="b">
        <v>0</v>
      </c>
      <c r="D17" s="11"/>
      <c r="E17" s="11"/>
      <c r="F17" s="11"/>
      <c r="G17" s="11"/>
      <c r="H17" s="95"/>
      <c r="I17" s="11"/>
      <c r="J17" s="11"/>
      <c r="K17" s="11"/>
      <c r="L17" s="11"/>
      <c r="M17" s="11"/>
      <c r="N17" s="11"/>
      <c r="O17" s="11"/>
      <c r="P17" s="11"/>
      <c r="R17" s="11"/>
      <c r="T17" s="11"/>
    </row>
    <row r="18" spans="1:20" ht="15.75" x14ac:dyDescent="0.3">
      <c r="B18" s="60">
        <f t="shared" si="0"/>
        <v>0</v>
      </c>
      <c r="C18" s="84" t="b">
        <v>0</v>
      </c>
      <c r="D18" s="11"/>
      <c r="E18" s="11"/>
      <c r="F18" s="11"/>
      <c r="G18" s="11"/>
      <c r="H18" s="95"/>
      <c r="I18" s="11"/>
      <c r="J18" s="11"/>
      <c r="K18" s="11"/>
      <c r="L18" s="11"/>
      <c r="M18" s="11"/>
      <c r="N18" s="11"/>
      <c r="O18" s="11"/>
      <c r="P18" s="11"/>
      <c r="R18" s="11"/>
      <c r="T18" s="11"/>
    </row>
    <row r="19" spans="1:20" ht="15.75" x14ac:dyDescent="0.3">
      <c r="B19" s="60">
        <f t="shared" si="0"/>
        <v>0</v>
      </c>
      <c r="C19" s="84" t="b">
        <v>0</v>
      </c>
      <c r="D19" s="11"/>
      <c r="E19" s="11"/>
      <c r="F19" s="11"/>
      <c r="G19" s="11"/>
      <c r="H19" s="95"/>
      <c r="I19" s="11"/>
      <c r="J19" s="11"/>
      <c r="K19" s="11"/>
      <c r="L19" s="11"/>
      <c r="M19" s="11"/>
      <c r="N19" s="11"/>
      <c r="O19" s="11"/>
      <c r="P19" s="11"/>
      <c r="R19" s="11"/>
      <c r="T19" s="11"/>
    </row>
    <row r="20" spans="1:20" ht="15.75" x14ac:dyDescent="0.3">
      <c r="B20" s="60">
        <f t="shared" si="0"/>
        <v>0</v>
      </c>
      <c r="C20" s="84" t="b">
        <v>0</v>
      </c>
      <c r="D20" s="11"/>
      <c r="E20" s="11"/>
      <c r="F20" s="11"/>
      <c r="G20" s="11"/>
      <c r="H20" s="95"/>
      <c r="I20" s="11"/>
      <c r="J20" s="11"/>
      <c r="K20" s="11"/>
      <c r="L20" s="11"/>
      <c r="M20" s="11"/>
      <c r="N20" s="11"/>
      <c r="O20" s="11"/>
      <c r="P20" s="11"/>
      <c r="R20" s="11"/>
      <c r="T20" s="11"/>
    </row>
    <row r="21" spans="1:20" ht="15.75" x14ac:dyDescent="0.3">
      <c r="B21" s="60">
        <f t="shared" si="0"/>
        <v>0</v>
      </c>
      <c r="C21" s="84" t="b">
        <v>0</v>
      </c>
      <c r="D21" s="11"/>
      <c r="E21" s="11"/>
      <c r="F21" s="11"/>
      <c r="G21" s="11"/>
      <c r="H21" s="95"/>
      <c r="I21" s="11"/>
      <c r="J21" s="11"/>
      <c r="K21" s="11"/>
      <c r="L21" s="11"/>
      <c r="M21" s="11"/>
      <c r="N21" s="11"/>
      <c r="O21" s="11"/>
      <c r="P21" s="11"/>
      <c r="R21" s="11"/>
      <c r="T21" s="11"/>
    </row>
    <row r="22" spans="1:20" ht="15.75" x14ac:dyDescent="0.3">
      <c r="B22" s="60">
        <f t="shared" si="0"/>
        <v>0</v>
      </c>
      <c r="C22" s="84" t="b">
        <v>0</v>
      </c>
      <c r="D22" s="11"/>
      <c r="E22" s="11"/>
      <c r="F22" s="11"/>
      <c r="G22" s="11"/>
      <c r="H22" s="95"/>
      <c r="I22" s="11"/>
      <c r="J22" s="11"/>
      <c r="K22" s="11"/>
      <c r="L22" s="11"/>
      <c r="M22" s="11"/>
      <c r="N22" s="11"/>
      <c r="O22" s="11"/>
      <c r="P22" s="11"/>
      <c r="R22" s="11"/>
      <c r="T22" s="11"/>
    </row>
    <row r="23" spans="1:20" ht="15.75" x14ac:dyDescent="0.3">
      <c r="B23" s="60">
        <f t="shared" si="0"/>
        <v>0</v>
      </c>
      <c r="C23" s="84" t="b">
        <v>0</v>
      </c>
      <c r="D23" s="11"/>
      <c r="E23" s="11"/>
      <c r="F23" s="11"/>
      <c r="G23" s="11"/>
      <c r="H23" s="95"/>
      <c r="I23" s="11"/>
      <c r="J23" s="11"/>
      <c r="K23" s="11"/>
      <c r="L23" s="11"/>
      <c r="M23" s="11"/>
      <c r="N23" s="11"/>
      <c r="O23" s="11"/>
      <c r="P23" s="11"/>
      <c r="R23" s="11"/>
      <c r="T23" s="11"/>
    </row>
    <row r="24" spans="1:20" ht="15.75" x14ac:dyDescent="0.3">
      <c r="A24" t="s">
        <v>867</v>
      </c>
      <c r="B24" s="60">
        <f t="shared" si="0"/>
        <v>0</v>
      </c>
      <c r="C24" s="84" t="b">
        <v>0</v>
      </c>
      <c r="D24" s="11"/>
      <c r="E24" s="11"/>
      <c r="F24" s="11"/>
      <c r="G24" s="11"/>
      <c r="H24" s="95"/>
      <c r="I24" s="11"/>
      <c r="J24" s="11"/>
      <c r="K24" s="11"/>
      <c r="L24" s="11"/>
      <c r="M24" s="11"/>
      <c r="N24" s="11"/>
      <c r="O24" s="11"/>
      <c r="P24" s="11"/>
      <c r="R24" s="11"/>
      <c r="T24" s="11"/>
    </row>
    <row r="25" spans="1:20" ht="15.75" x14ac:dyDescent="0.3">
      <c r="B25" s="60">
        <f t="shared" si="0"/>
        <v>0</v>
      </c>
      <c r="C25" s="84" t="b">
        <v>0</v>
      </c>
      <c r="D25" s="11"/>
      <c r="E25" s="11"/>
      <c r="F25" s="11"/>
      <c r="G25" s="11"/>
      <c r="H25" s="95"/>
      <c r="I25" s="11"/>
      <c r="J25" s="11"/>
      <c r="K25" s="11"/>
      <c r="L25" s="11"/>
      <c r="M25" s="11"/>
      <c r="N25" s="11"/>
      <c r="O25" s="11"/>
      <c r="P25" s="11"/>
      <c r="R25" s="11"/>
      <c r="T25" s="11"/>
    </row>
    <row r="26" spans="1:20" ht="15.75" thickBot="1" x14ac:dyDescent="0.3"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148"/>
      <c r="N26" s="65" t="s">
        <v>557</v>
      </c>
      <c r="O26" s="98">
        <f>SUM(O5:O25)</f>
        <v>0</v>
      </c>
      <c r="P26" s="98">
        <f>SUM(P5:P25)</f>
        <v>0</v>
      </c>
      <c r="Q26" s="76"/>
      <c r="R26" s="98">
        <f>SUM(R5:R25)</f>
        <v>0</v>
      </c>
      <c r="S26" s="76"/>
      <c r="T26" s="98">
        <f>SUM(T5:T25)</f>
        <v>0</v>
      </c>
    </row>
    <row r="28" spans="1:20" ht="15.75" thickBot="1" x14ac:dyDescent="0.3">
      <c r="K28" s="62"/>
      <c r="L28" s="62"/>
      <c r="M28" s="62"/>
      <c r="N28" s="62"/>
      <c r="O28" s="148" t="s">
        <v>558</v>
      </c>
      <c r="P28" s="447">
        <f>SUMIF(I:I,parametrage!$Q$2,VALO_BREVET!P:P)</f>
        <v>0</v>
      </c>
      <c r="R28" s="447">
        <f>SUMIF(I:I,parametrage!$Q$2,VALO_BREVET!R:R)</f>
        <v>0</v>
      </c>
      <c r="S28" s="449"/>
      <c r="T28" s="447">
        <f>SUMIF(I:I,parametrage!$Q$2,VALO_BREVET!T:T)</f>
        <v>0</v>
      </c>
    </row>
    <row r="29" spans="1:20" ht="15.75" thickBot="1" x14ac:dyDescent="0.3">
      <c r="K29" s="62"/>
      <c r="L29" s="62"/>
      <c r="M29" s="62"/>
      <c r="N29" s="62"/>
      <c r="O29" s="148" t="s">
        <v>559</v>
      </c>
      <c r="P29" s="447">
        <f>SUMIF(I:I,parametrage!$Q$3,VALO_BREVET!P:P)</f>
        <v>0</v>
      </c>
      <c r="R29" s="447">
        <f>SUMIF(I:I,parametrage!$Q$3,VALO_BREVET!R:R)</f>
        <v>0</v>
      </c>
      <c r="S29" s="449"/>
      <c r="T29" s="447">
        <f>IF(SUMIF(I:I,parametrage!$Q$3,VALO_BREVET!T:T)&gt;60000,60000,SUMIF(I:I,parametrage!$Q$3,VALO_BREVET!T:T))</f>
        <v>0</v>
      </c>
    </row>
    <row r="30" spans="1:20" ht="15.75" thickBot="1" x14ac:dyDescent="0.3">
      <c r="K30" s="62"/>
      <c r="L30" s="62"/>
      <c r="M30" s="62"/>
      <c r="N30" s="62"/>
      <c r="O30" s="148" t="s">
        <v>560</v>
      </c>
      <c r="P30" s="447">
        <f>SUMIF(I:I,parametrage!$Q$4,VALO_BREVET!P:P)</f>
        <v>0</v>
      </c>
      <c r="R30" s="448"/>
      <c r="T30" s="448"/>
    </row>
    <row r="33" spans="16:20" x14ac:dyDescent="0.25">
      <c r="P33" t="b">
        <f>P26=SUM(P28:P30)</f>
        <v>1</v>
      </c>
      <c r="R33" t="b">
        <f>R26=SUM(R28:R30)</f>
        <v>1</v>
      </c>
      <c r="T33" t="b">
        <f>T26=SUM(T28:T30)</f>
        <v>1</v>
      </c>
    </row>
  </sheetData>
  <conditionalFormatting sqref="C5:L25">
    <cfRule type="expression" dxfId="51" priority="12">
      <formula>$B5&gt;0</formula>
    </cfRule>
  </conditionalFormatting>
  <conditionalFormatting sqref="P33:T33">
    <cfRule type="containsText" dxfId="50" priority="2" operator="containsText" text="FAUX">
      <formula>NOT(ISERROR(SEARCH("FAUX",P33)))</formula>
    </cfRule>
    <cfRule type="containsText" dxfId="49" priority="3" operator="containsText" text="VRAI">
      <formula>NOT(ISERROR(SEARCH("VRAI",P33)))</formula>
    </cfRule>
  </conditionalFormatting>
  <conditionalFormatting sqref="E1:E1048576">
    <cfRule type="duplicateValues" dxfId="48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1" r:id="rId3" name="Button 5">
              <controlPr defaultSize="0" print="0" autoFill="0" autoPict="0" macro="[0]!Module15.DupliquerLignesAvecTexteDansToutesFeuilles">
                <anchor moveWithCells="1" siz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4</xdr:col>
                    <xdr:colOff>19050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C4BB2858-50DD-4F32-9504-B4C35CEDF1ED}">
            <xm:f>N5=parametrage!$S$3</xm:f>
            <x14:dxf>
              <fill>
                <patternFill>
                  <bgColor rgb="FFFF0000"/>
                </patternFill>
              </fill>
            </x14:dxf>
          </x14:cfRule>
          <x14:cfRule type="expression" priority="9" id="{DC2380DF-D8D8-437F-9C0A-A8A80E5A93D7}">
            <xm:f>N5=parametrage!$S$3</xm:f>
            <x14:dxf>
              <fill>
                <patternFill>
                  <bgColor rgb="FFFF0000"/>
                </patternFill>
              </fill>
            </x14:dxf>
          </x14:cfRule>
          <xm:sqref>R5:R25</xm:sqref>
        </x14:conditionalFormatting>
        <x14:conditionalFormatting xmlns:xm="http://schemas.microsoft.com/office/excel/2006/main">
          <x14:cfRule type="expression" priority="4" id="{352A7A7C-ABDC-4A80-92C5-1A3086D522E1}">
            <xm:f>N5=parametrage!$S$2</xm:f>
            <x14:dxf>
              <fill>
                <patternFill>
                  <bgColor rgb="FFFF0000"/>
                </patternFill>
              </fill>
            </x14:dxf>
          </x14:cfRule>
          <x14:cfRule type="expression" priority="8" id="{ECC754A7-C819-4400-A709-0CC8473D27B9}">
            <xm:f>N5=parametrage!$S$3</xm:f>
            <x14:dxf>
              <fill>
                <patternFill>
                  <bgColor rgb="FFFF0000"/>
                </patternFill>
              </fill>
            </x14:dxf>
          </x14:cfRule>
          <xm:sqref>T5:T25</xm:sqref>
        </x14:conditionalFormatting>
        <x14:conditionalFormatting xmlns:xm="http://schemas.microsoft.com/office/excel/2006/main">
          <x14:cfRule type="expression" priority="6" id="{BE224037-E8F6-4043-BEF0-E3E5D251303A}">
            <xm:f>N5=parametrage!$S$4</xm:f>
            <x14:dxf>
              <fill>
                <patternFill>
                  <bgColor rgb="FFFF0000"/>
                </patternFill>
              </fill>
            </x14:dxf>
          </x14:cfRule>
          <x14:cfRule type="expression" priority="7" id="{5A233F2A-4D0D-43ED-828B-049D98D24198}">
            <xm:f>N5=parametrage!$S$3</xm:f>
            <x14:dxf>
              <fill>
                <patternFill>
                  <bgColor rgb="FFFF0000"/>
                </patternFill>
              </fill>
            </x14:dxf>
          </x14:cfRule>
          <xm:sqref>P5:P25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BA8EA21-121B-4A15-ABF1-08874BEF6887}">
          <x14:formula1>
            <xm:f>parametrage!$Q$2:$Q$4</xm:f>
          </x14:formula1>
          <xm:sqref>I5:I25</xm:sqref>
        </x14:dataValidation>
        <x14:dataValidation type="list" allowBlank="1" showInputMessage="1" showErrorMessage="1" xr:uid="{DE6100E1-19D4-4ABB-A4DA-6F3443F18E10}">
          <x14:formula1>
            <xm:f>parametrage!$S$2:$S$4</xm:f>
          </x14:formula1>
          <xm:sqref>N5:N25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203D1-C835-4110-8C46-166E62C31DB1}">
  <sheetPr codeName="Feuil24">
    <tabColor rgb="FF2D44EA"/>
  </sheetPr>
  <dimension ref="A1:M27"/>
  <sheetViews>
    <sheetView showGridLines="0" workbookViewId="0">
      <selection activeCell="O26" sqref="O26"/>
    </sheetView>
  </sheetViews>
  <sheetFormatPr baseColWidth="10" defaultColWidth="11.42578125" defaultRowHeight="15" outlineLevelCol="1" x14ac:dyDescent="0.25"/>
  <cols>
    <col min="5" max="5" width="13.5703125" customWidth="1"/>
    <col min="9" max="9" width="11.5703125" customWidth="1" outlineLevel="1"/>
    <col min="10" max="10" width="1.7109375" customWidth="1"/>
    <col min="11" max="11" width="11.5703125" customWidth="1" outlineLevel="1"/>
    <col min="12" max="12" width="1.7109375" customWidth="1"/>
    <col min="13" max="13" width="11.5703125" outlineLevel="1"/>
  </cols>
  <sheetData>
    <row r="1" spans="2:13" ht="30.75" thickBot="1" x14ac:dyDescent="0.3">
      <c r="B1" s="64" t="s">
        <v>544</v>
      </c>
      <c r="C1" s="64" t="s">
        <v>547</v>
      </c>
      <c r="D1" s="64" t="s">
        <v>548</v>
      </c>
      <c r="E1" s="64" t="s">
        <v>329</v>
      </c>
      <c r="F1" s="64" t="s">
        <v>549</v>
      </c>
      <c r="G1" s="64" t="s">
        <v>550</v>
      </c>
      <c r="H1" s="64" t="s">
        <v>553</v>
      </c>
      <c r="I1" s="64" t="s">
        <v>554</v>
      </c>
      <c r="K1" s="64" t="s">
        <v>555</v>
      </c>
      <c r="M1" s="64" t="s">
        <v>556</v>
      </c>
    </row>
    <row r="2" spans="2:13" ht="15.75" x14ac:dyDescent="0.3">
      <c r="B2" s="11">
        <f>VALO_BREVET!E5</f>
        <v>0</v>
      </c>
      <c r="C2" s="11">
        <f>VALO_BREVET!H5</f>
        <v>0</v>
      </c>
      <c r="D2" s="11">
        <f>VALO_BREVET!I5</f>
        <v>0</v>
      </c>
      <c r="E2" s="11">
        <f>VALO_BREVET!J5</f>
        <v>0</v>
      </c>
      <c r="F2" s="11">
        <f>VALO_BREVET!K5</f>
        <v>0</v>
      </c>
      <c r="G2" s="11">
        <f>VALO_BREVET!L5</f>
        <v>0</v>
      </c>
      <c r="H2" s="11">
        <f>VALO_BREVET!O5</f>
        <v>0</v>
      </c>
      <c r="I2" s="11">
        <f>VALO_BREVET!P5</f>
        <v>0</v>
      </c>
      <c r="K2" s="11">
        <f>VALO_BREVET!R5</f>
        <v>0</v>
      </c>
      <c r="M2" s="11">
        <f>VALO_BREVET!T5</f>
        <v>0</v>
      </c>
    </row>
    <row r="3" spans="2:13" ht="15.75" x14ac:dyDescent="0.3">
      <c r="B3" s="11">
        <f>VALO_BREVET!E6</f>
        <v>0</v>
      </c>
      <c r="C3" s="11">
        <f>VALO_BREVET!H6</f>
        <v>0</v>
      </c>
      <c r="D3" s="11">
        <f>VALO_BREVET!I6</f>
        <v>0</v>
      </c>
      <c r="E3" s="11">
        <f>VALO_BREVET!J6</f>
        <v>0</v>
      </c>
      <c r="F3" s="11">
        <f>VALO_BREVET!K6</f>
        <v>0</v>
      </c>
      <c r="G3" s="11">
        <f>VALO_BREVET!L6</f>
        <v>0</v>
      </c>
      <c r="H3" s="11">
        <f>VALO_BREVET!O6</f>
        <v>0</v>
      </c>
      <c r="I3" s="11">
        <f>VALO_BREVET!P6</f>
        <v>0</v>
      </c>
      <c r="K3" s="11">
        <f>VALO_BREVET!R6</f>
        <v>0</v>
      </c>
      <c r="M3" s="11">
        <f>VALO_BREVET!T6</f>
        <v>0</v>
      </c>
    </row>
    <row r="4" spans="2:13" ht="15.75" x14ac:dyDescent="0.3">
      <c r="B4" s="11">
        <f>VALO_BREVET!E7</f>
        <v>0</v>
      </c>
      <c r="C4" s="11">
        <f>VALO_BREVET!H7</f>
        <v>0</v>
      </c>
      <c r="D4" s="11">
        <f>VALO_BREVET!I7</f>
        <v>0</v>
      </c>
      <c r="E4" s="11">
        <f>VALO_BREVET!J7</f>
        <v>0</v>
      </c>
      <c r="F4" s="11">
        <f>VALO_BREVET!K7</f>
        <v>0</v>
      </c>
      <c r="G4" s="11">
        <f>VALO_BREVET!L7</f>
        <v>0</v>
      </c>
      <c r="H4" s="11">
        <f>VALO_BREVET!O7</f>
        <v>0</v>
      </c>
      <c r="I4" s="11">
        <f>VALO_BREVET!P7</f>
        <v>0</v>
      </c>
      <c r="K4" s="11">
        <f>VALO_BREVET!R7</f>
        <v>0</v>
      </c>
      <c r="M4" s="11">
        <f>VALO_BREVET!T7</f>
        <v>0</v>
      </c>
    </row>
    <row r="5" spans="2:13" ht="15.75" x14ac:dyDescent="0.3">
      <c r="B5" s="11">
        <f>VALO_BREVET!E8</f>
        <v>0</v>
      </c>
      <c r="C5" s="11">
        <f>VALO_BREVET!H8</f>
        <v>0</v>
      </c>
      <c r="D5" s="11">
        <f>VALO_BREVET!I8</f>
        <v>0</v>
      </c>
      <c r="E5" s="11">
        <f>VALO_BREVET!J8</f>
        <v>0</v>
      </c>
      <c r="F5" s="11">
        <f>VALO_BREVET!K8</f>
        <v>0</v>
      </c>
      <c r="G5" s="11">
        <f>VALO_BREVET!L8</f>
        <v>0</v>
      </c>
      <c r="H5" s="11">
        <f>VALO_BREVET!O8</f>
        <v>0</v>
      </c>
      <c r="I5" s="11">
        <f>VALO_BREVET!P8</f>
        <v>0</v>
      </c>
      <c r="K5" s="11">
        <f>VALO_BREVET!R8</f>
        <v>0</v>
      </c>
      <c r="M5" s="11">
        <f>VALO_BREVET!T8</f>
        <v>0</v>
      </c>
    </row>
    <row r="6" spans="2:13" ht="15.75" x14ac:dyDescent="0.3">
      <c r="B6" s="11">
        <f>VALO_BREVET!E9</f>
        <v>0</v>
      </c>
      <c r="C6" s="11">
        <f>VALO_BREVET!H9</f>
        <v>0</v>
      </c>
      <c r="D6" s="11">
        <f>VALO_BREVET!I9</f>
        <v>0</v>
      </c>
      <c r="E6" s="11">
        <f>VALO_BREVET!J9</f>
        <v>0</v>
      </c>
      <c r="F6" s="11">
        <f>VALO_BREVET!K9</f>
        <v>0</v>
      </c>
      <c r="G6" s="11">
        <f>VALO_BREVET!L9</f>
        <v>0</v>
      </c>
      <c r="H6" s="11">
        <f>VALO_BREVET!O9</f>
        <v>0</v>
      </c>
      <c r="I6" s="11">
        <f>VALO_BREVET!P9</f>
        <v>0</v>
      </c>
      <c r="K6" s="11">
        <f>VALO_BREVET!R9</f>
        <v>0</v>
      </c>
      <c r="M6" s="11">
        <f>VALO_BREVET!T9</f>
        <v>0</v>
      </c>
    </row>
    <row r="7" spans="2:13" ht="15.75" x14ac:dyDescent="0.3">
      <c r="B7" s="11">
        <f>VALO_BREVET!E10</f>
        <v>0</v>
      </c>
      <c r="C7" s="11">
        <f>VALO_BREVET!H10</f>
        <v>0</v>
      </c>
      <c r="D7" s="11">
        <f>VALO_BREVET!I10</f>
        <v>0</v>
      </c>
      <c r="E7" s="11">
        <f>VALO_BREVET!J10</f>
        <v>0</v>
      </c>
      <c r="F7" s="11">
        <f>VALO_BREVET!K10</f>
        <v>0</v>
      </c>
      <c r="G7" s="11">
        <f>VALO_BREVET!L10</f>
        <v>0</v>
      </c>
      <c r="H7" s="11">
        <f>VALO_BREVET!O10</f>
        <v>0</v>
      </c>
      <c r="I7" s="11">
        <f>VALO_BREVET!P10</f>
        <v>0</v>
      </c>
      <c r="K7" s="11">
        <f>VALO_BREVET!R10</f>
        <v>0</v>
      </c>
      <c r="M7" s="11">
        <f>VALO_BREVET!T10</f>
        <v>0</v>
      </c>
    </row>
    <row r="8" spans="2:13" ht="15.75" x14ac:dyDescent="0.3">
      <c r="B8" s="11">
        <f>VALO_BREVET!E11</f>
        <v>0</v>
      </c>
      <c r="C8" s="11">
        <f>VALO_BREVET!H11</f>
        <v>0</v>
      </c>
      <c r="D8" s="11">
        <f>VALO_BREVET!I11</f>
        <v>0</v>
      </c>
      <c r="E8" s="11">
        <f>VALO_BREVET!J11</f>
        <v>0</v>
      </c>
      <c r="F8" s="11">
        <f>VALO_BREVET!K11</f>
        <v>0</v>
      </c>
      <c r="G8" s="11">
        <f>VALO_BREVET!L11</f>
        <v>0</v>
      </c>
      <c r="H8" s="11">
        <f>VALO_BREVET!O11</f>
        <v>0</v>
      </c>
      <c r="I8" s="11">
        <f>VALO_BREVET!P11</f>
        <v>0</v>
      </c>
      <c r="K8" s="11">
        <f>VALO_BREVET!R11</f>
        <v>0</v>
      </c>
      <c r="M8" s="11">
        <f>VALO_BREVET!T11</f>
        <v>0</v>
      </c>
    </row>
    <row r="9" spans="2:13" ht="15.75" x14ac:dyDescent="0.3">
      <c r="B9" s="11">
        <f>VALO_BREVET!E12</f>
        <v>0</v>
      </c>
      <c r="C9" s="11">
        <f>VALO_BREVET!H12</f>
        <v>0</v>
      </c>
      <c r="D9" s="11">
        <f>VALO_BREVET!I12</f>
        <v>0</v>
      </c>
      <c r="E9" s="11">
        <f>VALO_BREVET!J12</f>
        <v>0</v>
      </c>
      <c r="F9" s="11">
        <f>VALO_BREVET!K12</f>
        <v>0</v>
      </c>
      <c r="G9" s="11">
        <f>VALO_BREVET!L12</f>
        <v>0</v>
      </c>
      <c r="H9" s="11">
        <f>VALO_BREVET!O12</f>
        <v>0</v>
      </c>
      <c r="I9" s="11">
        <f>VALO_BREVET!P12</f>
        <v>0</v>
      </c>
      <c r="K9" s="11">
        <f>VALO_BREVET!R12</f>
        <v>0</v>
      </c>
      <c r="M9" s="11">
        <f>VALO_BREVET!T12</f>
        <v>0</v>
      </c>
    </row>
    <row r="10" spans="2:13" ht="15.75" x14ac:dyDescent="0.3">
      <c r="B10" s="11">
        <f>VALO_BREVET!E13</f>
        <v>0</v>
      </c>
      <c r="C10" s="11">
        <f>VALO_BREVET!H13</f>
        <v>0</v>
      </c>
      <c r="D10" s="11">
        <f>VALO_BREVET!I13</f>
        <v>0</v>
      </c>
      <c r="E10" s="11">
        <f>VALO_BREVET!J13</f>
        <v>0</v>
      </c>
      <c r="F10" s="11">
        <f>VALO_BREVET!K13</f>
        <v>0</v>
      </c>
      <c r="G10" s="11">
        <f>VALO_BREVET!L13</f>
        <v>0</v>
      </c>
      <c r="H10" s="11">
        <f>VALO_BREVET!O13</f>
        <v>0</v>
      </c>
      <c r="I10" s="11">
        <f>VALO_BREVET!P13</f>
        <v>0</v>
      </c>
      <c r="K10" s="11">
        <f>VALO_BREVET!R13</f>
        <v>0</v>
      </c>
      <c r="M10" s="11">
        <f>VALO_BREVET!T13</f>
        <v>0</v>
      </c>
    </row>
    <row r="11" spans="2:13" ht="15.75" x14ac:dyDescent="0.3">
      <c r="B11" s="11">
        <f>VALO_BREVET!E14</f>
        <v>0</v>
      </c>
      <c r="C11" s="11">
        <f>VALO_BREVET!H14</f>
        <v>0</v>
      </c>
      <c r="D11" s="11">
        <f>VALO_BREVET!I14</f>
        <v>0</v>
      </c>
      <c r="E11" s="11">
        <f>VALO_BREVET!J14</f>
        <v>0</v>
      </c>
      <c r="F11" s="11">
        <f>VALO_BREVET!K14</f>
        <v>0</v>
      </c>
      <c r="G11" s="11">
        <f>VALO_BREVET!L14</f>
        <v>0</v>
      </c>
      <c r="H11" s="11">
        <f>VALO_BREVET!O14</f>
        <v>0</v>
      </c>
      <c r="I11" s="11">
        <f>VALO_BREVET!P14</f>
        <v>0</v>
      </c>
      <c r="K11" s="11">
        <f>VALO_BREVET!R14</f>
        <v>0</v>
      </c>
      <c r="M11" s="11">
        <f>VALO_BREVET!T14</f>
        <v>0</v>
      </c>
    </row>
    <row r="12" spans="2:13" ht="15.75" x14ac:dyDescent="0.3">
      <c r="B12" s="11">
        <f>VALO_BREVET!E15</f>
        <v>0</v>
      </c>
      <c r="C12" s="11">
        <f>VALO_BREVET!H15</f>
        <v>0</v>
      </c>
      <c r="D12" s="11">
        <f>VALO_BREVET!I15</f>
        <v>0</v>
      </c>
      <c r="E12" s="11">
        <f>VALO_BREVET!J15</f>
        <v>0</v>
      </c>
      <c r="F12" s="11">
        <f>VALO_BREVET!K15</f>
        <v>0</v>
      </c>
      <c r="G12" s="11">
        <f>VALO_BREVET!L15</f>
        <v>0</v>
      </c>
      <c r="H12" s="11">
        <f>VALO_BREVET!O15</f>
        <v>0</v>
      </c>
      <c r="I12" s="11">
        <f>VALO_BREVET!P15</f>
        <v>0</v>
      </c>
      <c r="K12" s="11">
        <f>VALO_BREVET!R15</f>
        <v>0</v>
      </c>
      <c r="M12" s="11">
        <f>VALO_BREVET!T15</f>
        <v>0</v>
      </c>
    </row>
    <row r="13" spans="2:13" ht="15.75" x14ac:dyDescent="0.3">
      <c r="B13" s="11">
        <f>VALO_BREVET!E16</f>
        <v>0</v>
      </c>
      <c r="C13" s="11">
        <f>VALO_BREVET!H16</f>
        <v>0</v>
      </c>
      <c r="D13" s="11">
        <f>VALO_BREVET!I16</f>
        <v>0</v>
      </c>
      <c r="E13" s="11">
        <f>VALO_BREVET!J16</f>
        <v>0</v>
      </c>
      <c r="F13" s="11">
        <f>VALO_BREVET!K16</f>
        <v>0</v>
      </c>
      <c r="G13" s="11">
        <f>VALO_BREVET!L16</f>
        <v>0</v>
      </c>
      <c r="H13" s="11">
        <f>VALO_BREVET!O16</f>
        <v>0</v>
      </c>
      <c r="I13" s="11">
        <f>VALO_BREVET!P16</f>
        <v>0</v>
      </c>
      <c r="K13" s="11">
        <f>VALO_BREVET!R16</f>
        <v>0</v>
      </c>
      <c r="M13" s="11">
        <f>VALO_BREVET!T16</f>
        <v>0</v>
      </c>
    </row>
    <row r="14" spans="2:13" ht="15.75" x14ac:dyDescent="0.3">
      <c r="B14" s="11">
        <f>VALO_BREVET!E17</f>
        <v>0</v>
      </c>
      <c r="C14" s="11">
        <f>VALO_BREVET!H17</f>
        <v>0</v>
      </c>
      <c r="D14" s="11">
        <f>VALO_BREVET!I17</f>
        <v>0</v>
      </c>
      <c r="E14" s="11">
        <f>VALO_BREVET!J17</f>
        <v>0</v>
      </c>
      <c r="F14" s="11">
        <f>VALO_BREVET!K17</f>
        <v>0</v>
      </c>
      <c r="G14" s="11">
        <f>VALO_BREVET!L17</f>
        <v>0</v>
      </c>
      <c r="H14" s="11">
        <f>VALO_BREVET!O17</f>
        <v>0</v>
      </c>
      <c r="I14" s="11">
        <f>VALO_BREVET!P17</f>
        <v>0</v>
      </c>
      <c r="K14" s="11">
        <f>VALO_BREVET!R17</f>
        <v>0</v>
      </c>
      <c r="M14" s="11">
        <f>VALO_BREVET!T17</f>
        <v>0</v>
      </c>
    </row>
    <row r="15" spans="2:13" ht="15.75" x14ac:dyDescent="0.3">
      <c r="B15" s="11">
        <f>VALO_BREVET!E18</f>
        <v>0</v>
      </c>
      <c r="C15" s="11">
        <f>VALO_BREVET!H18</f>
        <v>0</v>
      </c>
      <c r="D15" s="11">
        <f>VALO_BREVET!I18</f>
        <v>0</v>
      </c>
      <c r="E15" s="11">
        <f>VALO_BREVET!J18</f>
        <v>0</v>
      </c>
      <c r="F15" s="11">
        <f>VALO_BREVET!K18</f>
        <v>0</v>
      </c>
      <c r="G15" s="11">
        <f>VALO_BREVET!L18</f>
        <v>0</v>
      </c>
      <c r="H15" s="11">
        <f>VALO_BREVET!O18</f>
        <v>0</v>
      </c>
      <c r="I15" s="11">
        <f>VALO_BREVET!P18</f>
        <v>0</v>
      </c>
      <c r="K15" s="11">
        <f>VALO_BREVET!R18</f>
        <v>0</v>
      </c>
      <c r="M15" s="11">
        <f>VALO_BREVET!T18</f>
        <v>0</v>
      </c>
    </row>
    <row r="16" spans="2:13" ht="15.75" x14ac:dyDescent="0.3">
      <c r="B16" s="11">
        <f>VALO_BREVET!E19</f>
        <v>0</v>
      </c>
      <c r="C16" s="11">
        <f>VALO_BREVET!H19</f>
        <v>0</v>
      </c>
      <c r="D16" s="11">
        <f>VALO_BREVET!I19</f>
        <v>0</v>
      </c>
      <c r="E16" s="11">
        <f>VALO_BREVET!J19</f>
        <v>0</v>
      </c>
      <c r="F16" s="11">
        <f>VALO_BREVET!K19</f>
        <v>0</v>
      </c>
      <c r="G16" s="11">
        <f>VALO_BREVET!L19</f>
        <v>0</v>
      </c>
      <c r="H16" s="11">
        <f>VALO_BREVET!O19</f>
        <v>0</v>
      </c>
      <c r="I16" s="11">
        <f>VALO_BREVET!P19</f>
        <v>0</v>
      </c>
      <c r="K16" s="11">
        <f>VALO_BREVET!R19</f>
        <v>0</v>
      </c>
      <c r="M16" s="11">
        <f>VALO_BREVET!T19</f>
        <v>0</v>
      </c>
    </row>
    <row r="17" spans="1:13" ht="15.75" x14ac:dyDescent="0.3">
      <c r="B17" s="11">
        <f>VALO_BREVET!E20</f>
        <v>0</v>
      </c>
      <c r="C17" s="11">
        <f>VALO_BREVET!H20</f>
        <v>0</v>
      </c>
      <c r="D17" s="11">
        <f>VALO_BREVET!I20</f>
        <v>0</v>
      </c>
      <c r="E17" s="11">
        <f>VALO_BREVET!J20</f>
        <v>0</v>
      </c>
      <c r="F17" s="11">
        <f>VALO_BREVET!K20</f>
        <v>0</v>
      </c>
      <c r="G17" s="11">
        <f>VALO_BREVET!L20</f>
        <v>0</v>
      </c>
      <c r="H17" s="11">
        <f>VALO_BREVET!O20</f>
        <v>0</v>
      </c>
      <c r="I17" s="11">
        <f>VALO_BREVET!P20</f>
        <v>0</v>
      </c>
      <c r="K17" s="11">
        <f>VALO_BREVET!R20</f>
        <v>0</v>
      </c>
      <c r="M17" s="11">
        <f>VALO_BREVET!T20</f>
        <v>0</v>
      </c>
    </row>
    <row r="18" spans="1:13" ht="15.75" x14ac:dyDescent="0.3">
      <c r="B18" s="11">
        <f>VALO_BREVET!E21</f>
        <v>0</v>
      </c>
      <c r="C18" s="11">
        <f>VALO_BREVET!H21</f>
        <v>0</v>
      </c>
      <c r="D18" s="11">
        <f>VALO_BREVET!I21</f>
        <v>0</v>
      </c>
      <c r="E18" s="11">
        <f>VALO_BREVET!J21</f>
        <v>0</v>
      </c>
      <c r="F18" s="11">
        <f>VALO_BREVET!K21</f>
        <v>0</v>
      </c>
      <c r="G18" s="11">
        <f>VALO_BREVET!L21</f>
        <v>0</v>
      </c>
      <c r="H18" s="11">
        <f>VALO_BREVET!O21</f>
        <v>0</v>
      </c>
      <c r="I18" s="11">
        <f>VALO_BREVET!P21</f>
        <v>0</v>
      </c>
      <c r="K18" s="11">
        <f>VALO_BREVET!R21</f>
        <v>0</v>
      </c>
      <c r="M18" s="11">
        <f>VALO_BREVET!T21</f>
        <v>0</v>
      </c>
    </row>
    <row r="19" spans="1:13" ht="15.75" x14ac:dyDescent="0.3">
      <c r="B19" s="11">
        <f>VALO_BREVET!E22</f>
        <v>0</v>
      </c>
      <c r="C19" s="11">
        <f>VALO_BREVET!H22</f>
        <v>0</v>
      </c>
      <c r="D19" s="11">
        <f>VALO_BREVET!I22</f>
        <v>0</v>
      </c>
      <c r="E19" s="11">
        <f>VALO_BREVET!J22</f>
        <v>0</v>
      </c>
      <c r="F19" s="11">
        <f>VALO_BREVET!K22</f>
        <v>0</v>
      </c>
      <c r="G19" s="11">
        <f>VALO_BREVET!L22</f>
        <v>0</v>
      </c>
      <c r="H19" s="11">
        <f>VALO_BREVET!O22</f>
        <v>0</v>
      </c>
      <c r="I19" s="11">
        <f>VALO_BREVET!P22</f>
        <v>0</v>
      </c>
      <c r="K19" s="11">
        <f>VALO_BREVET!R22</f>
        <v>0</v>
      </c>
      <c r="M19" s="11">
        <f>VALO_BREVET!T22</f>
        <v>0</v>
      </c>
    </row>
    <row r="20" spans="1:13" ht="15.75" x14ac:dyDescent="0.3">
      <c r="B20" s="11">
        <f>VALO_BREVET!E23</f>
        <v>0</v>
      </c>
      <c r="C20" s="11">
        <f>VALO_BREVET!H23</f>
        <v>0</v>
      </c>
      <c r="D20" s="11">
        <f>VALO_BREVET!I23</f>
        <v>0</v>
      </c>
      <c r="E20" s="11">
        <f>VALO_BREVET!J23</f>
        <v>0</v>
      </c>
      <c r="F20" s="11">
        <f>VALO_BREVET!K23</f>
        <v>0</v>
      </c>
      <c r="G20" s="11">
        <f>VALO_BREVET!L23</f>
        <v>0</v>
      </c>
      <c r="H20" s="11">
        <f>VALO_BREVET!O23</f>
        <v>0</v>
      </c>
      <c r="I20" s="11">
        <f>VALO_BREVET!P23</f>
        <v>0</v>
      </c>
      <c r="K20" s="11">
        <f>VALO_BREVET!R23</f>
        <v>0</v>
      </c>
      <c r="M20" s="11">
        <f>VALO_BREVET!T23</f>
        <v>0</v>
      </c>
    </row>
    <row r="21" spans="1:13" ht="15.75" x14ac:dyDescent="0.3">
      <c r="A21" t="s">
        <v>867</v>
      </c>
      <c r="B21" s="11">
        <f>VALO_BREVET!E24</f>
        <v>0</v>
      </c>
      <c r="C21" s="11">
        <f>VALO_BREVET!H24</f>
        <v>0</v>
      </c>
      <c r="D21" s="11">
        <f>VALO_BREVET!I24</f>
        <v>0</v>
      </c>
      <c r="E21" s="11">
        <f>VALO_BREVET!J24</f>
        <v>0</v>
      </c>
      <c r="F21" s="11">
        <f>VALO_BREVET!K24</f>
        <v>0</v>
      </c>
      <c r="G21" s="11">
        <f>VALO_BREVET!L24</f>
        <v>0</v>
      </c>
      <c r="H21" s="11">
        <f>VALO_BREVET!O24</f>
        <v>0</v>
      </c>
      <c r="I21" s="11">
        <f>VALO_BREVET!P24</f>
        <v>0</v>
      </c>
      <c r="K21" s="11">
        <f>VALO_BREVET!R24</f>
        <v>0</v>
      </c>
      <c r="M21" s="11">
        <f>VALO_BREVET!T24</f>
        <v>0</v>
      </c>
    </row>
    <row r="22" spans="1:13" ht="15.75" x14ac:dyDescent="0.3">
      <c r="B22" s="11">
        <f>VALO_BREVET!E25</f>
        <v>0</v>
      </c>
      <c r="C22" s="11">
        <f>VALO_BREVET!H25</f>
        <v>0</v>
      </c>
      <c r="D22" s="11">
        <f>VALO_BREVET!I25</f>
        <v>0</v>
      </c>
      <c r="E22" s="11">
        <f>VALO_BREVET!J25</f>
        <v>0</v>
      </c>
      <c r="F22" s="11">
        <f>VALO_BREVET!K25</f>
        <v>0</v>
      </c>
      <c r="G22" s="11">
        <f>VALO_BREVET!L25</f>
        <v>0</v>
      </c>
      <c r="H22" s="11">
        <f>VALO_BREVET!O25</f>
        <v>0</v>
      </c>
      <c r="I22" s="11">
        <f>VALO_BREVET!P25</f>
        <v>0</v>
      </c>
      <c r="K22" s="11">
        <f>VALO_BREVET!R25</f>
        <v>0</v>
      </c>
      <c r="M22" s="11">
        <f>VALO_BREVET!T25</f>
        <v>0</v>
      </c>
    </row>
    <row r="23" spans="1:13" ht="15.75" thickBot="1" x14ac:dyDescent="0.3">
      <c r="B23" s="62"/>
      <c r="C23" s="62"/>
      <c r="D23" s="62"/>
      <c r="E23" s="62"/>
      <c r="F23" s="62"/>
      <c r="G23" s="62"/>
      <c r="H23" s="98">
        <f>SUM(H2:H22)</f>
        <v>0</v>
      </c>
      <c r="I23" s="98">
        <f>SUM(I2:I22)</f>
        <v>0</v>
      </c>
      <c r="J23" s="76"/>
      <c r="K23" s="98">
        <f>SUM(K2:K22)</f>
        <v>0</v>
      </c>
      <c r="L23" s="76"/>
      <c r="M23" s="98">
        <f>SUM(M2:M22)</f>
        <v>0</v>
      </c>
    </row>
    <row r="25" spans="1:13" ht="15.75" thickBot="1" x14ac:dyDescent="0.3">
      <c r="F25" s="62"/>
      <c r="G25" s="62"/>
      <c r="H25" s="65" t="s">
        <v>558</v>
      </c>
      <c r="I25" s="447">
        <f>SUMIF(D:D,parametrage!$Q$2,BREVET_TS!I:I)</f>
        <v>0</v>
      </c>
      <c r="K25" s="447">
        <f>SUMIF(D:D,parametrage!$Q$2,BREVET_TS!K:K)</f>
        <v>0</v>
      </c>
      <c r="L25" s="449"/>
      <c r="M25" s="447">
        <f>SUMIF(D:D,parametrage!$Q$2,BREVET_TS!M:M)</f>
        <v>0</v>
      </c>
    </row>
    <row r="26" spans="1:13" ht="15.75" thickBot="1" x14ac:dyDescent="0.3">
      <c r="F26" s="62"/>
      <c r="G26" s="62"/>
      <c r="H26" s="65" t="s">
        <v>559</v>
      </c>
      <c r="I26" s="447">
        <f>SUMIF(D:D,parametrage!$Q$3,BREVET_TS!I:I)</f>
        <v>0</v>
      </c>
      <c r="K26" s="447">
        <f>SUMIF(D:D,parametrage!$Q$3,BREVET_TS!K:K)</f>
        <v>0</v>
      </c>
      <c r="L26" s="449"/>
      <c r="M26" s="447">
        <f>IF(SUMIF(D:D,parametrage!$Q$3,BREVET_TS!M:M)&gt;60000,60000,SUMIF(D:D,parametrage!$Q$3,BREVET_TS!M:M))</f>
        <v>0</v>
      </c>
    </row>
    <row r="27" spans="1:13" ht="15.75" thickBot="1" x14ac:dyDescent="0.3">
      <c r="F27" s="62"/>
      <c r="G27" s="62"/>
      <c r="H27" s="65" t="s">
        <v>560</v>
      </c>
      <c r="I27" s="447">
        <f>SUMIF(D:D,parametrage!$Q$4,BREVET_TS!I:I)</f>
        <v>0</v>
      </c>
      <c r="K27" s="448"/>
      <c r="M27" s="448"/>
    </row>
  </sheetData>
  <conditionalFormatting sqref="B23:B1048576">
    <cfRule type="duplicateValues" dxfId="41" priority="1"/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B6C24-3F29-467C-9502-1667F00C6350}">
  <sheetPr codeName="Feuil14">
    <tabColor theme="7" tint="0.79998168889431442"/>
  </sheetPr>
  <dimension ref="B3:AE13"/>
  <sheetViews>
    <sheetView showGridLines="0" workbookViewId="0">
      <selection activeCell="V20" sqref="V1:AL20"/>
    </sheetView>
  </sheetViews>
  <sheetFormatPr baseColWidth="10" defaultColWidth="11.42578125" defaultRowHeight="15" outlineLevelCol="1" x14ac:dyDescent="0.25"/>
  <cols>
    <col min="2" max="2" width="4.5703125" style="60" customWidth="1"/>
    <col min="5" max="5" width="14.5703125" bestFit="1" customWidth="1"/>
    <col min="6" max="7" width="0" hidden="1" customWidth="1"/>
    <col min="9" max="9" width="13" bestFit="1" customWidth="1"/>
    <col min="10" max="10" width="15.28515625" customWidth="1"/>
    <col min="11" max="11" width="15.28515625" hidden="1" customWidth="1"/>
    <col min="12" max="12" width="21.28515625" customWidth="1"/>
    <col min="13" max="13" width="13.7109375" hidden="1" customWidth="1"/>
    <col min="14" max="15" width="0" hidden="1" customWidth="1"/>
    <col min="16" max="16" width="13" hidden="1" customWidth="1"/>
    <col min="17" max="19" width="0" hidden="1" customWidth="1"/>
    <col min="20" max="21" width="12.85546875" customWidth="1"/>
    <col min="22" max="22" width="12.85546875" customWidth="1" outlineLevel="1"/>
    <col min="23" max="23" width="1.7109375" customWidth="1"/>
    <col min="24" max="24" width="11.7109375" hidden="1" customWidth="1" outlineLevel="1"/>
    <col min="25" max="25" width="1.5703125" hidden="1" customWidth="1" collapsed="1"/>
    <col min="26" max="26" width="11.7109375" hidden="1" customWidth="1" outlineLevel="1"/>
    <col min="27" max="27" width="1.7109375" hidden="1" customWidth="1" collapsed="1"/>
    <col min="28" max="28" width="11.7109375" hidden="1" customWidth="1" outlineLevel="1"/>
    <col min="29" max="29" width="4.28515625" customWidth="1" collapsed="1"/>
  </cols>
  <sheetData>
    <row r="3" spans="2:31" ht="15.75" thickBot="1" x14ac:dyDescent="0.3">
      <c r="C3" s="99"/>
      <c r="D3" s="100"/>
      <c r="E3" s="100"/>
      <c r="F3" s="99"/>
      <c r="G3" s="100"/>
      <c r="H3" s="99"/>
      <c r="I3" s="99"/>
      <c r="J3" s="99"/>
      <c r="K3" s="99"/>
      <c r="L3" s="99"/>
      <c r="M3" s="99"/>
      <c r="N3" s="99"/>
      <c r="O3" s="99"/>
      <c r="P3" s="99"/>
      <c r="Q3" s="99"/>
      <c r="R3" s="99"/>
      <c r="S3" s="99"/>
      <c r="T3" s="100"/>
      <c r="U3" s="100"/>
      <c r="V3" s="99"/>
      <c r="X3" s="99"/>
      <c r="Z3" s="99"/>
      <c r="AB3" s="99"/>
    </row>
    <row r="4" spans="2:31" ht="45.75" thickBot="1" x14ac:dyDescent="0.3">
      <c r="C4" s="64" t="s">
        <v>451</v>
      </c>
      <c r="D4" s="64" t="s">
        <v>453</v>
      </c>
      <c r="E4" s="64" t="s">
        <v>544</v>
      </c>
      <c r="F4" s="64" t="s">
        <v>545</v>
      </c>
      <c r="G4" s="64" t="s">
        <v>546</v>
      </c>
      <c r="H4" s="64" t="s">
        <v>547</v>
      </c>
      <c r="I4" s="64" t="s">
        <v>328</v>
      </c>
      <c r="J4" s="64" t="s">
        <v>329</v>
      </c>
      <c r="K4" s="47" t="s">
        <v>561</v>
      </c>
      <c r="L4" s="47" t="s">
        <v>562</v>
      </c>
      <c r="M4" s="47" t="s">
        <v>563</v>
      </c>
      <c r="N4" s="47" t="s">
        <v>330</v>
      </c>
      <c r="O4" s="47" t="s">
        <v>564</v>
      </c>
      <c r="P4" s="47" t="s">
        <v>565</v>
      </c>
      <c r="Q4" s="47" t="s">
        <v>331</v>
      </c>
      <c r="R4" s="47" t="s">
        <v>566</v>
      </c>
      <c r="S4" s="47" t="s">
        <v>567</v>
      </c>
      <c r="T4" s="47" t="s">
        <v>553</v>
      </c>
      <c r="U4" s="47" t="s">
        <v>568</v>
      </c>
      <c r="V4" s="47" t="s">
        <v>569</v>
      </c>
      <c r="W4" s="182" t="s">
        <v>570</v>
      </c>
      <c r="X4" s="47" t="s">
        <v>571</v>
      </c>
      <c r="Y4" s="182" t="s">
        <v>570</v>
      </c>
      <c r="Z4" s="47" t="s">
        <v>556</v>
      </c>
      <c r="AA4" s="182" t="s">
        <v>570</v>
      </c>
      <c r="AB4" s="47" t="s">
        <v>572</v>
      </c>
      <c r="AC4" s="182" t="s">
        <v>570</v>
      </c>
      <c r="AD4" s="450" t="s">
        <v>332</v>
      </c>
      <c r="AE4" s="450" t="s">
        <v>573</v>
      </c>
    </row>
    <row r="5" spans="2:31" ht="15.75" x14ac:dyDescent="0.3">
      <c r="B5" s="60">
        <f t="shared" ref="B5" si="0">IF((V5+X5+Z5+AB5)&gt;T5,1,0)</f>
        <v>0</v>
      </c>
      <c r="C5" s="84" t="b">
        <v>1</v>
      </c>
      <c r="D5" s="11"/>
      <c r="E5" s="11">
        <v>2500050984</v>
      </c>
      <c r="F5" s="11"/>
      <c r="G5" s="95"/>
      <c r="H5" s="95">
        <v>45982</v>
      </c>
      <c r="I5" s="11">
        <v>775684897</v>
      </c>
      <c r="J5" s="11" t="s">
        <v>949</v>
      </c>
      <c r="K5" s="401"/>
      <c r="L5" s="11" t="s">
        <v>950</v>
      </c>
      <c r="M5" s="11"/>
      <c r="N5" s="476" t="s">
        <v>951</v>
      </c>
      <c r="O5" s="11" t="s">
        <v>25</v>
      </c>
      <c r="P5" s="11" t="s">
        <v>28</v>
      </c>
      <c r="Q5" s="11" t="s">
        <v>13</v>
      </c>
      <c r="R5" s="11">
        <v>2022</v>
      </c>
      <c r="S5" s="11">
        <v>2026</v>
      </c>
      <c r="T5" s="11">
        <v>52917</v>
      </c>
      <c r="U5" s="11" t="s">
        <v>69</v>
      </c>
      <c r="V5" s="228">
        <f>T5</f>
        <v>52917</v>
      </c>
      <c r="W5" s="77"/>
      <c r="X5" s="228">
        <f>IF(AND(VALO_ST!$U5=parametrage!$K$13,VALO_ST!$Q5=parametrage!$U$4),VALO_ST!$T5,IF(AND(VALO_ST!$U5=parametrage!$K$14,VALO_ST!$Q5=parametrage!$U$4),0,IF(AND(VALO_ST!$U5=parametrage!$K$15,VALO_ST!$Q5=parametrage!$U$4),"Montant à définir",0)))</f>
        <v>0</v>
      </c>
      <c r="Y5" s="77"/>
      <c r="Z5" s="228">
        <f>IF(AND(VALO_ST!$U5=parametrage!$K$13,VALO_ST!$Q5=parametrage!$U$3),VALO_ST!$T5,IF(AND(VALO_ST!$U5=parametrage!$K$14,VALO_ST!$Q5=parametrage!$U$3),0,IF(AND(VALO_ST!$U5=parametrage!$K$15,VALO_ST!$Q5=parametrage!$U$3),"Montant à définir",0)))</f>
        <v>0</v>
      </c>
      <c r="AA5" s="77"/>
      <c r="AB5" s="228">
        <f>IF(AND(VALO_ST!$U5=parametrage!$K$13,VALO_ST!$Q5=parametrage!$U$5),VALO_ST!$T5,IF(AND(VALO_ST!$U5=parametrage!$K$14,VALO_ST!$Q5=parametrage!$U$5),0,IF(AND(VALO_ST!$U5=parametrage!$K$15,VALO_ST!$Q5=parametrage!$U$5),"Montant à définir",0)))</f>
        <v>0</v>
      </c>
      <c r="AD5" s="446" t="str">
        <f t="shared" ref="AD5" si="1">IF(Q5="CIC","",IF(Q5="CII",69,IF(AND(Q5="CICO",O5="française"),"82a",IF(AND(Q5="CICO",O5="européenne"),"82b",IF(AND(Q5="CIR",O5="française",P5="oui"),"15a",IF(AND(Q5="CIR",O5="européenne",P5="oui"),"15b",IF(AND(Q5="CIR",O5="française",P5="non"),"16a",IF(AND(Q5="CIR",O5="européenne",P5="non"),"16b",""))))))))</f>
        <v>16a</v>
      </c>
      <c r="AE5" s="451">
        <f>V5+X5+Z5</f>
        <v>52917</v>
      </c>
    </row>
    <row r="6" spans="2:31" ht="15.75" thickBot="1" x14ac:dyDescent="0.3"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5" t="s">
        <v>557</v>
      </c>
      <c r="T6" s="98">
        <f>SUM(T5:T5)</f>
        <v>52917</v>
      </c>
      <c r="U6" s="98"/>
      <c r="V6" s="98">
        <f>SUM(V5:V5)</f>
        <v>52917</v>
      </c>
      <c r="X6" s="98">
        <f>SUM(X5:X5)</f>
        <v>0</v>
      </c>
      <c r="Z6" s="98">
        <f>SUM(Z5:Z5)</f>
        <v>0</v>
      </c>
      <c r="AB6" s="98">
        <f>SUM(AB5:AB5)</f>
        <v>0</v>
      </c>
    </row>
    <row r="8" spans="2:31" ht="15.75" thickBot="1" x14ac:dyDescent="0.3">
      <c r="L8" s="62"/>
      <c r="M8" s="215"/>
      <c r="N8" s="215"/>
      <c r="O8" s="215"/>
      <c r="P8" s="215"/>
      <c r="Q8" s="215"/>
      <c r="R8" s="215"/>
      <c r="S8" s="215"/>
      <c r="T8" s="216" t="s">
        <v>574</v>
      </c>
      <c r="U8" s="227"/>
      <c r="V8" s="98">
        <f>SUMIF(AD:AD,"16a",V:V)</f>
        <v>52917</v>
      </c>
      <c r="X8" s="155"/>
      <c r="Z8" s="155"/>
      <c r="AB8" s="98">
        <f>SUMIF(AD:AD,"82a",AB:AB)</f>
        <v>0</v>
      </c>
    </row>
    <row r="9" spans="2:31" ht="15.75" thickBot="1" x14ac:dyDescent="0.3">
      <c r="L9" s="62"/>
      <c r="M9" s="215"/>
      <c r="N9" s="215"/>
      <c r="O9" s="215"/>
      <c r="P9" s="215"/>
      <c r="Q9" s="215"/>
      <c r="R9" s="215"/>
      <c r="S9" s="215"/>
      <c r="T9" s="216" t="s">
        <v>575</v>
      </c>
      <c r="U9" s="227"/>
      <c r="V9" s="98">
        <f>SUMIF(AD:AD,"15a",V:V)</f>
        <v>0</v>
      </c>
      <c r="X9" s="155"/>
      <c r="Z9" s="155"/>
      <c r="AB9" s="155"/>
    </row>
    <row r="10" spans="2:31" ht="15.75" thickBot="1" x14ac:dyDescent="0.3">
      <c r="L10" s="62"/>
      <c r="M10" s="215"/>
      <c r="N10" s="215"/>
      <c r="O10" s="215"/>
      <c r="P10" s="215"/>
      <c r="Q10" s="215"/>
      <c r="R10" s="215"/>
      <c r="S10" s="215"/>
      <c r="T10" s="216" t="s">
        <v>576</v>
      </c>
      <c r="U10" s="227"/>
      <c r="V10" s="98">
        <f>SUMIF(AD:AD,"16b",V:V)</f>
        <v>0</v>
      </c>
      <c r="X10" s="155"/>
      <c r="Z10" s="155"/>
      <c r="AB10" s="98">
        <f>SUMIF(AD:AD,"82b",AB:AB)</f>
        <v>0</v>
      </c>
    </row>
    <row r="11" spans="2:31" ht="15.75" thickBot="1" x14ac:dyDescent="0.3">
      <c r="L11" s="62"/>
      <c r="M11" s="215"/>
      <c r="N11" s="215"/>
      <c r="O11" s="215"/>
      <c r="P11" s="215"/>
      <c r="Q11" s="215"/>
      <c r="R11" s="215"/>
      <c r="S11" s="215"/>
      <c r="T11" s="216" t="s">
        <v>577</v>
      </c>
      <c r="U11" s="227"/>
      <c r="V11" s="98">
        <f>SUMIF(AD:AD,"15b",V:V)</f>
        <v>0</v>
      </c>
      <c r="X11" s="155"/>
      <c r="Z11" s="155"/>
      <c r="AB11" s="155"/>
    </row>
    <row r="13" spans="2:31" x14ac:dyDescent="0.25">
      <c r="V13" t="b">
        <f>V6=SUM(V8:V11)</f>
        <v>1</v>
      </c>
      <c r="AB13" t="b">
        <f>AB6=SUM(AB8:AB11)</f>
        <v>1</v>
      </c>
    </row>
  </sheetData>
  <conditionalFormatting sqref="V13">
    <cfRule type="containsText" dxfId="40" priority="23" operator="containsText" text="FAUX">
      <formula>NOT(ISERROR(SEARCH("FAUX",V13)))</formula>
    </cfRule>
    <cfRule type="containsText" dxfId="39" priority="24" operator="containsText" text="VRAI">
      <formula>NOT(ISERROR(SEARCH("VRAI",V13)))</formula>
    </cfRule>
  </conditionalFormatting>
  <conditionalFormatting sqref="AB13">
    <cfRule type="containsText" dxfId="38" priority="21" operator="containsText" text="FAUX">
      <formula>NOT(ISERROR(SEARCH("FAUX",AB13)))</formula>
    </cfRule>
    <cfRule type="containsText" dxfId="37" priority="22" operator="containsText" text="VRAI">
      <formula>NOT(ISERROR(SEARCH("VRAI",AB13)))</formula>
    </cfRule>
  </conditionalFormatting>
  <conditionalFormatting sqref="D5:K5">
    <cfRule type="expression" dxfId="36" priority="20">
      <formula>$B5&gt;0</formula>
    </cfRule>
  </conditionalFormatting>
  <conditionalFormatting sqref="E1:E2 E4:E1048576">
    <cfRule type="duplicateValues" dxfId="35" priority="7"/>
  </conditionalFormatting>
  <conditionalFormatting sqref="E3">
    <cfRule type="duplicateValues" dxfId="34" priority="6"/>
  </conditionalFormatting>
  <conditionalFormatting sqref="V5 X5 Z5">
    <cfRule type="containsText" dxfId="33" priority="5" operator="containsText" text="Montant à définir">
      <formula>NOT(ISERROR(SEARCH("Montant à définir",V5)))</formula>
    </cfRule>
  </conditionalFormatting>
  <conditionalFormatting sqref="AB5">
    <cfRule type="containsText" dxfId="32" priority="1" operator="containsText" text="Montant à définir">
      <formula>NOT(ISERROR(SEARCH("Montant à définir",AB5)))</formula>
    </cfRule>
    <cfRule type="containsText" priority="2" operator="containsText" text="Montant à définir">
      <formula>NOT(ISERROR(SEARCH("Montant à définir",AB5)))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8" r:id="rId3" name="Button 8">
              <controlPr defaultSize="0" print="0" autoFill="0" autoPict="0" macro="[0]!Module16.DupliquerLignesAvecTexteDansToutesFeuilles">
                <anchor moveWithCells="1" sizeWithCells="1">
                  <from>
                    <xdr:col>2</xdr:col>
                    <xdr:colOff>9525</xdr:colOff>
                    <xdr:row>0</xdr:row>
                    <xdr:rowOff>0</xdr:rowOff>
                  </from>
                  <to>
                    <xdr:col>4</xdr:col>
                    <xdr:colOff>19050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0" r:id="rId4" name="Button 10">
              <controlPr defaultSize="0" print="0" autoFill="0" autoPict="0" macro="[0]!Extraire_SousTraitance_Tableau">
                <anchor moveWithCells="1" sizeWithCells="1">
                  <from>
                    <xdr:col>5</xdr:col>
                    <xdr:colOff>9525</xdr:colOff>
                    <xdr:row>0</xdr:row>
                    <xdr:rowOff>0</xdr:rowOff>
                  </from>
                  <to>
                    <xdr:col>7</xdr:col>
                    <xdr:colOff>19050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" id="{8914B3F8-4BA2-4118-9844-9C938D14A5D4}">
            <xm:f>Q5=parametrage!$U$3</xm:f>
            <x14:dxf>
              <fill>
                <patternFill>
                  <bgColor rgb="FFFF0000"/>
                </patternFill>
              </fill>
            </x14:dxf>
          </x14:cfRule>
          <x14:cfRule type="expression" priority="18" id="{EAF99A8A-0E71-4563-B6F4-BB62A52760D9}">
            <xm:f>Q5=parametrage!$U$4</xm:f>
            <x14:dxf>
              <fill>
                <patternFill>
                  <bgColor rgb="FFFF0000"/>
                </patternFill>
              </fill>
            </x14:dxf>
          </x14:cfRule>
          <x14:cfRule type="expression" priority="19" id="{4BEF51C6-599A-44F5-B899-DB5E3B826CDD}">
            <xm:f>Q5=parametrage!$U$5</xm:f>
            <x14:dxf>
              <fill>
                <patternFill>
                  <bgColor rgb="FFFF0000"/>
                </patternFill>
              </fill>
            </x14:dxf>
          </x14:cfRule>
          <xm:sqref>V5</xm:sqref>
        </x14:conditionalFormatting>
        <x14:conditionalFormatting xmlns:xm="http://schemas.microsoft.com/office/excel/2006/main">
          <x14:cfRule type="expression" priority="14" id="{FCFBEB0C-828E-49BE-9B86-EAB3D1B4BCCE}">
            <xm:f>Q5=parametrage!$U$2</xm:f>
            <x14:dxf>
              <fill>
                <patternFill>
                  <bgColor rgb="FFFF0000"/>
                </patternFill>
              </fill>
            </x14:dxf>
          </x14:cfRule>
          <x14:cfRule type="expression" priority="15" id="{E4795D0F-52EE-4FF6-B726-43857439F798}">
            <xm:f>Q5=parametrage!$U$3</xm:f>
            <x14:dxf>
              <fill>
                <patternFill>
                  <bgColor rgb="FFFF0000"/>
                </patternFill>
              </fill>
            </x14:dxf>
          </x14:cfRule>
          <x14:cfRule type="expression" priority="16" id="{474B007E-9C30-47F5-97D4-B068744B5ABB}">
            <xm:f>Q5=parametrage!$U$5</xm:f>
            <x14:dxf>
              <fill>
                <patternFill>
                  <bgColor rgb="FFFF0000"/>
                </patternFill>
              </fill>
            </x14:dxf>
          </x14:cfRule>
          <xm:sqref>X5</xm:sqref>
        </x14:conditionalFormatting>
        <x14:conditionalFormatting xmlns:xm="http://schemas.microsoft.com/office/excel/2006/main">
          <x14:cfRule type="expression" priority="11" id="{94AD9029-5FA0-45AE-AC31-F54E1A0E3E4B}">
            <xm:f>Q5=parametrage!$U$2</xm:f>
            <x14:dxf>
              <fill>
                <patternFill>
                  <bgColor rgb="FFFF0000"/>
                </patternFill>
              </fill>
            </x14:dxf>
          </x14:cfRule>
          <x14:cfRule type="expression" priority="12" id="{5B4B56C0-D6C6-439F-B200-821624A50081}">
            <xm:f>Q5=parametrage!$U$4</xm:f>
            <x14:dxf>
              <fill>
                <patternFill>
                  <bgColor rgb="FFFF0000"/>
                </patternFill>
              </fill>
            </x14:dxf>
          </x14:cfRule>
          <x14:cfRule type="expression" priority="13" id="{6D38B33C-B845-4274-8F90-AA8FE0921DFD}">
            <xm:f>Q5=parametrage!$U$5</xm:f>
            <x14:dxf>
              <fill>
                <patternFill>
                  <bgColor rgb="FFFF0000"/>
                </patternFill>
              </fill>
            </x14:dxf>
          </x14:cfRule>
          <xm:sqref>Z5</xm:sqref>
        </x14:conditionalFormatting>
        <x14:conditionalFormatting xmlns:xm="http://schemas.microsoft.com/office/excel/2006/main">
          <x14:cfRule type="expression" priority="8" id="{5082C8B9-A411-4721-84EB-B724985D1380}">
            <xm:f>Q5=parametrage!$U$2</xm:f>
            <x14:dxf>
              <fill>
                <patternFill>
                  <bgColor rgb="FFFF0000"/>
                </patternFill>
              </fill>
            </x14:dxf>
          </x14:cfRule>
          <x14:cfRule type="expression" priority="9" id="{94FB7D4D-34DB-4FF6-B21D-3D96FA32F4E4}">
            <xm:f>Q5=parametrage!$U$3</xm:f>
            <x14:dxf>
              <fill>
                <patternFill>
                  <bgColor rgb="FFFF0000"/>
                </patternFill>
              </fill>
            </x14:dxf>
          </x14:cfRule>
          <x14:cfRule type="expression" priority="10" id="{9FB8ED4B-5019-4DA1-B476-371F7EC5CB44}">
            <xm:f>Q5=parametrage!$U$4</xm:f>
            <x14:dxf>
              <fill>
                <patternFill>
                  <bgColor rgb="FFFF0000"/>
                </patternFill>
              </fill>
            </x14:dxf>
          </x14:cfRule>
          <xm:sqref>AB5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0CAE063-321F-41CE-A182-50CEEC03502C}">
          <x14:formula1>
            <xm:f>parametrage!$F$2:$F$3</xm:f>
          </x14:formula1>
          <xm:sqref>M5</xm:sqref>
        </x14:dataValidation>
        <x14:dataValidation type="list" allowBlank="1" showInputMessage="1" showErrorMessage="1" xr:uid="{577E7013-006F-4067-8EDB-C7B71D0C2387}">
          <x14:formula1>
            <xm:f>parametrage!$U$2:$U$5</xm:f>
          </x14:formula1>
          <xm:sqref>Q5</xm:sqref>
        </x14:dataValidation>
        <x14:dataValidation type="list" allowBlank="1" showInputMessage="1" showErrorMessage="1" xr:uid="{3A5CC608-1841-4A52-9434-56F1BDAE6CF7}">
          <x14:formula1>
            <xm:f>parametrage!$V$2:$V$3</xm:f>
          </x14:formula1>
          <xm:sqref>O5</xm:sqref>
        </x14:dataValidation>
        <x14:dataValidation type="list" allowBlank="1" showInputMessage="1" showErrorMessage="1" xr:uid="{E81FE6AE-D429-43D0-9C77-AFB06A6883FE}">
          <x14:formula1>
            <xm:f>parametrage!$K$2:$K$3</xm:f>
          </x14:formula1>
          <xm:sqref>P5</xm:sqref>
        </x14:dataValidation>
        <x14:dataValidation type="list" allowBlank="1" showInputMessage="1" showErrorMessage="1" xr:uid="{A4F1140F-EC6E-41B3-947E-D8E5EE317F75}">
          <x14:formula1>
            <xm:f>parametrage!$K$13:$K$15</xm:f>
          </x14:formula1>
          <xm:sqref>U5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DC5A4-A650-47A8-B38E-34B924469DAF}">
  <sheetPr codeName="Feuil25">
    <tabColor rgb="FF2D44EA"/>
  </sheetPr>
  <dimension ref="B3:Q13"/>
  <sheetViews>
    <sheetView showGridLines="0" workbookViewId="0">
      <selection activeCell="I7" sqref="I7"/>
    </sheetView>
  </sheetViews>
  <sheetFormatPr baseColWidth="10" defaultColWidth="11.42578125" defaultRowHeight="15" outlineLevelCol="1" x14ac:dyDescent="0.25"/>
  <cols>
    <col min="2" max="2" width="13.42578125" customWidth="1"/>
    <col min="3" max="3" width="16.7109375" customWidth="1"/>
    <col min="6" max="6" width="15.28515625" customWidth="1"/>
    <col min="7" max="7" width="13.7109375" customWidth="1"/>
    <col min="8" max="9" width="12.85546875" customWidth="1"/>
    <col min="10" max="10" width="12.85546875" customWidth="1" outlineLevel="1"/>
    <col min="11" max="11" width="1.7109375" customWidth="1"/>
    <col min="12" max="12" width="11.7109375" hidden="1" customWidth="1" outlineLevel="1"/>
    <col min="13" max="13" width="1.5703125" customWidth="1" collapsed="1"/>
    <col min="14" max="14" width="11.7109375" hidden="1" customWidth="1" outlineLevel="1"/>
    <col min="15" max="15" width="1.7109375" customWidth="1" collapsed="1"/>
    <col min="16" max="16" width="11.7109375" hidden="1" customWidth="1" outlineLevel="1"/>
    <col min="17" max="17" width="11.42578125" collapsed="1"/>
  </cols>
  <sheetData>
    <row r="3" spans="2:16" ht="15.75" thickBot="1" x14ac:dyDescent="0.3">
      <c r="B3" s="100"/>
      <c r="C3" s="99"/>
      <c r="D3" s="99"/>
      <c r="E3" s="99"/>
      <c r="F3" s="99"/>
      <c r="G3" s="99"/>
      <c r="H3" s="100"/>
      <c r="I3" s="100"/>
      <c r="J3" s="99"/>
      <c r="L3" s="99"/>
      <c r="N3" s="99"/>
      <c r="P3" s="99"/>
    </row>
    <row r="4" spans="2:16" ht="30.75" thickBot="1" x14ac:dyDescent="0.3">
      <c r="B4" s="64" t="s">
        <v>544</v>
      </c>
      <c r="C4" s="64" t="s">
        <v>547</v>
      </c>
      <c r="D4" s="64" t="s">
        <v>328</v>
      </c>
      <c r="E4" s="64" t="s">
        <v>329</v>
      </c>
      <c r="F4" s="47" t="s">
        <v>561</v>
      </c>
      <c r="G4" s="47" t="s">
        <v>562</v>
      </c>
      <c r="H4" s="47" t="s">
        <v>553</v>
      </c>
      <c r="I4" s="47" t="s">
        <v>568</v>
      </c>
      <c r="J4" s="47" t="s">
        <v>554</v>
      </c>
      <c r="K4" s="182" t="s">
        <v>570</v>
      </c>
      <c r="L4" s="47" t="s">
        <v>555</v>
      </c>
      <c r="M4" s="182" t="s">
        <v>570</v>
      </c>
      <c r="N4" s="47" t="s">
        <v>556</v>
      </c>
      <c r="O4" s="182" t="s">
        <v>570</v>
      </c>
      <c r="P4" s="47" t="s">
        <v>572</v>
      </c>
    </row>
    <row r="5" spans="2:16" ht="15.75" x14ac:dyDescent="0.3">
      <c r="B5" s="11">
        <f>VALO_ST!E5</f>
        <v>2500050984</v>
      </c>
      <c r="C5" s="95">
        <f>VALO_ST!H5</f>
        <v>45982</v>
      </c>
      <c r="D5" s="11">
        <f>VALO_ST!I5</f>
        <v>775684897</v>
      </c>
      <c r="E5" s="11" t="str">
        <f>VALO_ST!J5</f>
        <v>Institut Pasteur</v>
      </c>
      <c r="F5" s="11">
        <f>VALO_ST!K5</f>
        <v>0</v>
      </c>
      <c r="G5" s="11" t="str">
        <f>VALO_ST!L5</f>
        <v>Contrat R&amp;D Diagnostic</v>
      </c>
      <c r="H5" s="11">
        <f>VALO_ST!T5</f>
        <v>52917</v>
      </c>
      <c r="I5" s="11" t="str">
        <f>VALO_ST!U5</f>
        <v>Partiel</v>
      </c>
      <c r="J5" s="228">
        <f>VALO_ST!V5</f>
        <v>52917</v>
      </c>
      <c r="K5" s="77"/>
      <c r="L5" s="228">
        <f>VALO_ST!X5</f>
        <v>0</v>
      </c>
      <c r="M5" s="77"/>
      <c r="N5" s="228">
        <f>VALO_ST!Z5</f>
        <v>0</v>
      </c>
      <c r="O5" s="77"/>
      <c r="P5" s="228">
        <f>VALO_ST!AB5</f>
        <v>0</v>
      </c>
    </row>
    <row r="6" spans="2:16" ht="15.75" thickBot="1" x14ac:dyDescent="0.3">
      <c r="B6" s="98"/>
      <c r="C6" s="288"/>
      <c r="D6" s="98"/>
      <c r="E6" s="98"/>
      <c r="F6" s="98"/>
      <c r="G6" s="98"/>
      <c r="H6" s="98"/>
      <c r="I6" s="98"/>
      <c r="J6" s="98">
        <f t="shared" ref="J6" si="0">SUM(J5:J5)</f>
        <v>52917</v>
      </c>
      <c r="L6" s="98">
        <f>SUM(L5:L5)</f>
        <v>0</v>
      </c>
      <c r="N6" s="98">
        <f>SUM(N5:N5)</f>
        <v>0</v>
      </c>
      <c r="P6" s="98">
        <f>SUM(P5:P5)</f>
        <v>0</v>
      </c>
    </row>
    <row r="8" spans="2:16" ht="15.75" thickBot="1" x14ac:dyDescent="0.3">
      <c r="G8" s="62"/>
      <c r="H8" s="216" t="s">
        <v>574</v>
      </c>
      <c r="I8" s="227"/>
      <c r="J8" s="98">
        <f>VALO_ST!V8</f>
        <v>52917</v>
      </c>
      <c r="L8" s="155"/>
      <c r="N8" s="155"/>
      <c r="P8" s="98"/>
    </row>
    <row r="9" spans="2:16" ht="15.75" thickBot="1" x14ac:dyDescent="0.3">
      <c r="G9" s="62"/>
      <c r="H9" s="216" t="s">
        <v>575</v>
      </c>
      <c r="I9" s="227"/>
      <c r="J9" s="98">
        <f>VALO_ST!V9</f>
        <v>0</v>
      </c>
      <c r="L9" s="155"/>
      <c r="N9" s="155"/>
      <c r="P9" s="155"/>
    </row>
    <row r="10" spans="2:16" ht="15.75" thickBot="1" x14ac:dyDescent="0.3">
      <c r="G10" s="62"/>
      <c r="H10" s="216" t="s">
        <v>576</v>
      </c>
      <c r="I10" s="227"/>
      <c r="J10" s="98">
        <f>VALO_ST!V10</f>
        <v>0</v>
      </c>
      <c r="L10" s="155"/>
      <c r="N10" s="155"/>
      <c r="P10" s="98"/>
    </row>
    <row r="11" spans="2:16" ht="15.75" thickBot="1" x14ac:dyDescent="0.3">
      <c r="G11" s="62"/>
      <c r="H11" s="216" t="s">
        <v>577</v>
      </c>
      <c r="I11" s="227"/>
      <c r="J11" s="98">
        <f>VALO_ST!V11</f>
        <v>0</v>
      </c>
      <c r="L11" s="155"/>
      <c r="N11" s="155"/>
      <c r="P11" s="155"/>
    </row>
    <row r="13" spans="2:16" x14ac:dyDescent="0.25">
      <c r="J13" t="b">
        <f>J6=SUM(J8:J11)</f>
        <v>1</v>
      </c>
      <c r="P13" t="b">
        <f>P6=SUM(P8:P11)</f>
        <v>1</v>
      </c>
    </row>
  </sheetData>
  <conditionalFormatting sqref="J13">
    <cfRule type="containsText" dxfId="19" priority="23" operator="containsText" text="FAUX">
      <formula>NOT(ISERROR(SEARCH("FAUX",J13)))</formula>
    </cfRule>
    <cfRule type="containsText" dxfId="18" priority="24" operator="containsText" text="VRAI">
      <formula>NOT(ISERROR(SEARCH("VRAI",J13)))</formula>
    </cfRule>
  </conditionalFormatting>
  <conditionalFormatting sqref="P13">
    <cfRule type="containsText" dxfId="17" priority="21" operator="containsText" text="FAUX">
      <formula>NOT(ISERROR(SEARCH("FAUX",P13)))</formula>
    </cfRule>
    <cfRule type="containsText" dxfId="16" priority="22" operator="containsText" text="VRAI">
      <formula>NOT(ISERROR(SEARCH("VRAI",P13)))</formula>
    </cfRule>
  </conditionalFormatting>
  <conditionalFormatting sqref="B7:B1048576 B1:B2">
    <cfRule type="duplicateValues" dxfId="15" priority="7"/>
  </conditionalFormatting>
  <conditionalFormatting sqref="B3">
    <cfRule type="duplicateValues" dxfId="14" priority="6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3" name="Button 1">
              <controlPr defaultSize="0" print="0" autoFill="0" autoPict="0" macro="[0]!InsererLigneMultiple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1</xdr:col>
                    <xdr:colOff>19050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0A306-F18D-469D-9A3D-D9F8C14BB495}">
  <sheetPr codeName="Feuil15">
    <tabColor theme="7" tint="0.79998168889431442"/>
  </sheetPr>
  <dimension ref="A3:L41"/>
  <sheetViews>
    <sheetView showGridLines="0" workbookViewId="0">
      <selection activeCell="O4" sqref="O4"/>
    </sheetView>
  </sheetViews>
  <sheetFormatPr baseColWidth="10" defaultColWidth="11.42578125" defaultRowHeight="15" x14ac:dyDescent="0.25"/>
  <cols>
    <col min="1" max="1" width="2.85546875" style="60" customWidth="1"/>
  </cols>
  <sheetData>
    <row r="3" spans="1:12" ht="15.75" thickBot="1" x14ac:dyDescent="0.3">
      <c r="B3" s="99"/>
      <c r="C3" s="100"/>
      <c r="D3" s="100"/>
      <c r="E3" s="99"/>
      <c r="F3" s="100"/>
      <c r="G3" s="99"/>
      <c r="H3" s="99"/>
      <c r="I3" s="99"/>
      <c r="J3" s="99"/>
      <c r="K3" s="100"/>
      <c r="L3" s="99"/>
    </row>
    <row r="4" spans="1:12" ht="45.75" thickBot="1" x14ac:dyDescent="0.3">
      <c r="B4" s="64" t="s">
        <v>451</v>
      </c>
      <c r="C4" s="64" t="s">
        <v>453</v>
      </c>
      <c r="D4" s="64" t="s">
        <v>544</v>
      </c>
      <c r="E4" s="64" t="s">
        <v>545</v>
      </c>
      <c r="F4" s="64" t="s">
        <v>546</v>
      </c>
      <c r="G4" s="64" t="s">
        <v>547</v>
      </c>
      <c r="H4" s="64" t="s">
        <v>329</v>
      </c>
      <c r="I4" s="64" t="s">
        <v>578</v>
      </c>
      <c r="J4" s="64" t="s">
        <v>579</v>
      </c>
      <c r="K4" s="47" t="s">
        <v>553</v>
      </c>
      <c r="L4" s="47" t="s">
        <v>554</v>
      </c>
    </row>
    <row r="5" spans="1:12" ht="15.75" x14ac:dyDescent="0.3">
      <c r="A5" s="60">
        <f>IF(L5&gt;K5,1,0)</f>
        <v>0</v>
      </c>
      <c r="B5" s="84" t="b">
        <v>0</v>
      </c>
      <c r="C5" s="11"/>
      <c r="D5" s="11"/>
      <c r="E5" s="11"/>
      <c r="F5" s="95"/>
      <c r="G5" s="95"/>
      <c r="H5" s="11"/>
      <c r="I5" s="11"/>
      <c r="J5" s="11"/>
      <c r="K5" s="11"/>
      <c r="L5" s="11"/>
    </row>
    <row r="6" spans="1:12" ht="15.75" x14ac:dyDescent="0.3">
      <c r="A6" s="60">
        <f t="shared" ref="A6:A15" si="0">IF(L6&gt;K6,1,0)</f>
        <v>0</v>
      </c>
      <c r="B6" s="84" t="b">
        <v>0</v>
      </c>
      <c r="C6" s="11"/>
      <c r="D6" s="11"/>
      <c r="E6" s="11"/>
      <c r="F6" s="95"/>
      <c r="G6" s="95"/>
      <c r="H6" s="11"/>
      <c r="I6" s="11"/>
      <c r="J6" s="11"/>
      <c r="K6" s="11"/>
      <c r="L6" s="11"/>
    </row>
    <row r="7" spans="1:12" ht="15.75" x14ac:dyDescent="0.3">
      <c r="A7" s="60">
        <f t="shared" si="0"/>
        <v>0</v>
      </c>
      <c r="B7" s="84" t="b">
        <v>0</v>
      </c>
      <c r="C7" s="11"/>
      <c r="D7" s="11"/>
      <c r="E7" s="11"/>
      <c r="F7" s="95"/>
      <c r="G7" s="95"/>
      <c r="H7" s="11"/>
      <c r="I7" s="11"/>
      <c r="J7" s="11"/>
      <c r="K7" s="11"/>
      <c r="L7" s="11"/>
    </row>
    <row r="8" spans="1:12" ht="15.75" x14ac:dyDescent="0.3">
      <c r="A8" s="60">
        <f t="shared" si="0"/>
        <v>0</v>
      </c>
      <c r="B8" s="84" t="b">
        <v>0</v>
      </c>
      <c r="C8" s="11"/>
      <c r="D8" s="11"/>
      <c r="E8" s="11"/>
      <c r="F8" s="95"/>
      <c r="G8" s="95"/>
      <c r="H8" s="11"/>
      <c r="I8" s="11"/>
      <c r="J8" s="11"/>
      <c r="K8" s="11"/>
      <c r="L8" s="11"/>
    </row>
    <row r="9" spans="1:12" ht="15.75" x14ac:dyDescent="0.3">
      <c r="A9" s="60">
        <f t="shared" si="0"/>
        <v>0</v>
      </c>
      <c r="B9" s="84" t="b">
        <v>0</v>
      </c>
      <c r="C9" s="11"/>
      <c r="D9" s="11"/>
      <c r="E9" s="11"/>
      <c r="F9" s="95"/>
      <c r="G9" s="95"/>
      <c r="H9" s="11"/>
      <c r="I9" s="11"/>
      <c r="J9" s="11"/>
      <c r="K9" s="11"/>
      <c r="L9" s="11"/>
    </row>
    <row r="10" spans="1:12" ht="15.75" x14ac:dyDescent="0.3">
      <c r="A10" s="60">
        <f t="shared" si="0"/>
        <v>0</v>
      </c>
      <c r="B10" s="84" t="b">
        <v>0</v>
      </c>
      <c r="C10" s="11"/>
      <c r="D10" s="11"/>
      <c r="E10" s="11"/>
      <c r="F10" s="95"/>
      <c r="G10" s="95"/>
      <c r="H10" s="11"/>
      <c r="I10" s="11"/>
      <c r="J10" s="11"/>
      <c r="K10" s="11"/>
      <c r="L10" s="11"/>
    </row>
    <row r="11" spans="1:12" ht="15.75" x14ac:dyDescent="0.3">
      <c r="A11" s="60">
        <f t="shared" si="0"/>
        <v>0</v>
      </c>
      <c r="B11" s="84" t="b">
        <v>0</v>
      </c>
      <c r="C11" s="11"/>
      <c r="D11" s="11"/>
      <c r="E11" s="11"/>
      <c r="F11" s="95"/>
      <c r="G11" s="95"/>
      <c r="H11" s="11"/>
      <c r="I11" s="11"/>
      <c r="J11" s="11"/>
      <c r="K11" s="11"/>
      <c r="L11" s="11"/>
    </row>
    <row r="12" spans="1:12" ht="15.75" x14ac:dyDescent="0.3">
      <c r="A12" s="60">
        <f t="shared" si="0"/>
        <v>0</v>
      </c>
      <c r="B12" s="84" t="b">
        <v>0</v>
      </c>
      <c r="C12" s="11"/>
      <c r="D12" s="11"/>
      <c r="E12" s="11"/>
      <c r="F12" s="95"/>
      <c r="G12" s="95"/>
      <c r="H12" s="11"/>
      <c r="I12" s="11"/>
      <c r="J12" s="11"/>
      <c r="K12" s="11"/>
      <c r="L12" s="11"/>
    </row>
    <row r="13" spans="1:12" ht="15.75" x14ac:dyDescent="0.3">
      <c r="A13" s="60">
        <f t="shared" si="0"/>
        <v>0</v>
      </c>
      <c r="B13" s="84" t="b">
        <v>0</v>
      </c>
      <c r="C13" s="11"/>
      <c r="D13" s="11"/>
      <c r="E13" s="11"/>
      <c r="F13" s="95"/>
      <c r="G13" s="95"/>
      <c r="H13" s="11"/>
      <c r="I13" s="11"/>
      <c r="J13" s="11"/>
      <c r="K13" s="11"/>
      <c r="L13" s="11"/>
    </row>
    <row r="14" spans="1:12" ht="15.75" x14ac:dyDescent="0.3">
      <c r="A14" s="60">
        <f t="shared" si="0"/>
        <v>0</v>
      </c>
      <c r="B14" s="84" t="b">
        <v>0</v>
      </c>
      <c r="C14" s="11"/>
      <c r="D14" s="11"/>
      <c r="E14" s="11"/>
      <c r="F14" s="95"/>
      <c r="G14" s="95"/>
      <c r="H14" s="11"/>
      <c r="I14" s="11"/>
      <c r="J14" s="11"/>
      <c r="K14" s="11"/>
      <c r="L14" s="11"/>
    </row>
    <row r="15" spans="1:12" ht="15.75" x14ac:dyDescent="0.3">
      <c r="A15" s="60">
        <f t="shared" si="0"/>
        <v>0</v>
      </c>
      <c r="B15" s="84" t="b">
        <v>0</v>
      </c>
      <c r="C15" s="11"/>
      <c r="D15" s="11"/>
      <c r="E15" s="11"/>
      <c r="F15" s="95"/>
      <c r="G15" s="95"/>
      <c r="H15" s="11"/>
      <c r="I15" s="11"/>
      <c r="J15" s="11"/>
      <c r="K15" s="11"/>
      <c r="L15" s="11"/>
    </row>
    <row r="16" spans="1:12" ht="15.75" thickBot="1" x14ac:dyDescent="0.3">
      <c r="B16" s="148"/>
      <c r="C16" s="148"/>
      <c r="D16" s="148"/>
      <c r="E16" s="148"/>
      <c r="F16" s="148"/>
      <c r="G16" s="148"/>
      <c r="H16" s="148"/>
      <c r="I16" s="148"/>
      <c r="J16" s="65" t="s">
        <v>557</v>
      </c>
      <c r="K16" s="98">
        <f>SUM(K5:K15)</f>
        <v>0</v>
      </c>
      <c r="L16" s="98">
        <f>SUM(L5:L15)</f>
        <v>0</v>
      </c>
    </row>
    <row r="23" spans="2:12" ht="15.75" thickBot="1" x14ac:dyDescent="0.3">
      <c r="B23" s="99"/>
      <c r="C23" s="99"/>
      <c r="D23" s="99"/>
      <c r="E23" s="99"/>
      <c r="F23" s="99"/>
      <c r="H23" s="99"/>
    </row>
    <row r="24" spans="2:12" ht="45.75" thickBot="1" x14ac:dyDescent="0.3">
      <c r="B24" s="64" t="s">
        <v>580</v>
      </c>
      <c r="C24" s="64" t="s">
        <v>581</v>
      </c>
      <c r="D24" s="64" t="s">
        <v>582</v>
      </c>
      <c r="E24" s="64" t="s">
        <v>583</v>
      </c>
      <c r="F24" s="64" t="s">
        <v>367</v>
      </c>
      <c r="G24" s="64" t="s">
        <v>368</v>
      </c>
      <c r="H24" s="64" t="s">
        <v>584</v>
      </c>
      <c r="I24" s="64" t="s">
        <v>585</v>
      </c>
      <c r="J24" s="64" t="s">
        <v>586</v>
      </c>
    </row>
    <row r="25" spans="2:12" ht="15.75" x14ac:dyDescent="0.3">
      <c r="B25" s="11"/>
      <c r="C25" s="11"/>
      <c r="D25" s="95"/>
      <c r="E25" s="11"/>
      <c r="F25" s="11"/>
      <c r="G25" s="41" t="str">
        <f>IF(ISBLANK(F25),"",VLOOKUP(F25,VALO_PERSO!G:H,2,0))</f>
        <v/>
      </c>
      <c r="H25" s="11"/>
      <c r="I25" s="41" t="str">
        <f>IF(ISBLANK(F25),"",VLOOKUP(F25,VALO_PERSO!G:X,18,0))</f>
        <v/>
      </c>
      <c r="J25" s="11" t="str">
        <f>IF(ISBLANK(B25),"",IF(B25=parametrage!$G$3,'VALO-autres dépenses CIR'!H25*'VALO-autres dépenses CIR'!I25*0.65,'VALO-autres dépenses CIR'!H25*'VALO-autres dépenses CIR'!I25))</f>
        <v/>
      </c>
      <c r="L25" s="173"/>
    </row>
    <row r="26" spans="2:12" ht="15.75" x14ac:dyDescent="0.3">
      <c r="B26" s="11"/>
      <c r="C26" s="11"/>
      <c r="D26" s="95"/>
      <c r="E26" s="11"/>
      <c r="F26" s="11"/>
      <c r="G26" s="41" t="str">
        <f>IF(ISBLANK(F26),"",VLOOKUP(F26,VALO_PERSO!G:H,2,0))</f>
        <v/>
      </c>
      <c r="H26" s="11"/>
      <c r="I26" s="41"/>
      <c r="J26" s="11"/>
    </row>
    <row r="27" spans="2:12" ht="15.75" x14ac:dyDescent="0.3">
      <c r="B27" s="11"/>
      <c r="C27" s="11"/>
      <c r="D27" s="95"/>
      <c r="E27" s="11"/>
      <c r="F27" s="11"/>
      <c r="G27" s="41" t="str">
        <f>IF(ISBLANK(F27),"",VLOOKUP(F27,VALO_PERSO!G:H,2,0))</f>
        <v/>
      </c>
      <c r="H27" s="11"/>
      <c r="I27" s="41"/>
      <c r="J27" s="11"/>
    </row>
    <row r="28" spans="2:12" ht="15.75" x14ac:dyDescent="0.3">
      <c r="B28" s="11"/>
      <c r="C28" s="11"/>
      <c r="D28" s="95"/>
      <c r="E28" s="11"/>
      <c r="F28" s="11"/>
      <c r="G28" s="41" t="str">
        <f>IF(ISBLANK(F28),"",VLOOKUP(F28,VALO_PERSO!G:H,2,0))</f>
        <v/>
      </c>
      <c r="H28" s="11"/>
      <c r="I28" s="41"/>
      <c r="J28" s="11"/>
    </row>
    <row r="29" spans="2:12" ht="15.75" x14ac:dyDescent="0.3">
      <c r="B29" s="11"/>
      <c r="C29" s="11"/>
      <c r="D29" s="95"/>
      <c r="E29" s="11"/>
      <c r="F29" s="11"/>
      <c r="G29" s="41" t="str">
        <f>IF(ISBLANK(F29),"",VLOOKUP(F29,VALO_PERSO!G:H,2,0))</f>
        <v/>
      </c>
      <c r="H29" s="11"/>
      <c r="I29" s="41"/>
      <c r="J29" s="11"/>
    </row>
    <row r="30" spans="2:12" ht="15.75" x14ac:dyDescent="0.3">
      <c r="B30" s="11"/>
      <c r="C30" s="11"/>
      <c r="D30" s="95"/>
      <c r="E30" s="11"/>
      <c r="F30" s="11"/>
      <c r="G30" s="41" t="str">
        <f>IF(ISBLANK(F30),"",VLOOKUP(F30,VALO_PERSO!G:H,2,0))</f>
        <v/>
      </c>
      <c r="H30" s="11"/>
      <c r="I30" s="41"/>
      <c r="J30" s="11"/>
    </row>
    <row r="31" spans="2:12" ht="15.75" x14ac:dyDescent="0.3">
      <c r="B31" s="11"/>
      <c r="C31" s="11"/>
      <c r="D31" s="95"/>
      <c r="E31" s="11"/>
      <c r="F31" s="11"/>
      <c r="G31" s="41" t="str">
        <f>IF(ISBLANK(F31),"",VLOOKUP(F31,VALO_PERSO!G:H,2,0))</f>
        <v/>
      </c>
      <c r="H31" s="11"/>
      <c r="I31" s="41"/>
      <c r="J31" s="11"/>
    </row>
    <row r="32" spans="2:12" ht="15.75" x14ac:dyDescent="0.3">
      <c r="B32" s="11"/>
      <c r="C32" s="11"/>
      <c r="D32" s="95"/>
      <c r="E32" s="11"/>
      <c r="F32" s="11"/>
      <c r="G32" s="41" t="str">
        <f>IF(ISBLANK(F32),"",VLOOKUP(F32,VALO_PERSO!G:H,2,0))</f>
        <v/>
      </c>
      <c r="H32" s="11"/>
      <c r="I32" s="41"/>
      <c r="J32" s="11"/>
    </row>
    <row r="33" spans="2:10" ht="15.75" x14ac:dyDescent="0.3">
      <c r="B33" s="11"/>
      <c r="C33" s="11"/>
      <c r="D33" s="95"/>
      <c r="E33" s="11"/>
      <c r="F33" s="11"/>
      <c r="G33" s="41" t="str">
        <f>IF(ISBLANK(F33),"",VLOOKUP(F33,VALO_PERSO!G:H,2,0))</f>
        <v/>
      </c>
      <c r="H33" s="11"/>
      <c r="I33" s="41"/>
      <c r="J33" s="11"/>
    </row>
    <row r="34" spans="2:10" ht="15.75" x14ac:dyDescent="0.3">
      <c r="B34" s="11"/>
      <c r="C34" s="11"/>
      <c r="D34" s="95"/>
      <c r="E34" s="11"/>
      <c r="F34" s="11"/>
      <c r="G34" s="41" t="str">
        <f>IF(ISBLANK(F34),"",VLOOKUP(F34,VALO_PERSO!G:H,2,0))</f>
        <v/>
      </c>
      <c r="H34" s="11"/>
      <c r="I34" s="41"/>
      <c r="J34" s="11"/>
    </row>
    <row r="35" spans="2:10" ht="15.75" x14ac:dyDescent="0.3">
      <c r="B35" s="11"/>
      <c r="C35" s="11"/>
      <c r="D35" s="95"/>
      <c r="E35" s="11"/>
      <c r="F35" s="11"/>
      <c r="G35" s="41" t="str">
        <f>IF(ISBLANK(F35),"",VLOOKUP(F35,VALO_PERSO!G:H,2,0))</f>
        <v/>
      </c>
      <c r="H35" s="11"/>
      <c r="I35" s="41"/>
      <c r="J35" s="11"/>
    </row>
    <row r="36" spans="2:10" ht="15.75" thickBot="1" x14ac:dyDescent="0.3">
      <c r="B36" s="148"/>
      <c r="C36" s="148"/>
      <c r="D36" s="148"/>
      <c r="E36" s="148"/>
      <c r="F36" s="148"/>
      <c r="G36" s="148"/>
      <c r="H36" s="148"/>
      <c r="I36" s="65" t="s">
        <v>557</v>
      </c>
      <c r="J36" s="98">
        <f>SUM(J25:J35)</f>
        <v>0</v>
      </c>
    </row>
    <row r="38" spans="2:10" ht="15.75" thickBot="1" x14ac:dyDescent="0.3">
      <c r="F38" s="148"/>
      <c r="G38" s="148"/>
      <c r="H38" s="148"/>
      <c r="I38" s="148" t="s">
        <v>405</v>
      </c>
      <c r="J38" s="98">
        <f>SUMIF(B:B,parametrage!$G$3,'VALO-autres dépenses CIR'!J:J)</f>
        <v>0</v>
      </c>
    </row>
    <row r="39" spans="2:10" ht="15.75" thickBot="1" x14ac:dyDescent="0.3">
      <c r="F39" s="148"/>
      <c r="G39" s="148"/>
      <c r="H39" s="148"/>
      <c r="I39" s="148" t="s">
        <v>587</v>
      </c>
      <c r="J39" s="98">
        <f>SUMIF(B:B,parametrage!$G$4,'VALO-autres dépenses CIR'!J:J)</f>
        <v>0</v>
      </c>
    </row>
    <row r="40" spans="2:10" ht="15.75" thickBot="1" x14ac:dyDescent="0.3">
      <c r="F40" s="148"/>
      <c r="G40" s="148"/>
      <c r="H40" s="148"/>
      <c r="I40" s="148" t="s">
        <v>588</v>
      </c>
      <c r="J40" s="98">
        <f>L16+SUMIF(B:B,parametrage!$G$2,'VALO-autres dépenses CIR'!J:J)</f>
        <v>0</v>
      </c>
    </row>
    <row r="41" spans="2:10" ht="15.75" thickBot="1" x14ac:dyDescent="0.3">
      <c r="F41" s="148"/>
      <c r="G41" s="148"/>
      <c r="H41" s="148"/>
      <c r="I41" s="148" t="s">
        <v>589</v>
      </c>
      <c r="J41" s="98">
        <f>IF(J40&gt;60000,60000,J40)</f>
        <v>0</v>
      </c>
    </row>
  </sheetData>
  <conditionalFormatting sqref="D4">
    <cfRule type="duplicateValues" dxfId="13" priority="8"/>
  </conditionalFormatting>
  <conditionalFormatting sqref="C5:G5">
    <cfRule type="expression" dxfId="12" priority="7">
      <formula>$A5&gt;0</formula>
    </cfRule>
  </conditionalFormatting>
  <conditionalFormatting sqref="D5:D15">
    <cfRule type="duplicateValues" dxfId="11" priority="6"/>
  </conditionalFormatting>
  <conditionalFormatting sqref="C6:G15">
    <cfRule type="expression" dxfId="10" priority="5">
      <formula>$A6&gt;0</formula>
    </cfRule>
  </conditionalFormatting>
  <conditionalFormatting sqref="D3">
    <cfRule type="duplicateValues" dxfId="9" priority="4"/>
  </conditionalFormatting>
  <conditionalFormatting sqref="F25:G35">
    <cfRule type="expression" dxfId="8" priority="1">
      <formula>$A25&gt;0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1" r:id="rId3" name="Button 3">
              <controlPr defaultSize="0" print="0" autoFill="0" autoPict="0" macro="[0]!InsererLigneMultiple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3</xdr:col>
                    <xdr:colOff>38100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EC26DCA-D02C-46B7-98B9-4D8F2E14E221}">
          <x14:formula1>
            <xm:f>parametrage!$L$2:$L$5</xm:f>
          </x14:formula1>
          <xm:sqref>I5</xm:sqref>
        </x14:dataValidation>
        <x14:dataValidation type="list" allowBlank="1" showInputMessage="1" showErrorMessage="1" xr:uid="{56053EB1-538C-410B-BCBA-9F80F1987D11}">
          <x14:formula1>
            <xm:f>parametrage!$G$2:$G$4</xm:f>
          </x14:formula1>
          <xm:sqref>B25:B35</xm:sqref>
        </x14:dataValidation>
        <x14:dataValidation type="list" allowBlank="1" showInputMessage="1" showErrorMessage="1" xr:uid="{B958D38D-67A0-44BB-9D08-46F064EB4713}">
          <x14:formula1>
            <xm:f>VALO_PERSO!$G:$G</xm:f>
          </x14:formula1>
          <xm:sqref>F25:F35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F8FBA-0371-4E51-ABA7-531B2629DEEF}">
  <sheetPr codeName="Feuil29">
    <tabColor rgb="FF2D44EA"/>
  </sheetPr>
  <dimension ref="B1:P18"/>
  <sheetViews>
    <sheetView showGridLines="0" workbookViewId="0">
      <selection activeCell="C7" sqref="C7"/>
    </sheetView>
  </sheetViews>
  <sheetFormatPr baseColWidth="10" defaultColWidth="11.42578125" defaultRowHeight="15" x14ac:dyDescent="0.25"/>
  <cols>
    <col min="2" max="2" width="13.5703125" customWidth="1"/>
    <col min="3" max="3" width="18" customWidth="1"/>
  </cols>
  <sheetData>
    <row r="1" spans="2:16" ht="45" x14ac:dyDescent="0.25">
      <c r="B1" s="452" t="s">
        <v>329</v>
      </c>
      <c r="C1" s="452" t="s">
        <v>578</v>
      </c>
      <c r="D1" s="452" t="s">
        <v>579</v>
      </c>
      <c r="E1" s="452" t="s">
        <v>554</v>
      </c>
      <c r="H1" s="452" t="s">
        <v>580</v>
      </c>
      <c r="I1" s="452" t="s">
        <v>581</v>
      </c>
      <c r="J1" s="452" t="s">
        <v>582</v>
      </c>
      <c r="K1" s="452" t="s">
        <v>583</v>
      </c>
      <c r="L1" s="452" t="s">
        <v>367</v>
      </c>
      <c r="M1" s="452" t="s">
        <v>368</v>
      </c>
      <c r="N1" s="452" t="s">
        <v>584</v>
      </c>
      <c r="O1" s="452" t="s">
        <v>585</v>
      </c>
      <c r="P1" s="452" t="s">
        <v>586</v>
      </c>
    </row>
    <row r="2" spans="2:16" ht="15.75" x14ac:dyDescent="0.3">
      <c r="B2" s="456">
        <f>'VALO-autres dépenses CIR'!H5</f>
        <v>0</v>
      </c>
      <c r="C2" s="456">
        <f>'VALO-autres dépenses CIR'!I5</f>
        <v>0</v>
      </c>
      <c r="D2" s="456">
        <f>'VALO-autres dépenses CIR'!J5</f>
        <v>0</v>
      </c>
      <c r="E2" s="456">
        <f>'VALO-autres dépenses CIR'!L5</f>
        <v>0</v>
      </c>
      <c r="H2" s="454">
        <f>'VALO-autres dépenses CIR'!B25</f>
        <v>0</v>
      </c>
      <c r="I2" s="454">
        <f>'VALO-autres dépenses CIR'!C25</f>
        <v>0</v>
      </c>
      <c r="J2" s="454">
        <f>'VALO-autres dépenses CIR'!D25</f>
        <v>0</v>
      </c>
      <c r="K2" s="454">
        <f>'VALO-autres dépenses CIR'!E25</f>
        <v>0</v>
      </c>
      <c r="L2" s="454">
        <f>'VALO-autres dépenses CIR'!F25</f>
        <v>0</v>
      </c>
      <c r="M2" s="454" t="str">
        <f>'VALO-autres dépenses CIR'!G25</f>
        <v/>
      </c>
      <c r="N2" s="454">
        <f>'VALO-autres dépenses CIR'!H25</f>
        <v>0</v>
      </c>
      <c r="O2" s="454" t="str">
        <f>'VALO-autres dépenses CIR'!I25</f>
        <v/>
      </c>
      <c r="P2" s="454" t="str">
        <f>'VALO-autres dépenses CIR'!J25</f>
        <v/>
      </c>
    </row>
    <row r="3" spans="2:16" ht="15.75" x14ac:dyDescent="0.3">
      <c r="B3" s="456">
        <f>'VALO-autres dépenses CIR'!H6</f>
        <v>0</v>
      </c>
      <c r="C3" s="456">
        <f>'VALO-autres dépenses CIR'!I6</f>
        <v>0</v>
      </c>
      <c r="D3" s="456">
        <f>'VALO-autres dépenses CIR'!J6</f>
        <v>0</v>
      </c>
      <c r="E3" s="456">
        <f>'VALO-autres dépenses CIR'!L6</f>
        <v>0</v>
      </c>
      <c r="H3" s="454">
        <f>'VALO-autres dépenses CIR'!B26</f>
        <v>0</v>
      </c>
      <c r="I3" s="454">
        <f>'VALO-autres dépenses CIR'!C26</f>
        <v>0</v>
      </c>
      <c r="J3" s="454">
        <f>'VALO-autres dépenses CIR'!D26</f>
        <v>0</v>
      </c>
      <c r="K3" s="454">
        <f>'VALO-autres dépenses CIR'!E26</f>
        <v>0</v>
      </c>
      <c r="L3" s="454">
        <f>'VALO-autres dépenses CIR'!F26</f>
        <v>0</v>
      </c>
      <c r="M3" s="454" t="str">
        <f>'VALO-autres dépenses CIR'!G26</f>
        <v/>
      </c>
      <c r="N3" s="454">
        <f>'VALO-autres dépenses CIR'!H26</f>
        <v>0</v>
      </c>
      <c r="O3" s="454">
        <f>'VALO-autres dépenses CIR'!I26</f>
        <v>0</v>
      </c>
      <c r="P3" s="454">
        <f>'VALO-autres dépenses CIR'!J26</f>
        <v>0</v>
      </c>
    </row>
    <row r="4" spans="2:16" ht="15.75" x14ac:dyDescent="0.3">
      <c r="B4" s="456">
        <f>'VALO-autres dépenses CIR'!H7</f>
        <v>0</v>
      </c>
      <c r="C4" s="456">
        <f>'VALO-autres dépenses CIR'!I7</f>
        <v>0</v>
      </c>
      <c r="D4" s="456">
        <f>'VALO-autres dépenses CIR'!J7</f>
        <v>0</v>
      </c>
      <c r="E4" s="456">
        <f>'VALO-autres dépenses CIR'!L7</f>
        <v>0</v>
      </c>
      <c r="H4" s="454">
        <f>'VALO-autres dépenses CIR'!B27</f>
        <v>0</v>
      </c>
      <c r="I4" s="454">
        <f>'VALO-autres dépenses CIR'!C27</f>
        <v>0</v>
      </c>
      <c r="J4" s="454">
        <f>'VALO-autres dépenses CIR'!D27</f>
        <v>0</v>
      </c>
      <c r="K4" s="454">
        <f>'VALO-autres dépenses CIR'!E27</f>
        <v>0</v>
      </c>
      <c r="L4" s="454">
        <f>'VALO-autres dépenses CIR'!F27</f>
        <v>0</v>
      </c>
      <c r="M4" s="454" t="str">
        <f>'VALO-autres dépenses CIR'!G27</f>
        <v/>
      </c>
      <c r="N4" s="454">
        <f>'VALO-autres dépenses CIR'!H27</f>
        <v>0</v>
      </c>
      <c r="O4" s="454">
        <f>'VALO-autres dépenses CIR'!I27</f>
        <v>0</v>
      </c>
      <c r="P4" s="454">
        <f>'VALO-autres dépenses CIR'!J27</f>
        <v>0</v>
      </c>
    </row>
    <row r="5" spans="2:16" ht="15.75" x14ac:dyDescent="0.3">
      <c r="B5" s="456">
        <f>'VALO-autres dépenses CIR'!H8</f>
        <v>0</v>
      </c>
      <c r="C5" s="456">
        <f>'VALO-autres dépenses CIR'!I8</f>
        <v>0</v>
      </c>
      <c r="D5" s="456">
        <f>'VALO-autres dépenses CIR'!J8</f>
        <v>0</v>
      </c>
      <c r="E5" s="456">
        <f>'VALO-autres dépenses CIR'!L8</f>
        <v>0</v>
      </c>
      <c r="H5" s="454">
        <f>'VALO-autres dépenses CIR'!B28</f>
        <v>0</v>
      </c>
      <c r="I5" s="454">
        <f>'VALO-autres dépenses CIR'!C28</f>
        <v>0</v>
      </c>
      <c r="J5" s="454">
        <f>'VALO-autres dépenses CIR'!D28</f>
        <v>0</v>
      </c>
      <c r="K5" s="454">
        <f>'VALO-autres dépenses CIR'!E28</f>
        <v>0</v>
      </c>
      <c r="L5" s="454">
        <f>'VALO-autres dépenses CIR'!F28</f>
        <v>0</v>
      </c>
      <c r="M5" s="454" t="str">
        <f>'VALO-autres dépenses CIR'!G28</f>
        <v/>
      </c>
      <c r="N5" s="454">
        <f>'VALO-autres dépenses CIR'!H28</f>
        <v>0</v>
      </c>
      <c r="O5" s="454">
        <f>'VALO-autres dépenses CIR'!I28</f>
        <v>0</v>
      </c>
      <c r="P5" s="454">
        <f>'VALO-autres dépenses CIR'!J28</f>
        <v>0</v>
      </c>
    </row>
    <row r="6" spans="2:16" ht="15.75" x14ac:dyDescent="0.3">
      <c r="B6" s="456">
        <f>'VALO-autres dépenses CIR'!H9</f>
        <v>0</v>
      </c>
      <c r="C6" s="456">
        <f>'VALO-autres dépenses CIR'!I9</f>
        <v>0</v>
      </c>
      <c r="D6" s="456">
        <f>'VALO-autres dépenses CIR'!J9</f>
        <v>0</v>
      </c>
      <c r="E6" s="456">
        <f>'VALO-autres dépenses CIR'!L9</f>
        <v>0</v>
      </c>
      <c r="H6" s="454">
        <f>'VALO-autres dépenses CIR'!B29</f>
        <v>0</v>
      </c>
      <c r="I6" s="454">
        <f>'VALO-autres dépenses CIR'!C29</f>
        <v>0</v>
      </c>
      <c r="J6" s="454">
        <f>'VALO-autres dépenses CIR'!D29</f>
        <v>0</v>
      </c>
      <c r="K6" s="454">
        <f>'VALO-autres dépenses CIR'!E29</f>
        <v>0</v>
      </c>
      <c r="L6" s="454">
        <f>'VALO-autres dépenses CIR'!F29</f>
        <v>0</v>
      </c>
      <c r="M6" s="454" t="str">
        <f>'VALO-autres dépenses CIR'!G29</f>
        <v/>
      </c>
      <c r="N6" s="454">
        <f>'VALO-autres dépenses CIR'!H29</f>
        <v>0</v>
      </c>
      <c r="O6" s="454">
        <f>'VALO-autres dépenses CIR'!I29</f>
        <v>0</v>
      </c>
      <c r="P6" s="454">
        <f>'VALO-autres dépenses CIR'!J29</f>
        <v>0</v>
      </c>
    </row>
    <row r="7" spans="2:16" ht="15.75" x14ac:dyDescent="0.3">
      <c r="B7" s="456">
        <f>'VALO-autres dépenses CIR'!H10</f>
        <v>0</v>
      </c>
      <c r="C7" s="456">
        <f>'VALO-autres dépenses CIR'!I10</f>
        <v>0</v>
      </c>
      <c r="D7" s="456">
        <f>'VALO-autres dépenses CIR'!J10</f>
        <v>0</v>
      </c>
      <c r="E7" s="456">
        <f>'VALO-autres dépenses CIR'!L10</f>
        <v>0</v>
      </c>
      <c r="H7" s="454">
        <f>'VALO-autres dépenses CIR'!B30</f>
        <v>0</v>
      </c>
      <c r="I7" s="454">
        <f>'VALO-autres dépenses CIR'!C30</f>
        <v>0</v>
      </c>
      <c r="J7" s="454">
        <f>'VALO-autres dépenses CIR'!D30</f>
        <v>0</v>
      </c>
      <c r="K7" s="454">
        <f>'VALO-autres dépenses CIR'!E30</f>
        <v>0</v>
      </c>
      <c r="L7" s="454">
        <f>'VALO-autres dépenses CIR'!F30</f>
        <v>0</v>
      </c>
      <c r="M7" s="454" t="str">
        <f>'VALO-autres dépenses CIR'!G30</f>
        <v/>
      </c>
      <c r="N7" s="454">
        <f>'VALO-autres dépenses CIR'!H30</f>
        <v>0</v>
      </c>
      <c r="O7" s="454">
        <f>'VALO-autres dépenses CIR'!I30</f>
        <v>0</v>
      </c>
      <c r="P7" s="454">
        <f>'VALO-autres dépenses CIR'!J30</f>
        <v>0</v>
      </c>
    </row>
    <row r="8" spans="2:16" ht="15.75" x14ac:dyDescent="0.3">
      <c r="B8" s="456">
        <f>'VALO-autres dépenses CIR'!H11</f>
        <v>0</v>
      </c>
      <c r="C8" s="456">
        <f>'VALO-autres dépenses CIR'!I11</f>
        <v>0</v>
      </c>
      <c r="D8" s="456">
        <f>'VALO-autres dépenses CIR'!J11</f>
        <v>0</v>
      </c>
      <c r="E8" s="456">
        <f>'VALO-autres dépenses CIR'!L11</f>
        <v>0</v>
      </c>
      <c r="H8" s="454">
        <f>'VALO-autres dépenses CIR'!B31</f>
        <v>0</v>
      </c>
      <c r="I8" s="454">
        <f>'VALO-autres dépenses CIR'!C31</f>
        <v>0</v>
      </c>
      <c r="J8" s="454">
        <f>'VALO-autres dépenses CIR'!D31</f>
        <v>0</v>
      </c>
      <c r="K8" s="454">
        <f>'VALO-autres dépenses CIR'!E31</f>
        <v>0</v>
      </c>
      <c r="L8" s="454">
        <f>'VALO-autres dépenses CIR'!F31</f>
        <v>0</v>
      </c>
      <c r="M8" s="454" t="str">
        <f>'VALO-autres dépenses CIR'!G31</f>
        <v/>
      </c>
      <c r="N8" s="454">
        <f>'VALO-autres dépenses CIR'!H31</f>
        <v>0</v>
      </c>
      <c r="O8" s="454">
        <f>'VALO-autres dépenses CIR'!I31</f>
        <v>0</v>
      </c>
      <c r="P8" s="454">
        <f>'VALO-autres dépenses CIR'!J31</f>
        <v>0</v>
      </c>
    </row>
    <row r="9" spans="2:16" ht="15.75" x14ac:dyDescent="0.3">
      <c r="B9" s="456">
        <f>'VALO-autres dépenses CIR'!H12</f>
        <v>0</v>
      </c>
      <c r="C9" s="456">
        <f>'VALO-autres dépenses CIR'!I12</f>
        <v>0</v>
      </c>
      <c r="D9" s="456">
        <f>'VALO-autres dépenses CIR'!J12</f>
        <v>0</v>
      </c>
      <c r="E9" s="456">
        <f>'VALO-autres dépenses CIR'!L12</f>
        <v>0</v>
      </c>
      <c r="H9" s="454">
        <f>'VALO-autres dépenses CIR'!B32</f>
        <v>0</v>
      </c>
      <c r="I9" s="454">
        <f>'VALO-autres dépenses CIR'!C32</f>
        <v>0</v>
      </c>
      <c r="J9" s="454">
        <f>'VALO-autres dépenses CIR'!D32</f>
        <v>0</v>
      </c>
      <c r="K9" s="454">
        <f>'VALO-autres dépenses CIR'!E32</f>
        <v>0</v>
      </c>
      <c r="L9" s="454">
        <f>'VALO-autres dépenses CIR'!F32</f>
        <v>0</v>
      </c>
      <c r="M9" s="454" t="str">
        <f>'VALO-autres dépenses CIR'!G32</f>
        <v/>
      </c>
      <c r="N9" s="454">
        <f>'VALO-autres dépenses CIR'!H32</f>
        <v>0</v>
      </c>
      <c r="O9" s="454">
        <f>'VALO-autres dépenses CIR'!I32</f>
        <v>0</v>
      </c>
      <c r="P9" s="454">
        <f>'VALO-autres dépenses CIR'!J32</f>
        <v>0</v>
      </c>
    </row>
    <row r="10" spans="2:16" ht="15.75" x14ac:dyDescent="0.3">
      <c r="B10" s="456">
        <f>'VALO-autres dépenses CIR'!H13</f>
        <v>0</v>
      </c>
      <c r="C10" s="456">
        <f>'VALO-autres dépenses CIR'!I13</f>
        <v>0</v>
      </c>
      <c r="D10" s="456">
        <f>'VALO-autres dépenses CIR'!J13</f>
        <v>0</v>
      </c>
      <c r="E10" s="456">
        <f>'VALO-autres dépenses CIR'!L13</f>
        <v>0</v>
      </c>
      <c r="H10" s="454">
        <f>'VALO-autres dépenses CIR'!B33</f>
        <v>0</v>
      </c>
      <c r="I10" s="454">
        <f>'VALO-autres dépenses CIR'!C33</f>
        <v>0</v>
      </c>
      <c r="J10" s="454">
        <f>'VALO-autres dépenses CIR'!D33</f>
        <v>0</v>
      </c>
      <c r="K10" s="454">
        <f>'VALO-autres dépenses CIR'!E33</f>
        <v>0</v>
      </c>
      <c r="L10" s="454">
        <f>'VALO-autres dépenses CIR'!F33</f>
        <v>0</v>
      </c>
      <c r="M10" s="454" t="str">
        <f>'VALO-autres dépenses CIR'!G33</f>
        <v/>
      </c>
      <c r="N10" s="454">
        <f>'VALO-autres dépenses CIR'!H33</f>
        <v>0</v>
      </c>
      <c r="O10" s="454">
        <f>'VALO-autres dépenses CIR'!I33</f>
        <v>0</v>
      </c>
      <c r="P10" s="454">
        <f>'VALO-autres dépenses CIR'!J33</f>
        <v>0</v>
      </c>
    </row>
    <row r="11" spans="2:16" ht="15.75" x14ac:dyDescent="0.3">
      <c r="B11" s="456">
        <f>'VALO-autres dépenses CIR'!H14</f>
        <v>0</v>
      </c>
      <c r="C11" s="456">
        <f>'VALO-autres dépenses CIR'!I14</f>
        <v>0</v>
      </c>
      <c r="D11" s="456">
        <f>'VALO-autres dépenses CIR'!J14</f>
        <v>0</v>
      </c>
      <c r="E11" s="456">
        <f>'VALO-autres dépenses CIR'!L14</f>
        <v>0</v>
      </c>
      <c r="H11" s="454">
        <f>'VALO-autres dépenses CIR'!B34</f>
        <v>0</v>
      </c>
      <c r="I11" s="454">
        <f>'VALO-autres dépenses CIR'!C34</f>
        <v>0</v>
      </c>
      <c r="J11" s="454">
        <f>'VALO-autres dépenses CIR'!D34</f>
        <v>0</v>
      </c>
      <c r="K11" s="454">
        <f>'VALO-autres dépenses CIR'!E34</f>
        <v>0</v>
      </c>
      <c r="L11" s="454">
        <f>'VALO-autres dépenses CIR'!F34</f>
        <v>0</v>
      </c>
      <c r="M11" s="454" t="str">
        <f>'VALO-autres dépenses CIR'!G34</f>
        <v/>
      </c>
      <c r="N11" s="454">
        <f>'VALO-autres dépenses CIR'!H34</f>
        <v>0</v>
      </c>
      <c r="O11" s="454">
        <f>'VALO-autres dépenses CIR'!I34</f>
        <v>0</v>
      </c>
      <c r="P11" s="454">
        <f>'VALO-autres dépenses CIR'!J34</f>
        <v>0</v>
      </c>
    </row>
    <row r="12" spans="2:16" ht="15.75" x14ac:dyDescent="0.3">
      <c r="B12" s="456">
        <f>'VALO-autres dépenses CIR'!H15</f>
        <v>0</v>
      </c>
      <c r="C12" s="456">
        <f>'VALO-autres dépenses CIR'!I15</f>
        <v>0</v>
      </c>
      <c r="D12" s="456">
        <f>'VALO-autres dépenses CIR'!J15</f>
        <v>0</v>
      </c>
      <c r="E12" s="456">
        <f>'VALO-autres dépenses CIR'!L15</f>
        <v>0</v>
      </c>
      <c r="H12" s="454">
        <f>'VALO-autres dépenses CIR'!B35</f>
        <v>0</v>
      </c>
      <c r="I12" s="454">
        <f>'VALO-autres dépenses CIR'!C35</f>
        <v>0</v>
      </c>
      <c r="J12" s="454">
        <f>'VALO-autres dépenses CIR'!D35</f>
        <v>0</v>
      </c>
      <c r="K12" s="454">
        <f>'VALO-autres dépenses CIR'!E35</f>
        <v>0</v>
      </c>
      <c r="L12" s="454">
        <f>'VALO-autres dépenses CIR'!F35</f>
        <v>0</v>
      </c>
      <c r="M12" s="454" t="str">
        <f>'VALO-autres dépenses CIR'!G35</f>
        <v/>
      </c>
      <c r="N12" s="454">
        <f>'VALO-autres dépenses CIR'!H35</f>
        <v>0</v>
      </c>
      <c r="O12" s="454">
        <f>'VALO-autres dépenses CIR'!I35</f>
        <v>0</v>
      </c>
      <c r="P12" s="454">
        <f>'VALO-autres dépenses CIR'!J35</f>
        <v>0</v>
      </c>
    </row>
    <row r="13" spans="2:16" ht="15.75" thickBot="1" x14ac:dyDescent="0.3">
      <c r="B13" s="453" t="s">
        <v>557</v>
      </c>
      <c r="C13" s="453"/>
      <c r="D13" s="453"/>
      <c r="E13" s="455">
        <f>SUM(E2:E12)</f>
        <v>0</v>
      </c>
      <c r="H13" s="557" t="s">
        <v>557</v>
      </c>
      <c r="I13" s="557"/>
      <c r="J13" s="557"/>
      <c r="K13" s="557"/>
      <c r="L13" s="557"/>
      <c r="M13" s="557"/>
      <c r="N13" s="557"/>
      <c r="O13" s="557"/>
      <c r="P13" s="453">
        <v>0</v>
      </c>
    </row>
    <row r="15" spans="2:16" ht="15.75" thickBot="1" x14ac:dyDescent="0.3">
      <c r="B15" s="148"/>
      <c r="C15" s="148"/>
      <c r="D15" s="148"/>
      <c r="E15" s="148" t="s">
        <v>405</v>
      </c>
      <c r="F15" s="98">
        <f>'VALO-autres dépenses CIR'!J38</f>
        <v>0</v>
      </c>
    </row>
    <row r="16" spans="2:16" ht="15.75" thickBot="1" x14ac:dyDescent="0.3">
      <c r="B16" s="148"/>
      <c r="C16" s="148"/>
      <c r="D16" s="148"/>
      <c r="E16" s="148" t="s">
        <v>587</v>
      </c>
      <c r="F16" s="98">
        <f>'VALO-autres dépenses CIR'!J39</f>
        <v>0</v>
      </c>
    </row>
    <row r="17" spans="2:6" ht="15.75" thickBot="1" x14ac:dyDescent="0.3">
      <c r="B17" s="148"/>
      <c r="C17" s="148"/>
      <c r="D17" s="148"/>
      <c r="E17" s="148" t="s">
        <v>588</v>
      </c>
      <c r="F17" s="98">
        <f>'VALO-autres dépenses CIR'!J40</f>
        <v>0</v>
      </c>
    </row>
    <row r="18" spans="2:6" ht="15.75" thickBot="1" x14ac:dyDescent="0.3">
      <c r="B18" s="148"/>
      <c r="C18" s="148"/>
      <c r="D18" s="148"/>
      <c r="E18" s="148" t="s">
        <v>589</v>
      </c>
      <c r="F18" s="98">
        <f>'VALO-autres dépenses CIR'!J41</f>
        <v>0</v>
      </c>
    </row>
  </sheetData>
  <mergeCells count="1">
    <mergeCell ref="H13:O13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D2D22-050F-4261-8A45-8571193A3399}">
  <sheetPr codeName="Feuil17"/>
  <dimension ref="B3:H16"/>
  <sheetViews>
    <sheetView showGridLines="0" workbookViewId="0">
      <selection activeCell="C19" sqref="C19"/>
    </sheetView>
  </sheetViews>
  <sheetFormatPr baseColWidth="10" defaultColWidth="11.42578125" defaultRowHeight="15" x14ac:dyDescent="0.25"/>
  <cols>
    <col min="7" max="7" width="51.42578125" customWidth="1"/>
    <col min="8" max="8" width="12.5703125" bestFit="1" customWidth="1"/>
  </cols>
  <sheetData>
    <row r="3" spans="2:8" ht="21" x14ac:dyDescent="0.35">
      <c r="B3" s="209" t="s">
        <v>590</v>
      </c>
    </row>
    <row r="8" spans="2:8" x14ac:dyDescent="0.25">
      <c r="H8" s="478"/>
    </row>
    <row r="9" spans="2:8" x14ac:dyDescent="0.25">
      <c r="G9" t="s">
        <v>958</v>
      </c>
      <c r="H9" s="478">
        <v>63000</v>
      </c>
    </row>
    <row r="10" spans="2:8" x14ac:dyDescent="0.25">
      <c r="G10" t="s">
        <v>959</v>
      </c>
      <c r="H10" s="478">
        <v>262500</v>
      </c>
    </row>
    <row r="11" spans="2:8" x14ac:dyDescent="0.25">
      <c r="H11" s="478"/>
    </row>
    <row r="12" spans="2:8" x14ac:dyDescent="0.25">
      <c r="G12" t="s">
        <v>960</v>
      </c>
      <c r="H12" s="478">
        <f>SUM(H9:H10)</f>
        <v>325500</v>
      </c>
    </row>
    <row r="13" spans="2:8" x14ac:dyDescent="0.25">
      <c r="H13" s="478"/>
    </row>
    <row r="14" spans="2:8" x14ac:dyDescent="0.25">
      <c r="G14" t="s">
        <v>961</v>
      </c>
      <c r="H14" s="479">
        <v>189117.93281672083</v>
      </c>
    </row>
    <row r="15" spans="2:8" x14ac:dyDescent="0.25">
      <c r="H15" s="478"/>
    </row>
    <row r="16" spans="2:8" x14ac:dyDescent="0.25">
      <c r="G16" t="s">
        <v>962</v>
      </c>
      <c r="H16" s="479">
        <f>H12-H14</f>
        <v>136382.06718327917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E295D-262C-4169-AD01-B131D27F775E}">
  <sheetPr codeName="Feuil18"/>
  <dimension ref="A1:HA570"/>
  <sheetViews>
    <sheetView showGridLines="0" zoomScale="70" zoomScaleNormal="70" workbookViewId="0">
      <selection activeCell="O37" sqref="O37"/>
    </sheetView>
  </sheetViews>
  <sheetFormatPr baseColWidth="10" defaultColWidth="11.42578125" defaultRowHeight="15" x14ac:dyDescent="0.25"/>
  <cols>
    <col min="1" max="1" width="11.42578125" style="112"/>
    <col min="2" max="2" width="32.42578125" style="112" bestFit="1" customWidth="1"/>
    <col min="3" max="3" width="11.42578125" style="112"/>
    <col min="4" max="5" width="15.140625" style="112" customWidth="1"/>
    <col min="6" max="6" width="11.42578125" style="112"/>
    <col min="7" max="7" width="32.42578125" style="112" bestFit="1" customWidth="1"/>
    <col min="8" max="8" width="17.140625" style="112" customWidth="1"/>
    <col min="9" max="9" width="17.7109375" style="112" customWidth="1"/>
    <col min="10" max="15" width="11.42578125" style="112"/>
    <col min="16" max="16" width="1.28515625" style="311" customWidth="1"/>
    <col min="17" max="17" width="16" customWidth="1"/>
    <col min="20" max="20" width="14.28515625" customWidth="1"/>
    <col min="21" max="23" width="16.85546875" customWidth="1"/>
    <col min="24" max="24" width="20.42578125" customWidth="1"/>
    <col min="32" max="32" width="17.5703125" customWidth="1"/>
    <col min="33" max="34" width="12" bestFit="1" customWidth="1"/>
    <col min="35" max="35" width="19.5703125" customWidth="1"/>
    <col min="37" max="37" width="21" customWidth="1"/>
    <col min="38" max="38" width="14.42578125" customWidth="1"/>
    <col min="39" max="39" width="14.42578125" style="112" customWidth="1"/>
    <col min="40" max="40" width="1.28515625" style="311" customWidth="1"/>
    <col min="41" max="41" width="14.42578125" style="112" customWidth="1"/>
    <col min="42" max="42" width="28.85546875" bestFit="1" customWidth="1"/>
    <col min="43" max="43" width="13.140625" bestFit="1" customWidth="1"/>
    <col min="44" max="44" width="21.5703125" bestFit="1" customWidth="1"/>
    <col min="45" max="45" width="29.140625" bestFit="1" customWidth="1"/>
    <col min="46" max="46" width="18.28515625" bestFit="1" customWidth="1"/>
    <col min="47" max="47" width="21.28515625" bestFit="1" customWidth="1"/>
    <col min="48" max="48" width="25.85546875" bestFit="1" customWidth="1"/>
    <col min="49" max="49" width="20.5703125" bestFit="1" customWidth="1"/>
    <col min="50" max="50" width="25.28515625" bestFit="1" customWidth="1"/>
    <col min="52" max="52" width="0.85546875" style="311" customWidth="1"/>
    <col min="55" max="55" width="20.7109375" bestFit="1" customWidth="1"/>
    <col min="56" max="56" width="20.85546875" bestFit="1" customWidth="1"/>
    <col min="57" max="57" width="17.28515625" bestFit="1" customWidth="1"/>
    <col min="58" max="58" width="14.140625" bestFit="1" customWidth="1"/>
    <col min="59" max="59" width="13" bestFit="1" customWidth="1"/>
    <col min="60" max="60" width="12.42578125" bestFit="1" customWidth="1"/>
    <col min="62" max="62" width="0.85546875" style="311" customWidth="1"/>
    <col min="63" max="63" width="14.85546875" bestFit="1" customWidth="1"/>
    <col min="64" max="64" width="24.28515625" bestFit="1" customWidth="1"/>
    <col min="65" max="65" width="31.7109375" bestFit="1" customWidth="1"/>
    <col min="66" max="66" width="20.28515625" bestFit="1" customWidth="1"/>
    <col min="67" max="67" width="23.85546875" style="112" bestFit="1" customWidth="1"/>
    <col min="68" max="68" width="29.140625" style="112" bestFit="1" customWidth="1"/>
    <col min="69" max="69" width="22.85546875" style="112" bestFit="1" customWidth="1"/>
    <col min="70" max="70" width="28.140625" style="112" bestFit="1" customWidth="1"/>
    <col min="71" max="73" width="11.42578125" style="112"/>
    <col min="74" max="74" width="12.85546875" style="112" bestFit="1" customWidth="1"/>
    <col min="75" max="75" width="22.42578125" style="112" bestFit="1" customWidth="1"/>
    <col min="76" max="76" width="22.5703125" style="112" bestFit="1" customWidth="1"/>
    <col min="77" max="77" width="18.28515625" style="112" bestFit="1" customWidth="1"/>
    <col min="78" max="78" width="15.42578125" style="112" bestFit="1" customWidth="1"/>
    <col min="79" max="79" width="15" style="112" bestFit="1" customWidth="1"/>
    <col min="80" max="80" width="14" style="112" bestFit="1" customWidth="1"/>
    <col min="81" max="209" width="11.42578125" style="112"/>
  </cols>
  <sheetData>
    <row r="1" spans="1:80" s="112" customFormat="1" x14ac:dyDescent="0.25">
      <c r="P1" s="311"/>
      <c r="V1" s="112" t="s">
        <v>13</v>
      </c>
      <c r="W1" s="112" t="s">
        <v>13</v>
      </c>
      <c r="Y1" s="112" t="s">
        <v>27</v>
      </c>
      <c r="AG1" s="112" t="s">
        <v>13</v>
      </c>
      <c r="AH1" s="112" t="s">
        <v>13</v>
      </c>
      <c r="AJ1" s="112" t="s">
        <v>27</v>
      </c>
      <c r="AN1" s="311"/>
      <c r="AZ1" s="311"/>
      <c r="BJ1" s="311"/>
    </row>
    <row r="2" spans="1:80" ht="48" customHeight="1" x14ac:dyDescent="0.7">
      <c r="A2" s="559" t="s">
        <v>591</v>
      </c>
      <c r="B2" s="559"/>
      <c r="C2" s="559"/>
      <c r="D2" s="559"/>
      <c r="E2" s="559"/>
      <c r="F2" s="559"/>
      <c r="G2" s="559"/>
      <c r="H2" s="559"/>
      <c r="I2" s="559"/>
      <c r="J2" s="559"/>
      <c r="K2" s="559"/>
      <c r="L2" s="559"/>
      <c r="M2" s="559"/>
      <c r="N2" s="559"/>
      <c r="O2" s="315"/>
      <c r="P2" s="316"/>
      <c r="Q2" s="559" t="s">
        <v>592</v>
      </c>
      <c r="R2" s="559"/>
      <c r="S2" s="559"/>
      <c r="T2" s="559"/>
      <c r="U2" s="559"/>
      <c r="V2" s="559"/>
      <c r="W2" s="559"/>
      <c r="X2" s="559"/>
      <c r="Y2" s="559"/>
      <c r="Z2" s="559"/>
      <c r="AA2" s="559"/>
      <c r="AB2" s="559"/>
      <c r="AC2" s="559"/>
      <c r="AD2" s="559"/>
      <c r="AE2" s="559"/>
      <c r="AF2" s="559"/>
      <c r="AG2" s="559"/>
      <c r="AH2" s="559"/>
      <c r="AI2" s="559"/>
      <c r="AJ2" s="559"/>
      <c r="AK2" s="559"/>
      <c r="AL2" s="559"/>
      <c r="AM2" s="308"/>
      <c r="AN2" s="317"/>
      <c r="AO2" s="308"/>
      <c r="AP2" s="560" t="s">
        <v>593</v>
      </c>
      <c r="AQ2" s="560"/>
      <c r="AR2" s="560"/>
      <c r="AS2" s="560"/>
      <c r="AT2" s="560"/>
      <c r="AU2" s="560"/>
      <c r="AV2" s="560"/>
      <c r="AW2" s="560"/>
      <c r="AX2" s="560"/>
      <c r="AY2" s="112"/>
      <c r="BA2" s="112"/>
      <c r="BB2" s="560" t="s">
        <v>594</v>
      </c>
      <c r="BC2" s="560"/>
      <c r="BD2" s="560"/>
      <c r="BE2" s="560"/>
      <c r="BF2" s="560"/>
      <c r="BG2" s="560"/>
      <c r="BH2" s="560"/>
      <c r="BI2" s="112"/>
      <c r="BK2" s="112"/>
      <c r="BL2" s="112"/>
      <c r="BM2" s="112"/>
      <c r="BN2" s="112"/>
    </row>
    <row r="3" spans="1:80" x14ac:dyDescent="0.25">
      <c r="Q3" s="112"/>
      <c r="R3" s="112"/>
      <c r="S3" s="112"/>
      <c r="T3" s="112"/>
      <c r="U3" s="112"/>
      <c r="V3" s="112"/>
      <c r="W3" s="112"/>
      <c r="X3" s="112"/>
      <c r="Y3" s="112"/>
      <c r="Z3" s="112"/>
      <c r="AA3" s="112"/>
      <c r="AB3" s="112"/>
      <c r="AC3" s="112"/>
      <c r="AD3" s="112"/>
      <c r="AE3" s="112"/>
      <c r="AF3" s="112"/>
      <c r="AG3" s="112"/>
      <c r="AH3" s="112"/>
      <c r="AI3" s="112"/>
      <c r="AJ3" s="112"/>
      <c r="AK3" s="112"/>
      <c r="AL3" s="112"/>
      <c r="AP3" s="112"/>
      <c r="AQ3" s="112"/>
      <c r="AR3" s="112"/>
      <c r="AS3" s="112"/>
      <c r="AT3" s="112"/>
      <c r="AU3" s="112"/>
      <c r="AV3" s="112"/>
      <c r="AW3" s="112"/>
      <c r="AX3" s="112"/>
      <c r="AY3" s="112"/>
      <c r="BA3" s="112"/>
      <c r="BB3" s="112"/>
      <c r="BC3" s="112"/>
      <c r="BD3" s="112"/>
      <c r="BE3" s="112"/>
      <c r="BF3" s="112"/>
      <c r="BG3" s="112"/>
      <c r="BH3" s="112"/>
      <c r="BI3" s="112"/>
      <c r="BK3" s="112"/>
      <c r="BL3" s="112"/>
      <c r="BM3" s="112"/>
      <c r="BN3" s="112"/>
    </row>
    <row r="4" spans="1:80" ht="15.75" x14ac:dyDescent="0.3">
      <c r="A4" s="256"/>
      <c r="Q4" s="112"/>
      <c r="R4" s="561" t="s">
        <v>595</v>
      </c>
      <c r="S4" s="561"/>
      <c r="T4" s="561"/>
      <c r="U4" s="561"/>
      <c r="V4" s="561"/>
      <c r="W4" s="561"/>
      <c r="X4" s="561"/>
      <c r="Y4" s="561"/>
      <c r="Z4" s="561"/>
      <c r="AA4" s="561"/>
      <c r="AB4" s="561"/>
      <c r="AC4" s="112"/>
      <c r="AD4" s="561" t="s">
        <v>596</v>
      </c>
      <c r="AE4" s="561"/>
      <c r="AF4" s="561"/>
      <c r="AG4" s="561"/>
      <c r="AH4" s="561"/>
      <c r="AI4" s="561"/>
      <c r="AJ4" s="561"/>
      <c r="AK4" s="561"/>
      <c r="AL4" s="561"/>
      <c r="AM4" s="301"/>
      <c r="AN4" s="318"/>
      <c r="AO4" s="301"/>
      <c r="AP4" s="304" t="s">
        <v>383</v>
      </c>
      <c r="AQ4" s="304" t="s">
        <v>384</v>
      </c>
      <c r="AR4" s="304" t="s">
        <v>385</v>
      </c>
      <c r="AS4" s="304" t="s">
        <v>386</v>
      </c>
      <c r="AT4" s="304" t="s">
        <v>455</v>
      </c>
      <c r="AU4" s="304" t="s">
        <v>457</v>
      </c>
      <c r="AV4" s="304" t="s">
        <v>459</v>
      </c>
      <c r="AW4" s="304" t="s">
        <v>460</v>
      </c>
      <c r="AX4" s="304" t="s">
        <v>461</v>
      </c>
      <c r="AY4" s="112"/>
      <c r="BA4" s="112"/>
      <c r="BB4" s="303" t="s">
        <v>329</v>
      </c>
      <c r="BC4" s="303" t="s">
        <v>561</v>
      </c>
      <c r="BD4" s="303" t="s">
        <v>562</v>
      </c>
      <c r="BE4" s="303" t="s">
        <v>566</v>
      </c>
      <c r="BF4" s="303" t="s">
        <v>567</v>
      </c>
      <c r="BG4" s="303" t="s">
        <v>569</v>
      </c>
      <c r="BH4" s="303" t="s">
        <v>571</v>
      </c>
      <c r="BI4" s="112"/>
      <c r="BJ4" s="425" t="s">
        <v>383</v>
      </c>
      <c r="BK4" s="425" t="s">
        <v>384</v>
      </c>
      <c r="BL4" s="425" t="s">
        <v>385</v>
      </c>
      <c r="BM4" s="425" t="s">
        <v>386</v>
      </c>
      <c r="BN4" s="425" t="s">
        <v>455</v>
      </c>
      <c r="BO4" s="425" t="s">
        <v>457</v>
      </c>
      <c r="BP4" s="425" t="s">
        <v>459</v>
      </c>
      <c r="BQ4" s="425" t="s">
        <v>460</v>
      </c>
      <c r="BR4" s="425" t="s">
        <v>461</v>
      </c>
      <c r="BV4" s="426" t="s">
        <v>329</v>
      </c>
      <c r="BW4" s="426" t="s">
        <v>561</v>
      </c>
      <c r="BX4" s="426" t="s">
        <v>562</v>
      </c>
      <c r="BY4" s="426" t="s">
        <v>566</v>
      </c>
      <c r="BZ4" s="426" t="s">
        <v>567</v>
      </c>
      <c r="CA4" s="426" t="s">
        <v>569</v>
      </c>
      <c r="CB4" s="426" t="s">
        <v>571</v>
      </c>
    </row>
    <row r="5" spans="1:80" x14ac:dyDescent="0.25">
      <c r="A5" s="256"/>
      <c r="Q5" s="112"/>
      <c r="R5" s="112"/>
      <c r="S5" s="112"/>
      <c r="T5" s="112"/>
      <c r="U5" s="112"/>
      <c r="V5" s="279" t="s">
        <v>13</v>
      </c>
      <c r="W5" s="279" t="s">
        <v>13</v>
      </c>
      <c r="X5" s="279"/>
      <c r="Y5" s="256" t="s">
        <v>27</v>
      </c>
      <c r="Z5" s="112"/>
      <c r="AA5" s="112"/>
      <c r="AB5" s="112"/>
      <c r="AC5" s="112"/>
      <c r="AD5" s="112"/>
      <c r="AE5" s="112"/>
      <c r="AF5" s="112"/>
      <c r="AG5" s="279" t="s">
        <v>13</v>
      </c>
      <c r="AH5" s="279" t="s">
        <v>13</v>
      </c>
      <c r="AI5" s="279"/>
      <c r="AJ5" s="279" t="s">
        <v>27</v>
      </c>
      <c r="AK5" s="279"/>
      <c r="AL5" s="112"/>
      <c r="AP5" s="290" t="s">
        <v>597</v>
      </c>
      <c r="AQ5" s="291">
        <v>45422</v>
      </c>
      <c r="AR5" s="292">
        <v>300</v>
      </c>
      <c r="AS5" s="290">
        <v>25</v>
      </c>
      <c r="AT5" s="292">
        <v>100</v>
      </c>
      <c r="AU5" s="293">
        <v>0.25</v>
      </c>
      <c r="AV5" s="292">
        <v>25</v>
      </c>
      <c r="AW5" s="293" t="s">
        <v>60</v>
      </c>
      <c r="AX5" s="292">
        <v>0</v>
      </c>
      <c r="AY5" s="112"/>
      <c r="BA5" s="112"/>
      <c r="BB5" s="290" t="s">
        <v>598</v>
      </c>
      <c r="BC5" s="290" t="s">
        <v>599</v>
      </c>
      <c r="BD5" s="290"/>
      <c r="BE5" s="291">
        <v>12</v>
      </c>
      <c r="BF5" s="291">
        <v>15</v>
      </c>
      <c r="BG5" s="294">
        <v>1000</v>
      </c>
      <c r="BH5" s="294">
        <v>0</v>
      </c>
      <c r="BI5" s="112"/>
      <c r="BK5" s="112"/>
      <c r="BL5" s="112"/>
      <c r="BM5" s="112"/>
      <c r="BN5" s="112"/>
    </row>
    <row r="6" spans="1:80" ht="66" x14ac:dyDescent="0.25">
      <c r="A6" s="256"/>
      <c r="Q6" s="112"/>
      <c r="R6" s="312" t="s">
        <v>367</v>
      </c>
      <c r="S6" s="236" t="s">
        <v>368</v>
      </c>
      <c r="T6" s="236" t="s">
        <v>369</v>
      </c>
      <c r="U6" s="237" t="s">
        <v>488</v>
      </c>
      <c r="V6" s="237" t="str">
        <f>'REP cout'!B4</f>
        <v>Opération 1: Bioluminescence</v>
      </c>
      <c r="W6" s="237" t="str">
        <f>'REP cout'!C4</f>
        <v>Opération 2: Nouveaux outils</v>
      </c>
      <c r="X6" s="237" t="str">
        <f>VALO_PERSO!AB4</f>
        <v>Heures éligibles au CIR</v>
      </c>
      <c r="Y6" s="237" t="str">
        <f>VALO_PERSO!AE4</f>
        <v>Projet 1</v>
      </c>
      <c r="Z6" s="237" t="str">
        <f>VALO_PERSO!AG4</f>
        <v>Heures éligibles au CII</v>
      </c>
      <c r="AA6" s="237" t="s">
        <v>600</v>
      </c>
      <c r="AB6" s="237" t="s">
        <v>471</v>
      </c>
      <c r="AC6" s="112"/>
      <c r="AD6" s="236" t="s">
        <v>367</v>
      </c>
      <c r="AE6" s="236" t="s">
        <v>368</v>
      </c>
      <c r="AF6" s="236" t="s">
        <v>369</v>
      </c>
      <c r="AG6" s="236" t="str">
        <f>'REP cout'!B4</f>
        <v>Opération 1: Bioluminescence</v>
      </c>
      <c r="AH6" s="236" t="str">
        <f>'REP cout'!C4</f>
        <v>Opération 2: Nouveaux outils</v>
      </c>
      <c r="AI6" s="236" t="str">
        <f>VALO_PERSO!AR4</f>
        <v>Dépenses éligibles au CIR</v>
      </c>
      <c r="AJ6" s="243" t="str">
        <f>VALO_PERSO!AT4</f>
        <v>Projet 1</v>
      </c>
      <c r="AK6" s="243" t="str">
        <f>VALO_PERSO!AV4</f>
        <v>Dépenses éligibles au CII</v>
      </c>
      <c r="AL6" s="237" t="s">
        <v>601</v>
      </c>
      <c r="AM6" s="309"/>
      <c r="AN6" s="306"/>
      <c r="AO6" s="309"/>
      <c r="AP6" s="112"/>
      <c r="AQ6" s="112"/>
      <c r="AR6" s="112"/>
      <c r="AS6" s="112"/>
      <c r="AT6" s="112"/>
      <c r="AU6" s="112"/>
      <c r="AV6" s="112"/>
      <c r="AW6" s="112"/>
      <c r="AX6" s="112"/>
      <c r="AY6" s="112"/>
      <c r="BA6" s="112"/>
      <c r="BB6" s="112"/>
      <c r="BC6" s="112"/>
      <c r="BD6" s="112"/>
      <c r="BE6" s="112"/>
      <c r="BF6" s="112"/>
      <c r="BG6" s="112"/>
      <c r="BH6" s="112"/>
      <c r="BI6" s="112"/>
      <c r="BK6" s="112"/>
      <c r="BL6" s="112"/>
      <c r="BM6" s="112"/>
      <c r="BN6" s="112"/>
    </row>
    <row r="7" spans="1:80" x14ac:dyDescent="0.25">
      <c r="Q7" s="112" t="s">
        <v>815</v>
      </c>
      <c r="R7" s="313" t="str">
        <f>VALO_PERSO!G5</f>
        <v>CIEREN</v>
      </c>
      <c r="S7" s="238" t="str">
        <f>VALO_PERSO!H5</f>
        <v>Marion</v>
      </c>
      <c r="T7" s="238" t="str">
        <f>VALO_PERSO!I5</f>
        <v>Chef de Projet R&amp;D</v>
      </c>
      <c r="U7" s="239">
        <f>VALO_PERSO!W5</f>
        <v>1019.12</v>
      </c>
      <c r="V7" s="239">
        <f>VALO_PERSO!Y5</f>
        <v>816</v>
      </c>
      <c r="W7" s="239">
        <f>VALO_PERSO!AA5</f>
        <v>0</v>
      </c>
      <c r="X7" s="239">
        <f>VALO_PERSO!AB5</f>
        <v>984</v>
      </c>
      <c r="Y7" s="239">
        <f>VALO_PERSO!AE5</f>
        <v>0</v>
      </c>
      <c r="Z7" s="239">
        <f>VALO_PERSO!AG5</f>
        <v>0</v>
      </c>
      <c r="AA7" s="239">
        <f t="shared" ref="AA7:AA24" si="0">X7+Z7</f>
        <v>984</v>
      </c>
      <c r="AB7" s="253" t="e">
        <f t="shared" ref="AB7:AB24" si="1">X7/$X$25</f>
        <v>#REF!</v>
      </c>
      <c r="AC7" s="112"/>
      <c r="AD7" s="238" t="str">
        <f>VALO_PERSO!G5</f>
        <v>CIEREN</v>
      </c>
      <c r="AE7" s="238" t="str">
        <f>VALO_PERSO!H5</f>
        <v>Marion</v>
      </c>
      <c r="AF7" s="238" t="str">
        <f>VALO_PERSO!I5</f>
        <v>Chef de Projet R&amp;D</v>
      </c>
      <c r="AG7" s="239">
        <f>VALO_PERSO!AO5</f>
        <v>33185.550671167279</v>
      </c>
      <c r="AH7" s="239">
        <f>VALO_PERSO!AQ5</f>
        <v>0</v>
      </c>
      <c r="AI7" s="239">
        <f>VALO_PERSO!AR5</f>
        <v>40017.869926995838</v>
      </c>
      <c r="AJ7" s="242">
        <f>VALO_PERSO!AT5</f>
        <v>0</v>
      </c>
      <c r="AK7" s="242">
        <f>VALO_PERSO!AV5</f>
        <v>0</v>
      </c>
      <c r="AL7" s="239">
        <f>AI7+AK7</f>
        <v>40017.869926995838</v>
      </c>
      <c r="AM7" s="241"/>
      <c r="AN7" s="319"/>
      <c r="AO7" s="241"/>
      <c r="AP7" s="112"/>
      <c r="AQ7" s="112"/>
      <c r="AR7" s="112"/>
      <c r="AS7" s="112"/>
      <c r="AT7" s="112"/>
      <c r="AU7" s="112"/>
      <c r="AV7" s="112"/>
      <c r="AW7" s="112"/>
      <c r="AX7" s="112"/>
      <c r="AY7" s="112"/>
      <c r="BA7" s="112"/>
      <c r="BB7" s="112"/>
      <c r="BC7" s="112"/>
      <c r="BD7" s="112"/>
      <c r="BE7" s="112"/>
      <c r="BF7" s="112"/>
      <c r="BG7" s="112"/>
      <c r="BH7" s="112"/>
      <c r="BI7" s="112"/>
      <c r="BK7" s="112"/>
      <c r="BL7" s="112"/>
      <c r="BM7" s="112"/>
      <c r="BN7" s="112"/>
    </row>
    <row r="8" spans="1:80" x14ac:dyDescent="0.25">
      <c r="Q8" s="112"/>
      <c r="R8" s="313" t="e">
        <f>VALO_PERSO!#REF!</f>
        <v>#REF!</v>
      </c>
      <c r="S8" s="238" t="e">
        <f>VALO_PERSO!#REF!</f>
        <v>#REF!</v>
      </c>
      <c r="T8" s="238" t="e">
        <f>VALO_PERSO!#REF!</f>
        <v>#REF!</v>
      </c>
      <c r="U8" s="239" t="e">
        <f>VALO_PERSO!#REF!</f>
        <v>#REF!</v>
      </c>
      <c r="V8" s="239" t="e">
        <f>VALO_PERSO!#REF!</f>
        <v>#REF!</v>
      </c>
      <c r="W8" s="239" t="e">
        <f>VALO_PERSO!#REF!</f>
        <v>#REF!</v>
      </c>
      <c r="X8" s="239" t="e">
        <f>VALO_PERSO!#REF!</f>
        <v>#REF!</v>
      </c>
      <c r="Y8" s="239" t="e">
        <f>VALO_PERSO!#REF!</f>
        <v>#REF!</v>
      </c>
      <c r="Z8" s="239" t="e">
        <f>VALO_PERSO!#REF!</f>
        <v>#REF!</v>
      </c>
      <c r="AA8" s="239" t="e">
        <f t="shared" si="0"/>
        <v>#REF!</v>
      </c>
      <c r="AB8" s="253" t="e">
        <f t="shared" si="1"/>
        <v>#REF!</v>
      </c>
      <c r="AC8" s="112"/>
      <c r="AD8" s="238" t="e">
        <f>VALO_PERSO!#REF!</f>
        <v>#REF!</v>
      </c>
      <c r="AE8" s="238" t="e">
        <f>VALO_PERSO!#REF!</f>
        <v>#REF!</v>
      </c>
      <c r="AF8" s="238" t="e">
        <f>VALO_PERSO!#REF!</f>
        <v>#REF!</v>
      </c>
      <c r="AG8" s="239" t="e">
        <f>VALO_PERSO!#REF!</f>
        <v>#REF!</v>
      </c>
      <c r="AH8" s="239" t="e">
        <f>VALO_PERSO!#REF!</f>
        <v>#REF!</v>
      </c>
      <c r="AI8" s="239" t="e">
        <f>VALO_PERSO!#REF!</f>
        <v>#REF!</v>
      </c>
      <c r="AJ8" s="242" t="e">
        <f>VALO_PERSO!#REF!</f>
        <v>#REF!</v>
      </c>
      <c r="AK8" s="242" t="e">
        <f>VALO_PERSO!#REF!</f>
        <v>#REF!</v>
      </c>
      <c r="AL8" s="239" t="e">
        <f t="shared" ref="AL8:AL24" si="2">AI8+AK8</f>
        <v>#REF!</v>
      </c>
      <c r="AM8" s="241"/>
      <c r="AN8" s="319"/>
      <c r="AO8" s="241"/>
      <c r="AP8" s="112"/>
      <c r="AQ8" s="112"/>
      <c r="AR8" s="112"/>
      <c r="AS8" s="112"/>
      <c r="AT8" s="112"/>
      <c r="AU8" s="112"/>
      <c r="AV8" s="112"/>
      <c r="AW8" s="112"/>
      <c r="AX8" s="112"/>
      <c r="AY8" s="112"/>
      <c r="BA8" s="112"/>
      <c r="BB8" s="112"/>
      <c r="BC8" s="112"/>
      <c r="BD8" s="112"/>
      <c r="BE8" s="112"/>
      <c r="BF8" s="112"/>
      <c r="BG8" s="112"/>
      <c r="BH8" s="112"/>
      <c r="BI8" s="112"/>
      <c r="BK8" s="112"/>
      <c r="BL8" s="112"/>
      <c r="BM8" s="112"/>
      <c r="BN8" s="112"/>
    </row>
    <row r="9" spans="1:80" x14ac:dyDescent="0.25">
      <c r="Q9" s="112"/>
      <c r="R9" s="313" t="str">
        <f>VALO_PERSO!G6</f>
        <v>JONDOT</v>
      </c>
      <c r="S9" s="238" t="str">
        <f>VALO_PERSO!H6</f>
        <v>Keita</v>
      </c>
      <c r="T9" s="238" t="str">
        <f>VALO_PERSO!I6</f>
        <v>Ingénieur R&amp;D</v>
      </c>
      <c r="U9" s="239">
        <f>VALO_PERSO!W6</f>
        <v>1448</v>
      </c>
      <c r="V9" s="239">
        <f>VALO_PERSO!Y6</f>
        <v>942</v>
      </c>
      <c r="W9" s="239">
        <f>VALO_PERSO!AA6</f>
        <v>0</v>
      </c>
      <c r="X9" s="239">
        <f>VALO_PERSO!AB6</f>
        <v>1294</v>
      </c>
      <c r="Y9" s="239">
        <f>VALO_PERSO!AE6</f>
        <v>0</v>
      </c>
      <c r="Z9" s="239">
        <f>VALO_PERSO!AG6</f>
        <v>0</v>
      </c>
      <c r="AA9" s="239">
        <f t="shared" si="0"/>
        <v>1294</v>
      </c>
      <c r="AB9" s="253" t="e">
        <f t="shared" si="1"/>
        <v>#REF!</v>
      </c>
      <c r="AC9" s="112"/>
      <c r="AD9" s="238" t="str">
        <f>VALO_PERSO!G6</f>
        <v>JONDOT</v>
      </c>
      <c r="AE9" s="238" t="str">
        <f>VALO_PERSO!H6</f>
        <v>Keita</v>
      </c>
      <c r="AF9" s="238" t="str">
        <f>VALO_PERSO!I6</f>
        <v>Ingénieur R&amp;D</v>
      </c>
      <c r="AG9" s="239">
        <f>VALO_PERSO!AO6</f>
        <v>22606.94610497238</v>
      </c>
      <c r="AH9" s="239">
        <f>VALO_PERSO!AQ6</f>
        <v>0</v>
      </c>
      <c r="AI9" s="239">
        <f>VALO_PERSO!AR6</f>
        <v>31054.552292817687</v>
      </c>
      <c r="AJ9" s="242">
        <f>VALO_PERSO!AT6</f>
        <v>0</v>
      </c>
      <c r="AK9" s="242">
        <f>VALO_PERSO!AV6</f>
        <v>0</v>
      </c>
      <c r="AL9" s="239">
        <f t="shared" si="2"/>
        <v>31054.552292817687</v>
      </c>
      <c r="AM9" s="241"/>
      <c r="AN9" s="319"/>
      <c r="AO9" s="241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BA9" s="112"/>
      <c r="BB9" s="112"/>
      <c r="BC9" s="112"/>
      <c r="BD9" s="112"/>
      <c r="BE9" s="112"/>
      <c r="BF9" s="112"/>
      <c r="BG9" s="112"/>
      <c r="BH9" s="112"/>
      <c r="BI9" s="112"/>
      <c r="BK9" s="112"/>
      <c r="BL9" s="112"/>
      <c r="BM9" s="112"/>
      <c r="BN9" s="112"/>
    </row>
    <row r="10" spans="1:80" x14ac:dyDescent="0.25">
      <c r="Q10" s="112"/>
      <c r="R10" s="313" t="e">
        <f>VALO_PERSO!#REF!</f>
        <v>#REF!</v>
      </c>
      <c r="S10" s="238" t="e">
        <f>VALO_PERSO!#REF!</f>
        <v>#REF!</v>
      </c>
      <c r="T10" s="238" t="e">
        <f>VALO_PERSO!#REF!</f>
        <v>#REF!</v>
      </c>
      <c r="U10" s="239" t="e">
        <f>VALO_PERSO!#REF!</f>
        <v>#REF!</v>
      </c>
      <c r="V10" s="239" t="e">
        <f>VALO_PERSO!#REF!</f>
        <v>#REF!</v>
      </c>
      <c r="W10" s="239" t="e">
        <f>VALO_PERSO!#REF!</f>
        <v>#REF!</v>
      </c>
      <c r="X10" s="239" t="e">
        <f>VALO_PERSO!#REF!</f>
        <v>#REF!</v>
      </c>
      <c r="Y10" s="239" t="e">
        <f>VALO_PERSO!#REF!</f>
        <v>#REF!</v>
      </c>
      <c r="Z10" s="239" t="e">
        <f>VALO_PERSO!#REF!</f>
        <v>#REF!</v>
      </c>
      <c r="AA10" s="239" t="e">
        <f t="shared" si="0"/>
        <v>#REF!</v>
      </c>
      <c r="AB10" s="253" t="e">
        <f t="shared" si="1"/>
        <v>#REF!</v>
      </c>
      <c r="AC10" s="112"/>
      <c r="AD10" s="238" t="e">
        <f>VALO_PERSO!#REF!</f>
        <v>#REF!</v>
      </c>
      <c r="AE10" s="238" t="e">
        <f>VALO_PERSO!#REF!</f>
        <v>#REF!</v>
      </c>
      <c r="AF10" s="238" t="e">
        <f>VALO_PERSO!#REF!</f>
        <v>#REF!</v>
      </c>
      <c r="AG10" s="239" t="e">
        <f>VALO_PERSO!#REF!</f>
        <v>#REF!</v>
      </c>
      <c r="AH10" s="239" t="e">
        <f>VALO_PERSO!#REF!</f>
        <v>#REF!</v>
      </c>
      <c r="AI10" s="239" t="e">
        <f>VALO_PERSO!#REF!</f>
        <v>#REF!</v>
      </c>
      <c r="AJ10" s="242" t="e">
        <f>VALO_PERSO!#REF!</f>
        <v>#REF!</v>
      </c>
      <c r="AK10" s="242" t="e">
        <f>VALO_PERSO!#REF!</f>
        <v>#REF!</v>
      </c>
      <c r="AL10" s="239" t="e">
        <f t="shared" si="2"/>
        <v>#REF!</v>
      </c>
      <c r="AM10" s="241"/>
      <c r="AN10" s="319"/>
      <c r="AO10" s="241"/>
      <c r="AP10" s="112"/>
      <c r="AQ10" s="112"/>
      <c r="AR10" s="112"/>
      <c r="AS10" s="112"/>
      <c r="AT10" s="112"/>
      <c r="AU10" s="112"/>
      <c r="AV10" s="112"/>
      <c r="AW10" s="112"/>
      <c r="AX10" s="112"/>
      <c r="AY10" s="112"/>
      <c r="BA10" s="112"/>
      <c r="BB10" s="112"/>
      <c r="BC10" s="112"/>
      <c r="BD10" s="112"/>
      <c r="BE10" s="112"/>
      <c r="BF10" s="112"/>
      <c r="BG10" s="112"/>
      <c r="BH10" s="112"/>
      <c r="BI10" s="112"/>
      <c r="BK10" s="112"/>
      <c r="BL10" s="112"/>
      <c r="BM10" s="112"/>
      <c r="BN10" s="112"/>
    </row>
    <row r="11" spans="1:80" x14ac:dyDescent="0.25">
      <c r="Q11" s="112"/>
      <c r="R11" s="313" t="e">
        <f>VALO_PERSO!#REF!</f>
        <v>#REF!</v>
      </c>
      <c r="S11" s="238" t="e">
        <f>VALO_PERSO!#REF!</f>
        <v>#REF!</v>
      </c>
      <c r="T11" s="238" t="e">
        <f>VALO_PERSO!#REF!</f>
        <v>#REF!</v>
      </c>
      <c r="U11" s="239" t="e">
        <f>VALO_PERSO!#REF!</f>
        <v>#REF!</v>
      </c>
      <c r="V11" s="239" t="e">
        <f>VALO_PERSO!#REF!</f>
        <v>#REF!</v>
      </c>
      <c r="W11" s="239" t="e">
        <f>VALO_PERSO!#REF!</f>
        <v>#REF!</v>
      </c>
      <c r="X11" s="239" t="e">
        <f>VALO_PERSO!#REF!</f>
        <v>#REF!</v>
      </c>
      <c r="Y11" s="239" t="e">
        <f>VALO_PERSO!#REF!</f>
        <v>#REF!</v>
      </c>
      <c r="Z11" s="239" t="e">
        <f>VALO_PERSO!#REF!</f>
        <v>#REF!</v>
      </c>
      <c r="AA11" s="239" t="e">
        <f t="shared" si="0"/>
        <v>#REF!</v>
      </c>
      <c r="AB11" s="253" t="e">
        <f t="shared" si="1"/>
        <v>#REF!</v>
      </c>
      <c r="AC11" s="112"/>
      <c r="AD11" s="238" t="e">
        <f>VALO_PERSO!#REF!</f>
        <v>#REF!</v>
      </c>
      <c r="AE11" s="238" t="e">
        <f>VALO_PERSO!#REF!</f>
        <v>#REF!</v>
      </c>
      <c r="AF11" s="238" t="e">
        <f>VALO_PERSO!#REF!</f>
        <v>#REF!</v>
      </c>
      <c r="AG11" s="239" t="e">
        <f>VALO_PERSO!#REF!</f>
        <v>#REF!</v>
      </c>
      <c r="AH11" s="239" t="e">
        <f>VALO_PERSO!#REF!</f>
        <v>#REF!</v>
      </c>
      <c r="AI11" s="239" t="e">
        <f>VALO_PERSO!#REF!</f>
        <v>#REF!</v>
      </c>
      <c r="AJ11" s="242" t="e">
        <f>VALO_PERSO!#REF!</f>
        <v>#REF!</v>
      </c>
      <c r="AK11" s="242" t="e">
        <f>VALO_PERSO!#REF!</f>
        <v>#REF!</v>
      </c>
      <c r="AL11" s="239" t="e">
        <f t="shared" si="2"/>
        <v>#REF!</v>
      </c>
      <c r="AM11" s="241"/>
      <c r="AN11" s="319"/>
      <c r="AO11" s="241"/>
      <c r="AP11" s="112"/>
      <c r="AQ11" s="112"/>
      <c r="AR11" s="112"/>
      <c r="AS11" s="112"/>
      <c r="AT11" s="112"/>
      <c r="AU11" s="112"/>
      <c r="AV11" s="112"/>
      <c r="AW11" s="112"/>
      <c r="AX11" s="112"/>
      <c r="AY11" s="112"/>
      <c r="BA11" s="112"/>
      <c r="BB11" s="112"/>
      <c r="BC11" s="112"/>
      <c r="BD11" s="112"/>
      <c r="BE11" s="112"/>
      <c r="BF11" s="112"/>
      <c r="BG11" s="112"/>
      <c r="BH11" s="112"/>
      <c r="BI11" s="112"/>
      <c r="BK11" s="112"/>
      <c r="BL11" s="112"/>
      <c r="BM11" s="112"/>
      <c r="BN11" s="112"/>
    </row>
    <row r="12" spans="1:80" x14ac:dyDescent="0.25">
      <c r="Q12" s="112"/>
      <c r="R12" s="313" t="e">
        <f>VALO_PERSO!#REF!</f>
        <v>#REF!</v>
      </c>
      <c r="S12" s="238" t="e">
        <f>VALO_PERSO!#REF!</f>
        <v>#REF!</v>
      </c>
      <c r="T12" s="238" t="e">
        <f>VALO_PERSO!#REF!</f>
        <v>#REF!</v>
      </c>
      <c r="U12" s="239" t="e">
        <f>VALO_PERSO!#REF!</f>
        <v>#REF!</v>
      </c>
      <c r="V12" s="239" t="e">
        <f>VALO_PERSO!#REF!</f>
        <v>#REF!</v>
      </c>
      <c r="W12" s="239" t="e">
        <f>VALO_PERSO!#REF!</f>
        <v>#REF!</v>
      </c>
      <c r="X12" s="239" t="e">
        <f>VALO_PERSO!#REF!</f>
        <v>#REF!</v>
      </c>
      <c r="Y12" s="239" t="e">
        <f>VALO_PERSO!#REF!</f>
        <v>#REF!</v>
      </c>
      <c r="Z12" s="239" t="e">
        <f>VALO_PERSO!#REF!</f>
        <v>#REF!</v>
      </c>
      <c r="AA12" s="239" t="e">
        <f t="shared" si="0"/>
        <v>#REF!</v>
      </c>
      <c r="AB12" s="253" t="e">
        <f t="shared" si="1"/>
        <v>#REF!</v>
      </c>
      <c r="AC12" s="112"/>
      <c r="AD12" s="238" t="e">
        <f>VALO_PERSO!#REF!</f>
        <v>#REF!</v>
      </c>
      <c r="AE12" s="238" t="e">
        <f>VALO_PERSO!#REF!</f>
        <v>#REF!</v>
      </c>
      <c r="AF12" s="238" t="e">
        <f>VALO_PERSO!#REF!</f>
        <v>#REF!</v>
      </c>
      <c r="AG12" s="239" t="e">
        <f>VALO_PERSO!#REF!</f>
        <v>#REF!</v>
      </c>
      <c r="AH12" s="239" t="e">
        <f>VALO_PERSO!#REF!</f>
        <v>#REF!</v>
      </c>
      <c r="AI12" s="239" t="e">
        <f>VALO_PERSO!#REF!</f>
        <v>#REF!</v>
      </c>
      <c r="AJ12" s="242" t="e">
        <f>VALO_PERSO!#REF!</f>
        <v>#REF!</v>
      </c>
      <c r="AK12" s="242" t="e">
        <f>VALO_PERSO!#REF!</f>
        <v>#REF!</v>
      </c>
      <c r="AL12" s="239" t="e">
        <f t="shared" si="2"/>
        <v>#REF!</v>
      </c>
      <c r="AM12" s="241"/>
      <c r="AN12" s="319"/>
      <c r="AO12" s="241"/>
      <c r="AP12" s="112"/>
      <c r="AQ12" s="112"/>
      <c r="AR12" s="112"/>
      <c r="AS12" s="112"/>
      <c r="AT12" s="112"/>
      <c r="AU12" s="112"/>
      <c r="AV12" s="112"/>
      <c r="AW12" s="112"/>
      <c r="AX12" s="112"/>
      <c r="AY12" s="112"/>
      <c r="BA12" s="112"/>
      <c r="BB12" s="112"/>
      <c r="BC12" s="112"/>
      <c r="BD12" s="112"/>
      <c r="BE12" s="112"/>
      <c r="BF12" s="112"/>
      <c r="BG12" s="112"/>
      <c r="BH12" s="112"/>
      <c r="BI12" s="112"/>
      <c r="BK12" s="112"/>
      <c r="BL12" s="112"/>
      <c r="BM12" s="112"/>
      <c r="BN12" s="112"/>
    </row>
    <row r="13" spans="1:80" x14ac:dyDescent="0.25">
      <c r="Q13" s="112"/>
      <c r="R13" s="313" t="e">
        <f>VALO_PERSO!#REF!</f>
        <v>#REF!</v>
      </c>
      <c r="S13" s="238" t="e">
        <f>VALO_PERSO!#REF!</f>
        <v>#REF!</v>
      </c>
      <c r="T13" s="238" t="e">
        <f>VALO_PERSO!#REF!</f>
        <v>#REF!</v>
      </c>
      <c r="U13" s="239" t="e">
        <f>VALO_PERSO!#REF!</f>
        <v>#REF!</v>
      </c>
      <c r="V13" s="239" t="e">
        <f>VALO_PERSO!#REF!</f>
        <v>#REF!</v>
      </c>
      <c r="W13" s="239" t="e">
        <f>VALO_PERSO!#REF!</f>
        <v>#REF!</v>
      </c>
      <c r="X13" s="239" t="e">
        <f>VALO_PERSO!#REF!</f>
        <v>#REF!</v>
      </c>
      <c r="Y13" s="239" t="e">
        <f>VALO_PERSO!#REF!</f>
        <v>#REF!</v>
      </c>
      <c r="Z13" s="239" t="e">
        <f>VALO_PERSO!#REF!</f>
        <v>#REF!</v>
      </c>
      <c r="AA13" s="239" t="e">
        <f t="shared" si="0"/>
        <v>#REF!</v>
      </c>
      <c r="AB13" s="253" t="e">
        <f t="shared" si="1"/>
        <v>#REF!</v>
      </c>
      <c r="AC13" s="112"/>
      <c r="AD13" s="238" t="e">
        <f>VALO_PERSO!#REF!</f>
        <v>#REF!</v>
      </c>
      <c r="AE13" s="238" t="e">
        <f>VALO_PERSO!#REF!</f>
        <v>#REF!</v>
      </c>
      <c r="AF13" s="238" t="e">
        <f>VALO_PERSO!#REF!</f>
        <v>#REF!</v>
      </c>
      <c r="AG13" s="239" t="e">
        <f>VALO_PERSO!#REF!</f>
        <v>#REF!</v>
      </c>
      <c r="AH13" s="239" t="e">
        <f>VALO_PERSO!#REF!</f>
        <v>#REF!</v>
      </c>
      <c r="AI13" s="239" t="e">
        <f>VALO_PERSO!#REF!</f>
        <v>#REF!</v>
      </c>
      <c r="AJ13" s="242" t="e">
        <f>VALO_PERSO!#REF!</f>
        <v>#REF!</v>
      </c>
      <c r="AK13" s="242" t="e">
        <f>VALO_PERSO!#REF!</f>
        <v>#REF!</v>
      </c>
      <c r="AL13" s="239" t="e">
        <f t="shared" si="2"/>
        <v>#REF!</v>
      </c>
      <c r="AM13" s="241"/>
      <c r="AN13" s="319"/>
      <c r="AO13" s="241"/>
      <c r="AP13" s="112"/>
      <c r="AQ13" s="112"/>
      <c r="AR13" s="112"/>
      <c r="AS13" s="112"/>
      <c r="AT13" s="112"/>
      <c r="AU13" s="112"/>
      <c r="AV13" s="112"/>
      <c r="AW13" s="112"/>
      <c r="AX13" s="112"/>
      <c r="AY13" s="112"/>
      <c r="BA13" s="112"/>
      <c r="BB13" s="112"/>
      <c r="BC13" s="112"/>
      <c r="BD13" s="112"/>
      <c r="BE13" s="112"/>
      <c r="BF13" s="112"/>
      <c r="BG13" s="112"/>
      <c r="BH13" s="112"/>
      <c r="BI13" s="112"/>
      <c r="BK13" s="112"/>
      <c r="BL13" s="112"/>
      <c r="BM13" s="112"/>
      <c r="BN13" s="112"/>
    </row>
    <row r="14" spans="1:80" x14ac:dyDescent="0.25">
      <c r="R14" s="313" t="e">
        <f>VALO_PERSO!#REF!</f>
        <v>#REF!</v>
      </c>
      <c r="S14" s="238" t="e">
        <f>VALO_PERSO!#REF!</f>
        <v>#REF!</v>
      </c>
      <c r="T14" s="238" t="e">
        <f>VALO_PERSO!#REF!</f>
        <v>#REF!</v>
      </c>
      <c r="U14" s="239" t="e">
        <f>VALO_PERSO!#REF!</f>
        <v>#REF!</v>
      </c>
      <c r="V14" s="239" t="e">
        <f>VALO_PERSO!#REF!</f>
        <v>#REF!</v>
      </c>
      <c r="W14" s="239" t="e">
        <f>VALO_PERSO!#REF!</f>
        <v>#REF!</v>
      </c>
      <c r="X14" s="239" t="e">
        <f>VALO_PERSO!#REF!</f>
        <v>#REF!</v>
      </c>
      <c r="Y14" s="239" t="e">
        <f>VALO_PERSO!#REF!</f>
        <v>#REF!</v>
      </c>
      <c r="Z14" s="239" t="e">
        <f>VALO_PERSO!#REF!</f>
        <v>#REF!</v>
      </c>
      <c r="AA14" s="239" t="e">
        <f t="shared" si="0"/>
        <v>#REF!</v>
      </c>
      <c r="AB14" s="253" t="e">
        <f t="shared" si="1"/>
        <v>#REF!</v>
      </c>
      <c r="AC14" s="112"/>
      <c r="AD14" s="238" t="e">
        <f>VALO_PERSO!#REF!</f>
        <v>#REF!</v>
      </c>
      <c r="AE14" s="238" t="e">
        <f>VALO_PERSO!#REF!</f>
        <v>#REF!</v>
      </c>
      <c r="AF14" s="238" t="e">
        <f>VALO_PERSO!#REF!</f>
        <v>#REF!</v>
      </c>
      <c r="AG14" s="239" t="e">
        <f>VALO_PERSO!#REF!</f>
        <v>#REF!</v>
      </c>
      <c r="AH14" s="239" t="e">
        <f>VALO_PERSO!#REF!</f>
        <v>#REF!</v>
      </c>
      <c r="AI14" s="239" t="e">
        <f>VALO_PERSO!#REF!</f>
        <v>#REF!</v>
      </c>
      <c r="AJ14" s="242" t="e">
        <f>VALO_PERSO!#REF!</f>
        <v>#REF!</v>
      </c>
      <c r="AK14" s="242" t="e">
        <f>VALO_PERSO!#REF!</f>
        <v>#REF!</v>
      </c>
      <c r="AL14" s="239" t="e">
        <f t="shared" si="2"/>
        <v>#REF!</v>
      </c>
      <c r="AM14" s="241"/>
      <c r="AN14" s="319"/>
      <c r="AO14" s="241"/>
      <c r="AP14" s="112"/>
      <c r="AQ14" s="112"/>
      <c r="AR14" s="112"/>
      <c r="AS14" s="112"/>
      <c r="AT14" s="112"/>
      <c r="AU14" s="112"/>
      <c r="AV14" s="112"/>
      <c r="AW14" s="112"/>
      <c r="AX14" s="112"/>
      <c r="AY14" s="112"/>
      <c r="BA14" s="112"/>
      <c r="BB14" s="112"/>
      <c r="BC14" s="112"/>
      <c r="BD14" s="112"/>
      <c r="BE14" s="112"/>
      <c r="BF14" s="112"/>
      <c r="BG14" s="112"/>
      <c r="BH14" s="112"/>
      <c r="BI14" s="112"/>
      <c r="BK14" s="112"/>
      <c r="BL14" s="112"/>
      <c r="BM14" s="112"/>
      <c r="BN14" s="112"/>
    </row>
    <row r="15" spans="1:80" x14ac:dyDescent="0.25">
      <c r="Q15" s="112"/>
      <c r="R15" s="313" t="e">
        <f>VALO_PERSO!#REF!</f>
        <v>#REF!</v>
      </c>
      <c r="S15" s="238" t="e">
        <f>VALO_PERSO!#REF!</f>
        <v>#REF!</v>
      </c>
      <c r="T15" s="238" t="e">
        <f>VALO_PERSO!#REF!</f>
        <v>#REF!</v>
      </c>
      <c r="U15" s="239" t="e">
        <f>VALO_PERSO!#REF!</f>
        <v>#REF!</v>
      </c>
      <c r="V15" s="239" t="e">
        <f>VALO_PERSO!#REF!</f>
        <v>#REF!</v>
      </c>
      <c r="W15" s="239" t="e">
        <f>VALO_PERSO!#REF!</f>
        <v>#REF!</v>
      </c>
      <c r="X15" s="239" t="e">
        <f>VALO_PERSO!#REF!</f>
        <v>#REF!</v>
      </c>
      <c r="Y15" s="239" t="e">
        <f>VALO_PERSO!#REF!</f>
        <v>#REF!</v>
      </c>
      <c r="Z15" s="239" t="e">
        <f>VALO_PERSO!#REF!</f>
        <v>#REF!</v>
      </c>
      <c r="AA15" s="239" t="e">
        <f t="shared" si="0"/>
        <v>#REF!</v>
      </c>
      <c r="AB15" s="253" t="e">
        <f t="shared" si="1"/>
        <v>#REF!</v>
      </c>
      <c r="AC15" s="112"/>
      <c r="AD15" s="238" t="e">
        <f>VALO_PERSO!#REF!</f>
        <v>#REF!</v>
      </c>
      <c r="AE15" s="238" t="e">
        <f>VALO_PERSO!#REF!</f>
        <v>#REF!</v>
      </c>
      <c r="AF15" s="238" t="e">
        <f>VALO_PERSO!#REF!</f>
        <v>#REF!</v>
      </c>
      <c r="AG15" s="239" t="e">
        <f>VALO_PERSO!#REF!</f>
        <v>#REF!</v>
      </c>
      <c r="AH15" s="239" t="e">
        <f>VALO_PERSO!#REF!</f>
        <v>#REF!</v>
      </c>
      <c r="AI15" s="239" t="e">
        <f>VALO_PERSO!#REF!</f>
        <v>#REF!</v>
      </c>
      <c r="AJ15" s="242" t="e">
        <f>VALO_PERSO!#REF!</f>
        <v>#REF!</v>
      </c>
      <c r="AK15" s="242" t="e">
        <f>VALO_PERSO!#REF!</f>
        <v>#REF!</v>
      </c>
      <c r="AL15" s="239" t="e">
        <f t="shared" si="2"/>
        <v>#REF!</v>
      </c>
      <c r="AM15" s="241"/>
      <c r="AN15" s="319"/>
      <c r="AO15" s="241"/>
      <c r="AP15" s="112"/>
      <c r="AQ15" s="112"/>
      <c r="AR15" s="112"/>
      <c r="AS15" s="112"/>
      <c r="AT15" s="112"/>
      <c r="AU15" s="112"/>
      <c r="AV15" s="112"/>
      <c r="AW15" s="112"/>
      <c r="AX15" s="112"/>
      <c r="AY15" s="112"/>
      <c r="BA15" s="112"/>
      <c r="BB15" s="112"/>
      <c r="BC15" s="112"/>
      <c r="BD15" s="112"/>
      <c r="BE15" s="112"/>
      <c r="BF15" s="112"/>
      <c r="BG15" s="112"/>
      <c r="BH15" s="112"/>
      <c r="BI15" s="112"/>
      <c r="BK15" s="112"/>
      <c r="BL15" s="112"/>
      <c r="BM15" s="112"/>
      <c r="BN15" s="112"/>
    </row>
    <row r="16" spans="1:80" x14ac:dyDescent="0.25">
      <c r="Q16" s="112"/>
      <c r="R16" s="313" t="e">
        <f>VALO_PERSO!#REF!</f>
        <v>#REF!</v>
      </c>
      <c r="S16" s="238" t="e">
        <f>VALO_PERSO!#REF!</f>
        <v>#REF!</v>
      </c>
      <c r="T16" s="238" t="e">
        <f>VALO_PERSO!#REF!</f>
        <v>#REF!</v>
      </c>
      <c r="U16" s="239" t="e">
        <f>VALO_PERSO!#REF!</f>
        <v>#REF!</v>
      </c>
      <c r="V16" s="239" t="e">
        <f>VALO_PERSO!#REF!</f>
        <v>#REF!</v>
      </c>
      <c r="W16" s="239" t="e">
        <f>VALO_PERSO!#REF!</f>
        <v>#REF!</v>
      </c>
      <c r="X16" s="239" t="e">
        <f>VALO_PERSO!#REF!</f>
        <v>#REF!</v>
      </c>
      <c r="Y16" s="239" t="e">
        <f>VALO_PERSO!#REF!</f>
        <v>#REF!</v>
      </c>
      <c r="Z16" s="239" t="e">
        <f>VALO_PERSO!#REF!</f>
        <v>#REF!</v>
      </c>
      <c r="AA16" s="239" t="e">
        <f t="shared" si="0"/>
        <v>#REF!</v>
      </c>
      <c r="AB16" s="253" t="e">
        <f t="shared" si="1"/>
        <v>#REF!</v>
      </c>
      <c r="AC16" s="112"/>
      <c r="AD16" s="238" t="e">
        <f>VALO_PERSO!#REF!</f>
        <v>#REF!</v>
      </c>
      <c r="AE16" s="238" t="e">
        <f>VALO_PERSO!#REF!</f>
        <v>#REF!</v>
      </c>
      <c r="AF16" s="238" t="e">
        <f>VALO_PERSO!#REF!</f>
        <v>#REF!</v>
      </c>
      <c r="AG16" s="239" t="e">
        <f>VALO_PERSO!#REF!</f>
        <v>#REF!</v>
      </c>
      <c r="AH16" s="239" t="e">
        <f>VALO_PERSO!#REF!</f>
        <v>#REF!</v>
      </c>
      <c r="AI16" s="239" t="e">
        <f>VALO_PERSO!#REF!</f>
        <v>#REF!</v>
      </c>
      <c r="AJ16" s="242" t="e">
        <f>VALO_PERSO!#REF!</f>
        <v>#REF!</v>
      </c>
      <c r="AK16" s="242" t="e">
        <f>VALO_PERSO!#REF!</f>
        <v>#REF!</v>
      </c>
      <c r="AL16" s="239" t="e">
        <f t="shared" si="2"/>
        <v>#REF!</v>
      </c>
      <c r="AM16" s="241"/>
      <c r="AN16" s="319"/>
      <c r="AO16" s="241"/>
      <c r="AP16" s="112"/>
      <c r="AQ16" s="112"/>
      <c r="AR16" s="112"/>
      <c r="AS16" s="112"/>
      <c r="AT16" s="112"/>
      <c r="AU16" s="112"/>
      <c r="AV16" s="112"/>
      <c r="AW16" s="112"/>
      <c r="AX16" s="112"/>
      <c r="AY16" s="112"/>
      <c r="BA16" s="112"/>
      <c r="BB16" s="112"/>
      <c r="BC16" s="112"/>
      <c r="BD16" s="112"/>
      <c r="BE16" s="112"/>
      <c r="BF16" s="112"/>
      <c r="BG16" s="112"/>
      <c r="BH16" s="112"/>
      <c r="BI16" s="112"/>
      <c r="BK16" s="112"/>
      <c r="BL16" s="112"/>
      <c r="BM16" s="112"/>
      <c r="BN16" s="112"/>
    </row>
    <row r="17" spans="1:66" x14ac:dyDescent="0.25">
      <c r="Q17" s="112"/>
      <c r="R17" s="313" t="e">
        <f>VALO_PERSO!#REF!</f>
        <v>#REF!</v>
      </c>
      <c r="S17" s="238" t="e">
        <f>VALO_PERSO!#REF!</f>
        <v>#REF!</v>
      </c>
      <c r="T17" s="238" t="e">
        <f>VALO_PERSO!#REF!</f>
        <v>#REF!</v>
      </c>
      <c r="U17" s="239" t="e">
        <f>VALO_PERSO!#REF!</f>
        <v>#REF!</v>
      </c>
      <c r="V17" s="239" t="e">
        <f>VALO_PERSO!#REF!</f>
        <v>#REF!</v>
      </c>
      <c r="W17" s="239" t="e">
        <f>VALO_PERSO!#REF!</f>
        <v>#REF!</v>
      </c>
      <c r="X17" s="239" t="e">
        <f>VALO_PERSO!#REF!</f>
        <v>#REF!</v>
      </c>
      <c r="Y17" s="239" t="e">
        <f>VALO_PERSO!#REF!</f>
        <v>#REF!</v>
      </c>
      <c r="Z17" s="239" t="e">
        <f>VALO_PERSO!#REF!</f>
        <v>#REF!</v>
      </c>
      <c r="AA17" s="239" t="e">
        <f t="shared" si="0"/>
        <v>#REF!</v>
      </c>
      <c r="AB17" s="253" t="e">
        <f t="shared" si="1"/>
        <v>#REF!</v>
      </c>
      <c r="AC17" s="112"/>
      <c r="AD17" s="238" t="e">
        <f>VALO_PERSO!#REF!</f>
        <v>#REF!</v>
      </c>
      <c r="AE17" s="238" t="e">
        <f>VALO_PERSO!#REF!</f>
        <v>#REF!</v>
      </c>
      <c r="AF17" s="238" t="e">
        <f>VALO_PERSO!#REF!</f>
        <v>#REF!</v>
      </c>
      <c r="AG17" s="239" t="e">
        <f>VALO_PERSO!#REF!</f>
        <v>#REF!</v>
      </c>
      <c r="AH17" s="239" t="e">
        <f>VALO_PERSO!#REF!</f>
        <v>#REF!</v>
      </c>
      <c r="AI17" s="239" t="e">
        <f>VALO_PERSO!#REF!</f>
        <v>#REF!</v>
      </c>
      <c r="AJ17" s="242" t="e">
        <f>VALO_PERSO!#REF!</f>
        <v>#REF!</v>
      </c>
      <c r="AK17" s="242" t="e">
        <f>VALO_PERSO!#REF!</f>
        <v>#REF!</v>
      </c>
      <c r="AL17" s="239" t="e">
        <f t="shared" si="2"/>
        <v>#REF!</v>
      </c>
      <c r="AM17" s="241"/>
      <c r="AN17" s="319"/>
      <c r="AO17" s="241"/>
      <c r="AP17" s="112"/>
      <c r="AQ17" s="112"/>
      <c r="AR17" s="112"/>
      <c r="AS17" s="112"/>
      <c r="AT17" s="112"/>
      <c r="AU17" s="112"/>
      <c r="AV17" s="112"/>
      <c r="AW17" s="112"/>
      <c r="AX17" s="112"/>
      <c r="AY17" s="112"/>
      <c r="BA17" s="112"/>
      <c r="BB17" s="112"/>
      <c r="BC17" s="112"/>
      <c r="BD17" s="112"/>
      <c r="BE17" s="112"/>
      <c r="BF17" s="112"/>
      <c r="BG17" s="112"/>
      <c r="BH17" s="112"/>
      <c r="BI17" s="112"/>
      <c r="BK17" s="112"/>
      <c r="BL17" s="112"/>
      <c r="BM17" s="112"/>
      <c r="BN17" s="112"/>
    </row>
    <row r="18" spans="1:66" x14ac:dyDescent="0.25">
      <c r="Q18" s="112"/>
      <c r="R18" s="313" t="e">
        <f>VALO_PERSO!#REF!</f>
        <v>#REF!</v>
      </c>
      <c r="S18" s="238" t="e">
        <f>VALO_PERSO!#REF!</f>
        <v>#REF!</v>
      </c>
      <c r="T18" s="238" t="e">
        <f>VALO_PERSO!#REF!</f>
        <v>#REF!</v>
      </c>
      <c r="U18" s="239" t="e">
        <f>VALO_PERSO!#REF!</f>
        <v>#REF!</v>
      </c>
      <c r="V18" s="239" t="e">
        <f>VALO_PERSO!#REF!</f>
        <v>#REF!</v>
      </c>
      <c r="W18" s="239" t="e">
        <f>VALO_PERSO!#REF!</f>
        <v>#REF!</v>
      </c>
      <c r="X18" s="239" t="e">
        <f>VALO_PERSO!#REF!</f>
        <v>#REF!</v>
      </c>
      <c r="Y18" s="239" t="e">
        <f>VALO_PERSO!#REF!</f>
        <v>#REF!</v>
      </c>
      <c r="Z18" s="239" t="e">
        <f>VALO_PERSO!#REF!</f>
        <v>#REF!</v>
      </c>
      <c r="AA18" s="239" t="e">
        <f t="shared" si="0"/>
        <v>#REF!</v>
      </c>
      <c r="AB18" s="253" t="e">
        <f t="shared" si="1"/>
        <v>#REF!</v>
      </c>
      <c r="AC18" s="112"/>
      <c r="AD18" s="238" t="e">
        <f>VALO_PERSO!#REF!</f>
        <v>#REF!</v>
      </c>
      <c r="AE18" s="238" t="e">
        <f>VALO_PERSO!#REF!</f>
        <v>#REF!</v>
      </c>
      <c r="AF18" s="238" t="e">
        <f>VALO_PERSO!#REF!</f>
        <v>#REF!</v>
      </c>
      <c r="AG18" s="239" t="e">
        <f>VALO_PERSO!#REF!</f>
        <v>#REF!</v>
      </c>
      <c r="AH18" s="239" t="e">
        <f>VALO_PERSO!#REF!</f>
        <v>#REF!</v>
      </c>
      <c r="AI18" s="239" t="e">
        <f>VALO_PERSO!#REF!</f>
        <v>#REF!</v>
      </c>
      <c r="AJ18" s="242" t="e">
        <f>VALO_PERSO!#REF!</f>
        <v>#REF!</v>
      </c>
      <c r="AK18" s="242" t="e">
        <f>VALO_PERSO!#REF!</f>
        <v>#REF!</v>
      </c>
      <c r="AL18" s="239" t="e">
        <f t="shared" si="2"/>
        <v>#REF!</v>
      </c>
      <c r="AM18" s="241"/>
      <c r="AN18" s="319"/>
      <c r="AO18" s="241"/>
      <c r="AP18" s="112"/>
      <c r="AQ18" s="112"/>
      <c r="AR18" s="112"/>
      <c r="AS18" s="112"/>
      <c r="AT18" s="112"/>
      <c r="AU18" s="112"/>
      <c r="AV18" s="112"/>
      <c r="AW18" s="112"/>
      <c r="AX18" s="112"/>
      <c r="AY18" s="112"/>
      <c r="BA18" s="112"/>
      <c r="BB18" s="112"/>
      <c r="BC18" s="112"/>
      <c r="BD18" s="112"/>
      <c r="BE18" s="112"/>
      <c r="BF18" s="112"/>
      <c r="BG18" s="112"/>
      <c r="BH18" s="112"/>
      <c r="BI18" s="112"/>
      <c r="BK18" s="112"/>
      <c r="BL18" s="112"/>
      <c r="BM18" s="112"/>
      <c r="BN18" s="112"/>
    </row>
    <row r="19" spans="1:66" x14ac:dyDescent="0.25">
      <c r="Q19" s="112"/>
      <c r="R19" s="313" t="e">
        <f>VALO_PERSO!#REF!</f>
        <v>#REF!</v>
      </c>
      <c r="S19" s="238" t="e">
        <f>VALO_PERSO!#REF!</f>
        <v>#REF!</v>
      </c>
      <c r="T19" s="238" t="e">
        <f>VALO_PERSO!#REF!</f>
        <v>#REF!</v>
      </c>
      <c r="U19" s="239" t="e">
        <f>VALO_PERSO!#REF!</f>
        <v>#REF!</v>
      </c>
      <c r="V19" s="239" t="e">
        <f>VALO_PERSO!#REF!</f>
        <v>#REF!</v>
      </c>
      <c r="W19" s="239" t="e">
        <f>VALO_PERSO!#REF!</f>
        <v>#REF!</v>
      </c>
      <c r="X19" s="239" t="e">
        <f>VALO_PERSO!#REF!</f>
        <v>#REF!</v>
      </c>
      <c r="Y19" s="239" t="e">
        <f>VALO_PERSO!#REF!</f>
        <v>#REF!</v>
      </c>
      <c r="Z19" s="239" t="e">
        <f>VALO_PERSO!#REF!</f>
        <v>#REF!</v>
      </c>
      <c r="AA19" s="239" t="e">
        <f t="shared" si="0"/>
        <v>#REF!</v>
      </c>
      <c r="AB19" s="253" t="e">
        <f t="shared" si="1"/>
        <v>#REF!</v>
      </c>
      <c r="AC19" s="112"/>
      <c r="AD19" s="238" t="e">
        <f>VALO_PERSO!#REF!</f>
        <v>#REF!</v>
      </c>
      <c r="AE19" s="238" t="e">
        <f>VALO_PERSO!#REF!</f>
        <v>#REF!</v>
      </c>
      <c r="AF19" s="238" t="e">
        <f>VALO_PERSO!#REF!</f>
        <v>#REF!</v>
      </c>
      <c r="AG19" s="239" t="e">
        <f>VALO_PERSO!#REF!</f>
        <v>#REF!</v>
      </c>
      <c r="AH19" s="239" t="e">
        <f>VALO_PERSO!#REF!</f>
        <v>#REF!</v>
      </c>
      <c r="AI19" s="239" t="e">
        <f>VALO_PERSO!#REF!</f>
        <v>#REF!</v>
      </c>
      <c r="AJ19" s="242" t="e">
        <f>VALO_PERSO!#REF!</f>
        <v>#REF!</v>
      </c>
      <c r="AK19" s="242" t="e">
        <f>VALO_PERSO!#REF!</f>
        <v>#REF!</v>
      </c>
      <c r="AL19" s="239" t="e">
        <f t="shared" si="2"/>
        <v>#REF!</v>
      </c>
      <c r="AM19" s="241"/>
      <c r="AN19" s="319"/>
      <c r="AO19" s="241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  <c r="BA19" s="112"/>
      <c r="BB19" s="112"/>
      <c r="BC19" s="112"/>
      <c r="BD19" s="112"/>
      <c r="BE19" s="112"/>
      <c r="BF19" s="112"/>
      <c r="BG19" s="112"/>
      <c r="BH19" s="112"/>
      <c r="BI19" s="112"/>
      <c r="BK19" s="112"/>
      <c r="BL19" s="112"/>
      <c r="BM19" s="112"/>
      <c r="BN19" s="112"/>
    </row>
    <row r="20" spans="1:66" x14ac:dyDescent="0.25">
      <c r="Q20" s="112"/>
      <c r="R20" s="313" t="e">
        <f>VALO_PERSO!#REF!</f>
        <v>#REF!</v>
      </c>
      <c r="S20" s="238" t="e">
        <f>VALO_PERSO!#REF!</f>
        <v>#REF!</v>
      </c>
      <c r="T20" s="238" t="e">
        <f>VALO_PERSO!#REF!</f>
        <v>#REF!</v>
      </c>
      <c r="U20" s="239" t="e">
        <f>VALO_PERSO!#REF!</f>
        <v>#REF!</v>
      </c>
      <c r="V20" s="239" t="e">
        <f>VALO_PERSO!#REF!</f>
        <v>#REF!</v>
      </c>
      <c r="W20" s="239" t="e">
        <f>VALO_PERSO!#REF!</f>
        <v>#REF!</v>
      </c>
      <c r="X20" s="239" t="e">
        <f>VALO_PERSO!#REF!</f>
        <v>#REF!</v>
      </c>
      <c r="Y20" s="239" t="e">
        <f>VALO_PERSO!#REF!</f>
        <v>#REF!</v>
      </c>
      <c r="Z20" s="239" t="e">
        <f>VALO_PERSO!#REF!</f>
        <v>#REF!</v>
      </c>
      <c r="AA20" s="239" t="e">
        <f t="shared" si="0"/>
        <v>#REF!</v>
      </c>
      <c r="AB20" s="253" t="e">
        <f t="shared" si="1"/>
        <v>#REF!</v>
      </c>
      <c r="AC20" s="112"/>
      <c r="AD20" s="238" t="e">
        <f>VALO_PERSO!#REF!</f>
        <v>#REF!</v>
      </c>
      <c r="AE20" s="238" t="e">
        <f>VALO_PERSO!#REF!</f>
        <v>#REF!</v>
      </c>
      <c r="AF20" s="238" t="e">
        <f>VALO_PERSO!#REF!</f>
        <v>#REF!</v>
      </c>
      <c r="AG20" s="239" t="e">
        <f>VALO_PERSO!#REF!</f>
        <v>#REF!</v>
      </c>
      <c r="AH20" s="239" t="e">
        <f>VALO_PERSO!#REF!</f>
        <v>#REF!</v>
      </c>
      <c r="AI20" s="239" t="e">
        <f>VALO_PERSO!#REF!</f>
        <v>#REF!</v>
      </c>
      <c r="AJ20" s="242" t="e">
        <f>VALO_PERSO!#REF!</f>
        <v>#REF!</v>
      </c>
      <c r="AK20" s="242" t="e">
        <f>VALO_PERSO!#REF!</f>
        <v>#REF!</v>
      </c>
      <c r="AL20" s="239" t="e">
        <f t="shared" si="2"/>
        <v>#REF!</v>
      </c>
      <c r="AM20" s="241"/>
      <c r="AN20" s="319"/>
      <c r="AO20" s="241"/>
      <c r="AP20" s="112"/>
      <c r="AQ20" s="112"/>
      <c r="AR20" s="112"/>
      <c r="AS20" s="112"/>
      <c r="AT20" s="112"/>
      <c r="AU20" s="112"/>
      <c r="AV20" s="112"/>
      <c r="AW20" s="112"/>
      <c r="AX20" s="112"/>
      <c r="AY20" s="112"/>
      <c r="BA20" s="112"/>
      <c r="BB20" s="112"/>
      <c r="BC20" s="112"/>
      <c r="BD20" s="112"/>
      <c r="BE20" s="112"/>
      <c r="BF20" s="112"/>
      <c r="BG20" s="112"/>
      <c r="BH20" s="112"/>
      <c r="BI20" s="112"/>
      <c r="BK20" s="112"/>
      <c r="BL20" s="112"/>
      <c r="BM20" s="112"/>
      <c r="BN20" s="112"/>
    </row>
    <row r="21" spans="1:66" x14ac:dyDescent="0.25">
      <c r="Q21" s="112"/>
      <c r="R21" s="313">
        <f>VALO_PERSO!G12</f>
        <v>0</v>
      </c>
      <c r="S21" s="238">
        <f>VALO_PERSO!H12</f>
        <v>0</v>
      </c>
      <c r="T21" s="238">
        <f>VALO_PERSO!I12</f>
        <v>0</v>
      </c>
      <c r="U21" s="239">
        <f>VALO_PERSO!W12</f>
        <v>0</v>
      </c>
      <c r="V21" s="239">
        <f>VALO_PERSO!Y12</f>
        <v>3513.538</v>
      </c>
      <c r="W21" s="239">
        <f>VALO_PERSO!AA12</f>
        <v>0</v>
      </c>
      <c r="X21" s="239">
        <f>VALO_PERSO!AB12</f>
        <v>4815.5380000000005</v>
      </c>
      <c r="Y21" s="239">
        <f>VALO_PERSO!AE12</f>
        <v>0</v>
      </c>
      <c r="Z21" s="239">
        <f>VALO_PERSO!AG12</f>
        <v>0</v>
      </c>
      <c r="AA21" s="239">
        <f t="shared" si="0"/>
        <v>4815.5380000000005</v>
      </c>
      <c r="AB21" s="253" t="e">
        <f t="shared" si="1"/>
        <v>#REF!</v>
      </c>
      <c r="AC21" s="112"/>
      <c r="AD21" s="238">
        <f>VALO_PERSO!G12</f>
        <v>0</v>
      </c>
      <c r="AE21" s="238">
        <f>VALO_PERSO!H12</f>
        <v>0</v>
      </c>
      <c r="AF21" s="238">
        <f>VALO_PERSO!I12</f>
        <v>0</v>
      </c>
      <c r="AG21" s="239">
        <f>VALO_PERSO!AO12</f>
        <v>139451.0428253783</v>
      </c>
      <c r="AH21" s="239">
        <f>VALO_PERSO!AQ12</f>
        <v>0</v>
      </c>
      <c r="AI21" s="239">
        <f>VALO_PERSO!AR12</f>
        <v>191683.92696977462</v>
      </c>
      <c r="AJ21" s="242">
        <f>VALO_PERSO!AT12</f>
        <v>0</v>
      </c>
      <c r="AK21" s="242">
        <f>VALO_PERSO!AV12</f>
        <v>0</v>
      </c>
      <c r="AL21" s="239">
        <f t="shared" si="2"/>
        <v>191683.92696977462</v>
      </c>
      <c r="AM21" s="241"/>
      <c r="AN21" s="319"/>
      <c r="AO21" s="241"/>
      <c r="AP21" s="112"/>
      <c r="AQ21" s="112"/>
      <c r="AR21" s="112"/>
      <c r="AS21" s="112"/>
      <c r="AT21" s="112"/>
      <c r="AU21" s="112"/>
      <c r="AV21" s="112"/>
      <c r="AW21" s="112"/>
      <c r="AX21" s="112"/>
      <c r="AY21" s="112"/>
      <c r="BA21" s="112"/>
      <c r="BB21" s="112"/>
      <c r="BC21" s="112"/>
      <c r="BD21" s="112"/>
      <c r="BE21" s="112"/>
      <c r="BF21" s="112"/>
      <c r="BG21" s="112"/>
      <c r="BH21" s="112"/>
      <c r="BI21" s="112"/>
      <c r="BK21" s="112"/>
      <c r="BL21" s="112"/>
      <c r="BM21" s="112"/>
      <c r="BN21" s="112"/>
    </row>
    <row r="22" spans="1:66" x14ac:dyDescent="0.25">
      <c r="Q22" s="112"/>
      <c r="R22" s="313">
        <f>VALO_PERSO!G13</f>
        <v>0</v>
      </c>
      <c r="S22" s="238">
        <f>VALO_PERSO!H13</f>
        <v>0</v>
      </c>
      <c r="T22" s="238">
        <f>VALO_PERSO!I13</f>
        <v>0</v>
      </c>
      <c r="U22" s="239">
        <f>VALO_PERSO!W13</f>
        <v>0</v>
      </c>
      <c r="V22" s="239">
        <f>VALO_PERSO!Y13</f>
        <v>0</v>
      </c>
      <c r="W22" s="239">
        <f>VALO_PERSO!AA13</f>
        <v>0</v>
      </c>
      <c r="X22" s="239">
        <f>VALO_PERSO!AB13</f>
        <v>0</v>
      </c>
      <c r="Y22" s="239">
        <f>VALO_PERSO!AE13</f>
        <v>0</v>
      </c>
      <c r="Z22" s="239">
        <f>VALO_PERSO!AG13</f>
        <v>0</v>
      </c>
      <c r="AA22" s="239">
        <f t="shared" si="0"/>
        <v>0</v>
      </c>
      <c r="AB22" s="253" t="e">
        <f t="shared" si="1"/>
        <v>#REF!</v>
      </c>
      <c r="AC22" s="112"/>
      <c r="AD22" s="238">
        <f>VALO_PERSO!G13</f>
        <v>0</v>
      </c>
      <c r="AE22" s="238">
        <f>VALO_PERSO!H13</f>
        <v>0</v>
      </c>
      <c r="AF22" s="238">
        <f>VALO_PERSO!I13</f>
        <v>0</v>
      </c>
      <c r="AG22" s="239">
        <f>VALO_PERSO!AO13</f>
        <v>0</v>
      </c>
      <c r="AH22" s="239">
        <f>VALO_PERSO!AQ13</f>
        <v>0</v>
      </c>
      <c r="AI22" s="239">
        <f>VALO_PERSO!AR13</f>
        <v>0</v>
      </c>
      <c r="AJ22" s="242">
        <f>VALO_PERSO!AT13</f>
        <v>0</v>
      </c>
      <c r="AK22" s="242">
        <f>VALO_PERSO!AV13</f>
        <v>0</v>
      </c>
      <c r="AL22" s="239">
        <f t="shared" si="2"/>
        <v>0</v>
      </c>
      <c r="AM22" s="241"/>
      <c r="AN22" s="319"/>
      <c r="AO22" s="241"/>
      <c r="AP22" s="112"/>
      <c r="AQ22" s="112"/>
      <c r="AR22" s="112"/>
      <c r="AS22" s="112"/>
      <c r="AT22" s="112"/>
      <c r="AU22" s="112"/>
      <c r="AV22" s="112"/>
      <c r="AW22" s="112"/>
      <c r="AX22" s="112"/>
      <c r="AY22" s="112"/>
      <c r="BA22" s="112"/>
      <c r="BB22" s="112"/>
      <c r="BC22" s="112"/>
      <c r="BD22" s="112"/>
      <c r="BE22" s="112"/>
      <c r="BF22" s="112"/>
      <c r="BG22" s="112"/>
      <c r="BH22" s="112"/>
      <c r="BI22" s="112"/>
      <c r="BK22" s="112"/>
      <c r="BL22" s="112"/>
      <c r="BM22" s="112"/>
      <c r="BN22" s="112"/>
    </row>
    <row r="23" spans="1:66" x14ac:dyDescent="0.25">
      <c r="Q23" s="112"/>
      <c r="R23" s="313">
        <f>VALO_PERSO!G14</f>
        <v>0</v>
      </c>
      <c r="S23" s="238">
        <f>VALO_PERSO!H14</f>
        <v>0</v>
      </c>
      <c r="T23" s="238">
        <f>VALO_PERSO!I14</f>
        <v>0</v>
      </c>
      <c r="U23" s="239">
        <f>VALO_PERSO!W14</f>
        <v>0</v>
      </c>
      <c r="V23" s="239">
        <f>VALO_PERSO!Y14</f>
        <v>0</v>
      </c>
      <c r="W23" s="239">
        <f>VALO_PERSO!AA14</f>
        <v>0</v>
      </c>
      <c r="X23" s="239">
        <f>VALO_PERSO!AB14</f>
        <v>0</v>
      </c>
      <c r="Y23" s="239">
        <f>VALO_PERSO!AE14</f>
        <v>0</v>
      </c>
      <c r="Z23" s="239">
        <f>VALO_PERSO!AG14</f>
        <v>0</v>
      </c>
      <c r="AA23" s="239">
        <f t="shared" si="0"/>
        <v>0</v>
      </c>
      <c r="AB23" s="253" t="e">
        <f t="shared" si="1"/>
        <v>#REF!</v>
      </c>
      <c r="AC23" s="112"/>
      <c r="AD23" s="238">
        <f>VALO_PERSO!G14</f>
        <v>0</v>
      </c>
      <c r="AE23" s="238">
        <f>VALO_PERSO!H14</f>
        <v>0</v>
      </c>
      <c r="AF23" s="238">
        <f>VALO_PERSO!I14</f>
        <v>0</v>
      </c>
      <c r="AG23" s="239">
        <f>VALO_PERSO!AO14</f>
        <v>0</v>
      </c>
      <c r="AH23" s="239" t="e">
        <f>VALO_PERSO!AQ14</f>
        <v>#DIV/0!</v>
      </c>
      <c r="AI23" s="239">
        <f>VALO_PERSO!AR14</f>
        <v>0</v>
      </c>
      <c r="AJ23" s="242">
        <f>VALO_PERSO!AT14</f>
        <v>0</v>
      </c>
      <c r="AK23" s="242">
        <f>VALO_PERSO!AV14</f>
        <v>0</v>
      </c>
      <c r="AL23" s="239">
        <f t="shared" si="2"/>
        <v>0</v>
      </c>
      <c r="AM23" s="241"/>
      <c r="AN23" s="319"/>
      <c r="AO23" s="241"/>
      <c r="AP23" s="112"/>
      <c r="AQ23" s="112"/>
      <c r="AR23" s="112"/>
      <c r="AS23" s="112"/>
      <c r="AT23" s="112"/>
      <c r="AU23" s="112"/>
      <c r="AV23" s="112"/>
      <c r="AW23" s="112"/>
      <c r="AX23" s="112"/>
      <c r="AY23" s="112"/>
      <c r="BA23" s="112"/>
      <c r="BB23" s="112"/>
      <c r="BC23" s="112"/>
      <c r="BD23" s="112"/>
      <c r="BE23" s="112"/>
      <c r="BF23" s="112"/>
      <c r="BG23" s="112"/>
      <c r="BH23" s="112"/>
      <c r="BI23" s="112"/>
      <c r="BK23" s="112"/>
      <c r="BL23" s="112"/>
      <c r="BM23" s="112"/>
      <c r="BN23" s="112"/>
    </row>
    <row r="24" spans="1:66" x14ac:dyDescent="0.25">
      <c r="Q24" s="112"/>
      <c r="R24" s="313">
        <f>VALO_PERSO!G15</f>
        <v>0</v>
      </c>
      <c r="S24" s="238">
        <f>VALO_PERSO!H15</f>
        <v>0</v>
      </c>
      <c r="T24" s="238">
        <f>VALO_PERSO!I15</f>
        <v>0</v>
      </c>
      <c r="U24" s="239">
        <f>VALO_PERSO!W15</f>
        <v>0</v>
      </c>
      <c r="V24" s="239">
        <f>VALO_PERSO!Y15</f>
        <v>0</v>
      </c>
      <c r="W24" s="239">
        <f>VALO_PERSO!AA15</f>
        <v>0</v>
      </c>
      <c r="X24" s="239">
        <f>VALO_PERSO!AB15</f>
        <v>0</v>
      </c>
      <c r="Y24" s="239">
        <f>VALO_PERSO!AE15</f>
        <v>0</v>
      </c>
      <c r="Z24" s="239">
        <f>VALO_PERSO!AG15</f>
        <v>0</v>
      </c>
      <c r="AA24" s="239">
        <f t="shared" si="0"/>
        <v>0</v>
      </c>
      <c r="AB24" s="253" t="e">
        <f t="shared" si="1"/>
        <v>#REF!</v>
      </c>
      <c r="AC24" s="112"/>
      <c r="AD24" s="238">
        <f>VALO_PERSO!G15</f>
        <v>0</v>
      </c>
      <c r="AE24" s="238">
        <f>VALO_PERSO!H15</f>
        <v>0</v>
      </c>
      <c r="AF24" s="238">
        <f>VALO_PERSO!I15</f>
        <v>0</v>
      </c>
      <c r="AG24" s="239">
        <f>VALO_PERSO!AO15</f>
        <v>0</v>
      </c>
      <c r="AH24" s="239">
        <f>VALO_PERSO!AQ15</f>
        <v>0</v>
      </c>
      <c r="AI24" s="239">
        <f>VALO_PERSO!AR15</f>
        <v>0</v>
      </c>
      <c r="AJ24" s="242">
        <f>VALO_PERSO!AT15</f>
        <v>0</v>
      </c>
      <c r="AK24" s="242">
        <f>VALO_PERSO!AV15</f>
        <v>0</v>
      </c>
      <c r="AL24" s="239">
        <f t="shared" si="2"/>
        <v>0</v>
      </c>
      <c r="AM24" s="241"/>
      <c r="AN24" s="319"/>
      <c r="AO24" s="241"/>
      <c r="AP24" s="112"/>
      <c r="AQ24" s="112"/>
      <c r="AR24" s="112"/>
      <c r="AS24" s="112"/>
      <c r="AT24" s="112"/>
      <c r="AU24" s="112"/>
      <c r="AV24" s="112"/>
      <c r="AW24" s="112"/>
      <c r="AX24" s="112"/>
      <c r="AY24" s="112"/>
      <c r="BA24" s="112"/>
      <c r="BB24" s="112"/>
      <c r="BC24" s="112"/>
      <c r="BD24" s="112"/>
      <c r="BE24" s="112"/>
      <c r="BF24" s="112"/>
      <c r="BG24" s="112"/>
      <c r="BH24" s="112"/>
      <c r="BI24" s="112"/>
      <c r="BK24" s="112"/>
      <c r="BL24" s="112"/>
      <c r="BM24" s="112"/>
      <c r="BN24" s="112"/>
    </row>
    <row r="25" spans="1:66" x14ac:dyDescent="0.25">
      <c r="Q25" s="112"/>
      <c r="R25" s="314" t="s">
        <v>557</v>
      </c>
      <c r="S25" s="300"/>
      <c r="T25" s="300"/>
      <c r="U25" s="240" t="e">
        <f>SUM(U7:U24)</f>
        <v>#REF!</v>
      </c>
      <c r="V25" s="240"/>
      <c r="W25" s="240"/>
      <c r="X25" s="240" t="e">
        <f>SUM(X7:X24)</f>
        <v>#REF!</v>
      </c>
      <c r="Y25" s="240" t="e">
        <f t="shared" ref="Y25:AA25" si="3">SUM(Y7:Y24)</f>
        <v>#REF!</v>
      </c>
      <c r="Z25" s="240" t="e">
        <f t="shared" si="3"/>
        <v>#REF!</v>
      </c>
      <c r="AA25" s="240" t="e">
        <f t="shared" si="3"/>
        <v>#REF!</v>
      </c>
      <c r="AB25" s="240" t="e">
        <f>SUM(AB7:AB24)</f>
        <v>#REF!</v>
      </c>
      <c r="AC25" s="241"/>
      <c r="AD25" s="300" t="s">
        <v>557</v>
      </c>
      <c r="AE25" s="300"/>
      <c r="AF25" s="300"/>
      <c r="AG25" s="240" t="e">
        <f>SUM(AG7:AG24)</f>
        <v>#REF!</v>
      </c>
      <c r="AH25" s="240" t="e">
        <f>SUM(AH7:AH24)</f>
        <v>#REF!</v>
      </c>
      <c r="AI25" s="240" t="e">
        <f t="shared" ref="AI25:AL25" si="4">SUM(AI7:AI24)</f>
        <v>#REF!</v>
      </c>
      <c r="AJ25" s="244" t="e">
        <f t="shared" si="4"/>
        <v>#REF!</v>
      </c>
      <c r="AK25" s="244" t="e">
        <f t="shared" si="4"/>
        <v>#REF!</v>
      </c>
      <c r="AL25" s="240" t="e">
        <f t="shared" si="4"/>
        <v>#REF!</v>
      </c>
      <c r="AM25" s="310"/>
      <c r="AN25" s="320"/>
      <c r="AO25" s="310"/>
      <c r="AP25" s="112"/>
      <c r="AQ25" s="112"/>
      <c r="AR25" s="112"/>
      <c r="AS25" s="112"/>
      <c r="AT25" s="112"/>
      <c r="AU25" s="112"/>
      <c r="AV25" s="112"/>
      <c r="AW25" s="112"/>
      <c r="AX25" s="112"/>
      <c r="AY25" s="112"/>
      <c r="BA25" s="112"/>
      <c r="BB25" s="112"/>
      <c r="BC25" s="112"/>
      <c r="BD25" s="112"/>
      <c r="BE25" s="112"/>
      <c r="BF25" s="112"/>
      <c r="BG25" s="112"/>
      <c r="BH25" s="112"/>
      <c r="BI25" s="112"/>
      <c r="BK25" s="112"/>
      <c r="BL25" s="112"/>
      <c r="BM25" s="112"/>
      <c r="BN25" s="112"/>
    </row>
    <row r="26" spans="1:66" x14ac:dyDescent="0.25"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BA26" s="112"/>
      <c r="BB26" s="112"/>
      <c r="BC26" s="112"/>
      <c r="BD26" s="112"/>
      <c r="BE26" s="112"/>
      <c r="BF26" s="112"/>
      <c r="BG26" s="112"/>
      <c r="BH26" s="112"/>
      <c r="BI26" s="112"/>
      <c r="BK26" s="112"/>
      <c r="BL26" s="112"/>
      <c r="BM26" s="112"/>
      <c r="BN26" s="112"/>
    </row>
    <row r="27" spans="1:66" x14ac:dyDescent="0.25">
      <c r="Q27" s="112"/>
      <c r="R27" s="112"/>
      <c r="S27" s="112"/>
      <c r="T27" s="112"/>
      <c r="U27" s="112"/>
      <c r="V27" s="112"/>
      <c r="W27" s="112"/>
      <c r="X27" s="112"/>
      <c r="Y27" s="112"/>
      <c r="Z27" s="112"/>
      <c r="AA27" s="112"/>
      <c r="AB27" s="112"/>
      <c r="AC27" s="112"/>
      <c r="AD27" s="112"/>
      <c r="AE27" s="112"/>
      <c r="AF27" s="112"/>
      <c r="AG27" s="112"/>
      <c r="AH27" s="112"/>
      <c r="AI27" s="112"/>
      <c r="AJ27" s="112"/>
      <c r="AK27" s="112"/>
      <c r="AL27" s="112"/>
      <c r="AP27" s="112"/>
      <c r="AQ27" s="112"/>
      <c r="AR27" s="112"/>
      <c r="AS27" s="112"/>
      <c r="AT27" s="112"/>
      <c r="AU27" s="112"/>
      <c r="AV27" s="112"/>
      <c r="AW27" s="112"/>
      <c r="AX27" s="112"/>
      <c r="AY27" s="112"/>
      <c r="BA27" s="112"/>
      <c r="BB27" s="112"/>
      <c r="BC27" s="112"/>
      <c r="BD27" s="112"/>
      <c r="BE27" s="112"/>
      <c r="BF27" s="112"/>
      <c r="BG27" s="112"/>
      <c r="BH27" s="112"/>
      <c r="BI27" s="112"/>
      <c r="BK27" s="112"/>
      <c r="BL27" s="112"/>
      <c r="BM27" s="112"/>
      <c r="BN27" s="112"/>
    </row>
    <row r="28" spans="1:66" x14ac:dyDescent="0.25">
      <c r="Q28" s="112"/>
      <c r="R28" s="558" t="s">
        <v>13</v>
      </c>
      <c r="S28" s="558"/>
      <c r="T28" s="558"/>
      <c r="U28" s="558"/>
      <c r="V28" s="112"/>
      <c r="W28" s="112"/>
      <c r="X28" s="112"/>
      <c r="Y28" s="112"/>
      <c r="Z28" s="112"/>
      <c r="AA28" s="112"/>
      <c r="AB28" s="112"/>
      <c r="AC28" s="112"/>
      <c r="AD28" s="279" t="s">
        <v>27</v>
      </c>
      <c r="AE28" s="279"/>
      <c r="AF28" s="279"/>
      <c r="AG28" s="112"/>
      <c r="AH28" s="112"/>
      <c r="AJ28" s="112"/>
      <c r="AK28" s="112"/>
      <c r="AL28" s="112"/>
      <c r="AP28" s="112"/>
      <c r="AQ28" s="112"/>
      <c r="AR28" s="112"/>
      <c r="AS28" s="112"/>
      <c r="AT28" s="112"/>
      <c r="AU28" s="112"/>
      <c r="AV28" s="112"/>
      <c r="AW28" s="112"/>
      <c r="AX28" s="112"/>
      <c r="AY28" s="112"/>
      <c r="BA28" s="112"/>
      <c r="BB28" s="112"/>
      <c r="BC28" s="112"/>
      <c r="BD28" s="112"/>
      <c r="BE28" s="112"/>
      <c r="BF28" s="112"/>
      <c r="BG28" s="112"/>
      <c r="BH28" s="112"/>
      <c r="BI28" s="112"/>
      <c r="BK28" s="112"/>
      <c r="BL28" s="112"/>
      <c r="BM28" s="112"/>
      <c r="BN28" s="112"/>
    </row>
    <row r="29" spans="1:66" ht="33" x14ac:dyDescent="0.25">
      <c r="A29" s="256"/>
      <c r="Q29" s="112"/>
      <c r="R29" s="312" t="s">
        <v>477</v>
      </c>
      <c r="S29" s="236" t="s">
        <v>602</v>
      </c>
      <c r="T29" s="236" t="s">
        <v>603</v>
      </c>
      <c r="U29" s="236" t="s">
        <v>604</v>
      </c>
      <c r="V29" s="112"/>
      <c r="W29" s="112"/>
      <c r="X29" s="112"/>
      <c r="Y29" s="112"/>
      <c r="Z29" s="112"/>
      <c r="AA29" s="112"/>
      <c r="AB29" s="112"/>
      <c r="AC29" s="112"/>
      <c r="AD29" s="236" t="s">
        <v>477</v>
      </c>
      <c r="AE29" s="236" t="s">
        <v>605</v>
      </c>
      <c r="AF29" s="236" t="s">
        <v>603</v>
      </c>
      <c r="AG29" s="236" t="s">
        <v>604</v>
      </c>
      <c r="AH29" s="236" t="s">
        <v>604</v>
      </c>
      <c r="AI29" s="112"/>
      <c r="AJ29" s="112"/>
      <c r="AK29" s="112"/>
      <c r="AL29" s="112"/>
      <c r="AP29" s="112"/>
      <c r="AQ29" s="112"/>
      <c r="AR29" s="112"/>
      <c r="AS29" s="112"/>
      <c r="AT29" s="112"/>
      <c r="AU29" s="112"/>
      <c r="AV29" s="112"/>
      <c r="AW29" s="112"/>
      <c r="AX29" s="112"/>
      <c r="AY29" s="112"/>
      <c r="BA29" s="112"/>
      <c r="BB29" s="112"/>
      <c r="BC29" s="112"/>
      <c r="BD29" s="112"/>
      <c r="BE29" s="112"/>
      <c r="BF29" s="112"/>
      <c r="BG29" s="112"/>
      <c r="BH29" s="112"/>
      <c r="BI29" s="112"/>
      <c r="BK29" s="112"/>
      <c r="BL29" s="112"/>
      <c r="BM29" s="112"/>
      <c r="BN29" s="112"/>
    </row>
    <row r="30" spans="1:66" x14ac:dyDescent="0.25">
      <c r="Q30" s="112"/>
      <c r="R30" s="112" t="s">
        <v>22</v>
      </c>
      <c r="S30" s="295">
        <f>SUMIF(VALO_PERSO!L5:L6,"chercheur",VALO_PERSO!Y5:Y6)</f>
        <v>0</v>
      </c>
      <c r="T30" s="295">
        <f>SUMIF(VALO_PERSO!L5:L6,"chercheur",VALO_PERSO!AO5:AO6)</f>
        <v>0</v>
      </c>
      <c r="U30" s="307">
        <f t="shared" ref="U30:U38" si="5">S30/$S$39</f>
        <v>0</v>
      </c>
      <c r="V30" s="112"/>
      <c r="W30" s="112"/>
      <c r="X30" s="112"/>
      <c r="Y30" s="112"/>
      <c r="Z30" s="112"/>
      <c r="AA30" s="112"/>
      <c r="AB30" s="112"/>
      <c r="AC30" s="112"/>
      <c r="AD30" s="112" t="s">
        <v>22</v>
      </c>
      <c r="AE30" s="295">
        <f>SUMIF(VALO_PERSO!L5:L6,"chercheur",VALO_PERSO!AE5:AE6)</f>
        <v>0</v>
      </c>
      <c r="AF30" s="295">
        <f>SUMIF(VALO_PERSO!L5:L6,"chercheur",VALO_PERSO!AT5:AT6)</f>
        <v>0</v>
      </c>
      <c r="AG30" s="307" t="e">
        <f t="shared" ref="AG30:AH38" si="6">AE30/$AE$39</f>
        <v>#DIV/0!</v>
      </c>
      <c r="AH30" s="307" t="e">
        <f t="shared" si="6"/>
        <v>#DIV/0!</v>
      </c>
      <c r="AI30" s="112"/>
      <c r="AJ30" s="112"/>
      <c r="AK30" s="112"/>
      <c r="AL30" s="112"/>
      <c r="AP30" s="112"/>
      <c r="AQ30" s="112"/>
      <c r="AR30" s="112"/>
      <c r="AS30" s="112"/>
      <c r="AT30" s="112"/>
      <c r="AU30" s="112"/>
      <c r="AV30" s="112"/>
      <c r="AW30" s="112"/>
      <c r="AX30" s="112"/>
      <c r="AY30" s="112"/>
      <c r="BA30" s="112"/>
      <c r="BB30" s="112"/>
      <c r="BC30" s="112"/>
      <c r="BD30" s="112"/>
      <c r="BE30" s="112"/>
      <c r="BF30" s="112"/>
      <c r="BG30" s="112"/>
      <c r="BH30" s="112"/>
      <c r="BI30" s="112"/>
      <c r="BK30" s="112"/>
      <c r="BL30" s="112"/>
      <c r="BM30" s="112"/>
      <c r="BN30" s="112"/>
    </row>
    <row r="31" spans="1:66" x14ac:dyDescent="0.25">
      <c r="A31" s="256"/>
      <c r="Q31" s="112"/>
      <c r="R31" s="112" t="s">
        <v>35</v>
      </c>
      <c r="S31" s="295">
        <f>SUMIF(VALO_PERSO!L5:L6,"Technicien",VALO_PERSO!Y5:Y6)</f>
        <v>1758</v>
      </c>
      <c r="T31" s="295">
        <f>SUMIF(VALO_PERSO!L5:L6,"Technicien",VALO_PERSO!AO5:AO6)</f>
        <v>55792.496776139655</v>
      </c>
      <c r="U31" s="307">
        <f t="shared" si="5"/>
        <v>1</v>
      </c>
      <c r="V31" s="112"/>
      <c r="W31" s="112"/>
      <c r="X31" s="112"/>
      <c r="Y31" s="112"/>
      <c r="Z31" s="112"/>
      <c r="AA31" s="112"/>
      <c r="AB31" s="112"/>
      <c r="AC31" s="112"/>
      <c r="AD31" s="112" t="s">
        <v>35</v>
      </c>
      <c r="AE31" s="295">
        <f>SUMIF(VALO_PERSO!L5:L6,"Technicien",VALO_PERSO!AE5:AE6)</f>
        <v>0</v>
      </c>
      <c r="AF31" s="295">
        <f>SUMIF(VALO_PERSO!L5:L6,"Technicien",VALO_PERSO!AT5:AT6)</f>
        <v>0</v>
      </c>
      <c r="AG31" s="307" t="e">
        <f t="shared" si="6"/>
        <v>#DIV/0!</v>
      </c>
      <c r="AH31" s="307" t="e">
        <f t="shared" si="6"/>
        <v>#DIV/0!</v>
      </c>
      <c r="AI31" s="112"/>
      <c r="AJ31" s="112"/>
      <c r="AK31" s="112"/>
      <c r="AL31" s="112"/>
      <c r="AP31" s="112"/>
      <c r="AQ31" s="112"/>
      <c r="AR31" s="112"/>
      <c r="AS31" s="112"/>
      <c r="AT31" s="112"/>
      <c r="AU31" s="112"/>
      <c r="AV31" s="112"/>
      <c r="AW31" s="112"/>
      <c r="AX31" s="112"/>
      <c r="AY31" s="112"/>
      <c r="BA31" s="112"/>
      <c r="BB31" s="112"/>
      <c r="BC31" s="112"/>
      <c r="BD31" s="112"/>
      <c r="BE31" s="112"/>
      <c r="BF31" s="112"/>
      <c r="BG31" s="112"/>
      <c r="BH31" s="112"/>
      <c r="BI31" s="112"/>
      <c r="BK31" s="112"/>
      <c r="BL31" s="112"/>
      <c r="BM31" s="112"/>
      <c r="BN31" s="112"/>
    </row>
    <row r="32" spans="1:66" x14ac:dyDescent="0.25">
      <c r="Q32" s="112"/>
      <c r="R32" s="112" t="s">
        <v>48</v>
      </c>
      <c r="S32" s="295">
        <f>SUMIF(VALO_PERSO!L5:L6,"Jeune docteur",VALO_PERSO!Y5:Y6)</f>
        <v>0</v>
      </c>
      <c r="T32" s="295">
        <f>SUMIF(VALO_PERSO!L5:L6,"Jeune docteur",VALO_PERSO!AO5:AO6)</f>
        <v>0</v>
      </c>
      <c r="U32" s="307">
        <f t="shared" si="5"/>
        <v>0</v>
      </c>
      <c r="V32" s="112"/>
      <c r="W32" s="112"/>
      <c r="X32" s="112"/>
      <c r="Y32" s="112"/>
      <c r="Z32" s="112"/>
      <c r="AA32" s="112"/>
      <c r="AB32" s="112"/>
      <c r="AC32" s="112"/>
      <c r="AD32" s="112" t="s">
        <v>48</v>
      </c>
      <c r="AE32" s="295">
        <f>SUMIF(VALO_PERSO!L5:L6,"Jeune docteur",VALO_PERSO!AE5:AE6)</f>
        <v>0</v>
      </c>
      <c r="AF32" s="295">
        <f>SUMIF(VALO_PERSO!L5:L6,"Jeune docteur",VALO_PERSO!AT5:AT6)</f>
        <v>0</v>
      </c>
      <c r="AG32" s="307" t="e">
        <f t="shared" si="6"/>
        <v>#DIV/0!</v>
      </c>
      <c r="AH32" s="307" t="e">
        <f t="shared" si="6"/>
        <v>#DIV/0!</v>
      </c>
      <c r="AI32" s="112"/>
      <c r="AJ32" s="112"/>
      <c r="AK32" s="112"/>
      <c r="AL32" s="112"/>
      <c r="AP32" s="112"/>
      <c r="AQ32" s="112"/>
      <c r="AR32" s="112"/>
      <c r="AS32" s="112"/>
      <c r="AT32" s="112"/>
      <c r="AU32" s="112"/>
      <c r="AV32" s="112"/>
      <c r="AW32" s="112"/>
      <c r="AX32" s="112"/>
      <c r="AY32" s="112"/>
      <c r="BA32" s="112"/>
      <c r="BB32" s="112"/>
      <c r="BC32" s="112"/>
      <c r="BD32" s="112"/>
      <c r="BE32" s="112"/>
      <c r="BF32" s="112"/>
      <c r="BG32" s="112"/>
      <c r="BH32" s="112"/>
      <c r="BI32" s="112"/>
      <c r="BK32" s="112"/>
      <c r="BL32" s="112"/>
      <c r="BM32" s="112"/>
      <c r="BN32" s="112"/>
    </row>
    <row r="33" spans="17:66" x14ac:dyDescent="0.25">
      <c r="Q33" s="112"/>
      <c r="R33" s="112" t="s">
        <v>54</v>
      </c>
      <c r="S33" s="295">
        <f>SUMIF(VALO_PERSO!L5:L6,"Dirigeant",VALO_PERSO!Y5:Y6)</f>
        <v>0</v>
      </c>
      <c r="T33" s="295">
        <f>SUMIF(VALO_PERSO!L5:L6,"Dirigeant",VALO_PERSO!AO5:AO6)</f>
        <v>0</v>
      </c>
      <c r="U33" s="307">
        <f t="shared" si="5"/>
        <v>0</v>
      </c>
      <c r="V33" s="112"/>
      <c r="W33" s="112"/>
      <c r="X33" s="112"/>
      <c r="Y33" s="112"/>
      <c r="Z33" s="112"/>
      <c r="AA33" s="112"/>
      <c r="AB33" s="112"/>
      <c r="AC33" s="112"/>
      <c r="AD33" s="112" t="s">
        <v>54</v>
      </c>
      <c r="AE33" s="295">
        <f>SUMIF(VALO_PERSO!L5:L6,"Dirigeant",VALO_PERSO!AE5:AE6)</f>
        <v>0</v>
      </c>
      <c r="AF33" s="295">
        <f>SUMIF(VALO_PERSO!L5:L6,"Dirigeant",VALO_PERSO!AT5:AT6)</f>
        <v>0</v>
      </c>
      <c r="AG33" s="307" t="e">
        <f t="shared" si="6"/>
        <v>#DIV/0!</v>
      </c>
      <c r="AH33" s="307" t="e">
        <f t="shared" si="6"/>
        <v>#DIV/0!</v>
      </c>
      <c r="AI33" s="112"/>
      <c r="AJ33" s="112"/>
      <c r="AK33" s="112"/>
      <c r="AL33" s="112"/>
      <c r="AP33" s="112"/>
      <c r="AQ33" s="112"/>
      <c r="AR33" s="112"/>
      <c r="AS33" s="112"/>
      <c r="AT33" s="112"/>
      <c r="AU33" s="112"/>
      <c r="AV33" s="112"/>
      <c r="AW33" s="112"/>
      <c r="AX33" s="112"/>
      <c r="AY33" s="112"/>
      <c r="BA33" s="112"/>
      <c r="BB33" s="112"/>
      <c r="BC33" s="112"/>
      <c r="BD33" s="112"/>
      <c r="BE33" s="112"/>
      <c r="BF33" s="112"/>
      <c r="BG33" s="112"/>
      <c r="BH33" s="112"/>
      <c r="BI33" s="112"/>
      <c r="BK33" s="112"/>
      <c r="BL33" s="112"/>
      <c r="BM33" s="112"/>
      <c r="BN33" s="112"/>
    </row>
    <row r="34" spans="17:66" x14ac:dyDescent="0.25">
      <c r="Q34" s="112"/>
      <c r="R34" s="112" t="s">
        <v>58</v>
      </c>
      <c r="S34" s="295">
        <f>SUMIF(VALO_PERSO!L5:L6,"Contrat MAD / intérim",VALO_PERSO!Y5:Y6)</f>
        <v>0</v>
      </c>
      <c r="T34" s="295">
        <f>SUMIF(VALO_PERSO!L5:L6,"Contrat MAD / intérim",VALO_PERSO!AO5:AO6)</f>
        <v>0</v>
      </c>
      <c r="U34" s="307">
        <f t="shared" si="5"/>
        <v>0</v>
      </c>
      <c r="V34" s="112"/>
      <c r="W34" s="112"/>
      <c r="X34" s="112"/>
      <c r="Y34" s="112"/>
      <c r="Z34" s="112"/>
      <c r="AA34" s="112"/>
      <c r="AB34" s="112"/>
      <c r="AC34" s="112"/>
      <c r="AD34" s="112" t="s">
        <v>58</v>
      </c>
      <c r="AE34" s="295">
        <f>SUMIF(VALO_PERSO!L5:L6,"Contrat MAD / intérim",VALO_PERSO!AE5:AE6)</f>
        <v>0</v>
      </c>
      <c r="AF34" s="295">
        <f>SUMIF(VALO_PERSO!L5:L6,"Contrat MAD / intérim",VALO_PERSO!AT5:AT6)</f>
        <v>0</v>
      </c>
      <c r="AG34" s="307" t="e">
        <f t="shared" si="6"/>
        <v>#DIV/0!</v>
      </c>
      <c r="AH34" s="307" t="e">
        <f t="shared" si="6"/>
        <v>#DIV/0!</v>
      </c>
      <c r="AI34" s="112"/>
      <c r="AJ34" s="112"/>
      <c r="AK34" s="112"/>
      <c r="AL34" s="112"/>
      <c r="AP34" s="112"/>
      <c r="AQ34" s="112"/>
      <c r="AR34" s="112"/>
      <c r="AS34" s="112"/>
      <c r="AT34" s="112"/>
      <c r="AU34" s="112"/>
      <c r="AV34" s="112"/>
      <c r="AW34" s="112"/>
      <c r="AX34" s="112"/>
      <c r="AY34" s="112"/>
      <c r="BA34" s="112"/>
      <c r="BB34" s="112"/>
      <c r="BC34" s="112"/>
      <c r="BD34" s="112"/>
      <c r="BE34" s="112"/>
      <c r="BF34" s="112"/>
      <c r="BG34" s="112"/>
      <c r="BH34" s="112"/>
      <c r="BI34" s="112"/>
      <c r="BK34" s="112"/>
      <c r="BL34" s="112"/>
      <c r="BM34" s="112"/>
      <c r="BN34" s="112"/>
    </row>
    <row r="35" spans="17:66" x14ac:dyDescent="0.25">
      <c r="Q35" s="112"/>
      <c r="R35" s="112" t="s">
        <v>61</v>
      </c>
      <c r="S35" s="295">
        <f>SUMIF(VALO_PERSO!L5:L6,"Thésard",VALO_PERSO!Y5:Y6)</f>
        <v>0</v>
      </c>
      <c r="T35" s="295">
        <f>SUMIF(VALO_PERSO!L5:L6,"Thésard",VALO_PERSO!AO5:AO6)</f>
        <v>0</v>
      </c>
      <c r="U35" s="307">
        <f t="shared" si="5"/>
        <v>0</v>
      </c>
      <c r="V35" s="112"/>
      <c r="W35" s="112"/>
      <c r="X35" s="112"/>
      <c r="Y35" s="112"/>
      <c r="Z35" s="112"/>
      <c r="AA35" s="112"/>
      <c r="AB35" s="112"/>
      <c r="AC35" s="112"/>
      <c r="AD35" s="112" t="s">
        <v>61</v>
      </c>
      <c r="AE35" s="295">
        <f>SUMIF(VALO_PERSO!L5:L6,"Thésard",VALO_PERSO!AE5:AE6)</f>
        <v>0</v>
      </c>
      <c r="AF35" s="295">
        <f>SUMIF(VALO_PERSO!L5:L6,"Thésard",VALO_PERSO!AT5:AT6)</f>
        <v>0</v>
      </c>
      <c r="AG35" s="307" t="e">
        <f t="shared" si="6"/>
        <v>#DIV/0!</v>
      </c>
      <c r="AH35" s="307" t="e">
        <f t="shared" si="6"/>
        <v>#DIV/0!</v>
      </c>
      <c r="AI35" s="112"/>
      <c r="AJ35" s="112"/>
      <c r="AK35" s="112"/>
      <c r="AL35" s="112"/>
      <c r="AP35" s="112"/>
      <c r="AQ35" s="112"/>
      <c r="AR35" s="112"/>
      <c r="AS35" s="112"/>
      <c r="AT35" s="112"/>
      <c r="AU35" s="112"/>
      <c r="AV35" s="112"/>
      <c r="AW35" s="112"/>
      <c r="AX35" s="112"/>
      <c r="AY35" s="112"/>
      <c r="BA35" s="112"/>
      <c r="BB35" s="112"/>
      <c r="BC35" s="112"/>
      <c r="BD35" s="112"/>
      <c r="BE35" s="112"/>
      <c r="BF35" s="112"/>
      <c r="BG35" s="112"/>
      <c r="BH35" s="112"/>
      <c r="BI35" s="112"/>
      <c r="BK35" s="112"/>
      <c r="BL35" s="112"/>
      <c r="BM35" s="112"/>
      <c r="BN35" s="112"/>
    </row>
    <row r="36" spans="17:66" x14ac:dyDescent="0.25">
      <c r="Q36" s="112"/>
      <c r="R36" s="112" t="s">
        <v>63</v>
      </c>
      <c r="S36" s="295">
        <f>SUMIF(VALO_PERSO!L5:L6,"Stagiaire/apprenti",VALO_PERSO!Y5:Y6)</f>
        <v>0</v>
      </c>
      <c r="T36" s="295">
        <f>SUMIF(VALO_PERSO!L5:L6,"Stagiaire/apprenti",VALO_PERSO!AO5:AO6)</f>
        <v>0</v>
      </c>
      <c r="U36" s="307">
        <f t="shared" si="5"/>
        <v>0</v>
      </c>
      <c r="V36" s="112"/>
      <c r="W36" s="112"/>
      <c r="X36" s="112"/>
      <c r="Y36" s="112"/>
      <c r="Z36" s="112"/>
      <c r="AA36" s="112"/>
      <c r="AB36" s="112"/>
      <c r="AC36" s="112"/>
      <c r="AD36" s="112" t="s">
        <v>63</v>
      </c>
      <c r="AE36" s="295">
        <f>SUMIF(VALO_PERSO!L5:L6,"Stagiaire/apprenti",VALO_PERSO!AE5:AE6)</f>
        <v>0</v>
      </c>
      <c r="AF36" s="295">
        <f>SUMIF(VALO_PERSO!L5:L6,"Stagiaire/apprenti",VALO_PERSO!AT5:AT6)</f>
        <v>0</v>
      </c>
      <c r="AG36" s="307" t="e">
        <f t="shared" si="6"/>
        <v>#DIV/0!</v>
      </c>
      <c r="AH36" s="307" t="e">
        <f t="shared" si="6"/>
        <v>#DIV/0!</v>
      </c>
      <c r="AI36" s="112"/>
      <c r="AJ36" s="112"/>
      <c r="AK36" s="112"/>
      <c r="AL36" s="112"/>
      <c r="AP36" s="112"/>
      <c r="AQ36" s="112"/>
      <c r="AR36" s="112"/>
      <c r="AS36" s="112"/>
      <c r="AT36" s="112"/>
      <c r="AU36" s="112"/>
      <c r="AV36" s="112"/>
      <c r="AW36" s="112"/>
      <c r="AX36" s="112"/>
      <c r="AY36" s="112"/>
      <c r="BA36" s="112"/>
      <c r="BB36" s="112"/>
      <c r="BC36" s="112"/>
      <c r="BD36" s="112"/>
      <c r="BE36" s="112"/>
      <c r="BF36" s="112"/>
      <c r="BG36" s="112"/>
      <c r="BH36" s="112"/>
      <c r="BI36" s="112"/>
      <c r="BK36" s="112"/>
      <c r="BL36" s="112"/>
      <c r="BM36" s="112"/>
      <c r="BN36" s="112"/>
    </row>
    <row r="37" spans="17:66" x14ac:dyDescent="0.25">
      <c r="Q37" s="112"/>
      <c r="R37" s="112" t="s">
        <v>64</v>
      </c>
      <c r="S37" s="295">
        <f>SUMIF(VALO_PERSO!L5:L6,"Profil à risque (acheteur, qualité)",VALO_PERSO!Y5:Y6)</f>
        <v>0</v>
      </c>
      <c r="T37" s="295">
        <f>SUMIF(VALO_PERSO!L5:L6,"Profil à risque (acheteur, qualité)",VALO_PERSO!AO5:AO6)</f>
        <v>0</v>
      </c>
      <c r="U37" s="307">
        <f t="shared" si="5"/>
        <v>0</v>
      </c>
      <c r="V37" s="112"/>
      <c r="W37" s="112"/>
      <c r="X37" s="112"/>
      <c r="Y37" s="112"/>
      <c r="Z37" s="112"/>
      <c r="AA37" s="112"/>
      <c r="AB37" s="112"/>
      <c r="AC37" s="112"/>
      <c r="AD37" s="112" t="s">
        <v>64</v>
      </c>
      <c r="AE37" s="295">
        <f>SUMIF(VALO_PERSO!L5:L6,"Profil à risque (acheteur, qualité)",VALO_PERSO!AE5:AE6)</f>
        <v>0</v>
      </c>
      <c r="AF37" s="295">
        <f>SUMIF(VALO_PERSO!L5:L6,"Profil à risque (acheteur, qualité)",VALO_PERSO!AT5:AT6)</f>
        <v>0</v>
      </c>
      <c r="AG37" s="307" t="e">
        <f t="shared" si="6"/>
        <v>#DIV/0!</v>
      </c>
      <c r="AH37" s="307" t="e">
        <f t="shared" si="6"/>
        <v>#DIV/0!</v>
      </c>
      <c r="AI37" s="112"/>
      <c r="AJ37" s="112"/>
      <c r="AK37" s="112"/>
      <c r="AL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12"/>
      <c r="BA37" s="112"/>
      <c r="BB37" s="112"/>
      <c r="BC37" s="112"/>
      <c r="BD37" s="112"/>
      <c r="BE37" s="112"/>
      <c r="BF37" s="112"/>
      <c r="BG37" s="112"/>
      <c r="BH37" s="112"/>
      <c r="BI37" s="112"/>
      <c r="BK37" s="112"/>
      <c r="BL37" s="112"/>
      <c r="BM37" s="112"/>
      <c r="BN37" s="112"/>
    </row>
    <row r="38" spans="17:66" x14ac:dyDescent="0.25">
      <c r="Q38" s="112"/>
      <c r="R38" s="112" t="s">
        <v>65</v>
      </c>
      <c r="S38" s="295">
        <f>SUMIF(VALO_PERSO!L5:L6,"Profil très risqué (admin, financier)",VALO_PERSO!Y5:Y6)</f>
        <v>0</v>
      </c>
      <c r="T38" s="295">
        <f>SUMIF(VALO_PERSO!L5:L6,"Profil très risqué (admin, financier)",VALO_PERSO!AO5:AO6)</f>
        <v>0</v>
      </c>
      <c r="U38" s="307">
        <f t="shared" si="5"/>
        <v>0</v>
      </c>
      <c r="V38" s="112"/>
      <c r="W38" s="112"/>
      <c r="X38" s="112"/>
      <c r="Y38" s="112"/>
      <c r="Z38" s="112"/>
      <c r="AA38" s="112"/>
      <c r="AB38" s="112"/>
      <c r="AC38" s="112"/>
      <c r="AD38" s="112" t="s">
        <v>65</v>
      </c>
      <c r="AE38" s="295">
        <f>SUMIF(VALO_PERSO!L5:L6,"Profil très risqué (admin, financier)",VALO_PERSO!AE5:AE6)</f>
        <v>0</v>
      </c>
      <c r="AF38" s="295">
        <f>SUMIF(VALO_PERSO!L5:L6,"Profil très risqué (admin, financier)",VALO_PERSO!AT5:AT6)</f>
        <v>0</v>
      </c>
      <c r="AG38" s="307" t="e">
        <f t="shared" si="6"/>
        <v>#DIV/0!</v>
      </c>
      <c r="AH38" s="307" t="e">
        <f t="shared" si="6"/>
        <v>#DIV/0!</v>
      </c>
      <c r="AI38" s="112"/>
      <c r="AJ38" s="112"/>
      <c r="AK38" s="112"/>
      <c r="AL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  <c r="BA38" s="112"/>
      <c r="BB38" s="112"/>
      <c r="BC38" s="112"/>
      <c r="BD38" s="112"/>
      <c r="BE38" s="112"/>
      <c r="BF38" s="112"/>
      <c r="BG38" s="112"/>
      <c r="BH38" s="112"/>
      <c r="BI38" s="112"/>
      <c r="BK38" s="112"/>
      <c r="BL38" s="112"/>
      <c r="BM38" s="112"/>
      <c r="BN38" s="112"/>
    </row>
    <row r="39" spans="17:66" x14ac:dyDescent="0.25">
      <c r="Q39" s="112"/>
      <c r="R39" s="297" t="s">
        <v>557</v>
      </c>
      <c r="S39" s="296">
        <f>SUM(S30:S38)</f>
        <v>1758</v>
      </c>
      <c r="T39" s="296">
        <f>SUM(T30:T38)</f>
        <v>55792.496776139655</v>
      </c>
      <c r="U39" s="296"/>
      <c r="V39" s="112"/>
      <c r="W39" s="112"/>
      <c r="X39" s="112"/>
      <c r="Y39" s="112"/>
      <c r="Z39" s="112"/>
      <c r="AA39" s="112"/>
      <c r="AB39" s="112"/>
      <c r="AC39" s="112"/>
      <c r="AD39" s="297" t="s">
        <v>557</v>
      </c>
      <c r="AE39" s="296">
        <f>SUM(AE30:AE38)</f>
        <v>0</v>
      </c>
      <c r="AF39" s="296">
        <f>SUM(AF30:AF38)</f>
        <v>0</v>
      </c>
      <c r="AG39" s="296"/>
      <c r="AH39" s="296"/>
      <c r="AI39" s="112"/>
      <c r="AJ39" s="112"/>
      <c r="AK39" s="112"/>
      <c r="AL39" s="112"/>
      <c r="AP39" s="112"/>
      <c r="AQ39" s="112"/>
      <c r="AR39" s="112"/>
      <c r="AS39" s="112"/>
      <c r="AT39" s="112"/>
      <c r="AU39" s="112"/>
      <c r="AV39" s="112"/>
      <c r="AW39" s="112"/>
      <c r="AX39" s="112"/>
      <c r="AY39" s="112"/>
      <c r="BA39" s="112"/>
      <c r="BB39" s="112"/>
      <c r="BC39" s="112"/>
      <c r="BD39" s="112"/>
      <c r="BE39" s="112"/>
      <c r="BF39" s="112"/>
      <c r="BG39" s="112"/>
      <c r="BH39" s="112"/>
      <c r="BI39" s="112"/>
      <c r="BK39" s="112"/>
      <c r="BL39" s="112"/>
      <c r="BM39" s="112"/>
      <c r="BN39" s="112"/>
    </row>
    <row r="40" spans="17:66" x14ac:dyDescent="0.25">
      <c r="Q40" s="112"/>
      <c r="R40" s="112"/>
      <c r="S40" s="112"/>
      <c r="T40" s="295"/>
      <c r="U40" s="295"/>
      <c r="V40" s="295"/>
      <c r="W40" s="295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P40" s="112"/>
      <c r="AQ40" s="112"/>
      <c r="AR40" s="112"/>
      <c r="AS40" s="112"/>
      <c r="AT40" s="112"/>
      <c r="AU40" s="112"/>
      <c r="AV40" s="112"/>
      <c r="AW40" s="112"/>
      <c r="AX40" s="112"/>
      <c r="AY40" s="112"/>
      <c r="BA40" s="112"/>
      <c r="BB40" s="112"/>
      <c r="BC40" s="112"/>
      <c r="BD40" s="112"/>
      <c r="BE40" s="112"/>
      <c r="BF40" s="112"/>
      <c r="BG40" s="112"/>
      <c r="BH40" s="112"/>
      <c r="BI40" s="112"/>
      <c r="BK40" s="112"/>
      <c r="BL40" s="112"/>
      <c r="BM40" s="112"/>
      <c r="BN40" s="112"/>
    </row>
    <row r="41" spans="17:66" x14ac:dyDescent="0.25"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  <c r="BA41" s="112"/>
      <c r="BB41" s="112"/>
      <c r="BC41" s="112"/>
      <c r="BD41" s="112"/>
      <c r="BE41" s="112"/>
      <c r="BF41" s="112"/>
      <c r="BG41" s="112"/>
      <c r="BH41" s="112"/>
      <c r="BI41" s="112"/>
      <c r="BK41" s="112"/>
      <c r="BL41" s="112"/>
      <c r="BM41" s="112"/>
      <c r="BN41" s="112"/>
    </row>
    <row r="42" spans="17:66" x14ac:dyDescent="0.25"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/>
      <c r="AK42" s="112"/>
      <c r="AL42" s="112"/>
      <c r="AP42" s="112"/>
      <c r="AQ42" s="112"/>
      <c r="AR42" s="112"/>
      <c r="AS42" s="112"/>
      <c r="AT42" s="112"/>
      <c r="AU42" s="112"/>
      <c r="AV42" s="112"/>
      <c r="AW42" s="112"/>
      <c r="AX42" s="112"/>
      <c r="AY42" s="112"/>
      <c r="BA42" s="112"/>
      <c r="BB42" s="112"/>
      <c r="BC42" s="112"/>
      <c r="BD42" s="112"/>
      <c r="BE42" s="112"/>
      <c r="BF42" s="112"/>
      <c r="BG42" s="112"/>
      <c r="BH42" s="112"/>
      <c r="BI42" s="112"/>
      <c r="BK42" s="112"/>
      <c r="BL42" s="112"/>
      <c r="BM42" s="112"/>
      <c r="BN42" s="112"/>
    </row>
    <row r="43" spans="17:66" x14ac:dyDescent="0.25"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K43" s="112"/>
      <c r="AL43" s="112"/>
      <c r="AP43" s="112"/>
      <c r="AQ43" s="112"/>
      <c r="AR43" s="112"/>
      <c r="AS43" s="112"/>
      <c r="AT43" s="112"/>
      <c r="AU43" s="112"/>
      <c r="AV43" s="112"/>
      <c r="AW43" s="112"/>
      <c r="AX43" s="112"/>
      <c r="AY43" s="112"/>
      <c r="BA43" s="112"/>
      <c r="BB43" s="112"/>
      <c r="BC43" s="112"/>
      <c r="BD43" s="112"/>
      <c r="BE43" s="112"/>
      <c r="BF43" s="112"/>
      <c r="BG43" s="112"/>
      <c r="BH43" s="112"/>
      <c r="BI43" s="112"/>
      <c r="BK43" s="112"/>
      <c r="BL43" s="112"/>
      <c r="BM43" s="112"/>
      <c r="BN43" s="112"/>
    </row>
    <row r="44" spans="17:66" x14ac:dyDescent="0.25">
      <c r="Q44" s="112"/>
      <c r="R44" s="112"/>
      <c r="S44" s="112"/>
      <c r="T44" s="112"/>
      <c r="U44" s="112"/>
      <c r="V44" s="112"/>
      <c r="W44" s="112"/>
      <c r="X44" s="112"/>
      <c r="Y44" s="112"/>
      <c r="Z44" s="112"/>
      <c r="AA44" s="112"/>
      <c r="AB44" s="112"/>
      <c r="AC44" s="112"/>
      <c r="AD44" s="112"/>
      <c r="AE44" s="112"/>
      <c r="AF44" s="112"/>
      <c r="AG44" s="112"/>
      <c r="AH44" s="112"/>
      <c r="AI44" s="112"/>
      <c r="AJ44" s="112"/>
      <c r="AK44" s="112"/>
      <c r="AL44" s="112"/>
      <c r="AP44" s="112"/>
      <c r="AQ44" s="112"/>
      <c r="AR44" s="112"/>
      <c r="AS44" s="112"/>
      <c r="AT44" s="112"/>
      <c r="AU44" s="112"/>
      <c r="AV44" s="112"/>
      <c r="AW44" s="112"/>
      <c r="AX44" s="112"/>
      <c r="AY44" s="112"/>
      <c r="BA44" s="112"/>
      <c r="BB44" s="112"/>
      <c r="BC44" s="112"/>
      <c r="BD44" s="112"/>
      <c r="BE44" s="112"/>
      <c r="BF44" s="112"/>
      <c r="BG44" s="112"/>
      <c r="BH44" s="112"/>
      <c r="BI44" s="112"/>
      <c r="BK44" s="112"/>
      <c r="BL44" s="112"/>
      <c r="BM44" s="112"/>
      <c r="BN44" s="112"/>
    </row>
    <row r="45" spans="17:66" x14ac:dyDescent="0.25">
      <c r="Q45" s="112"/>
      <c r="R45" s="112"/>
      <c r="S45" s="112"/>
      <c r="T45" s="112"/>
      <c r="U45" s="112"/>
      <c r="V45" s="112"/>
      <c r="W45" s="112"/>
      <c r="X45" s="112"/>
      <c r="Y45" s="112"/>
      <c r="Z45" s="112"/>
      <c r="AA45" s="112"/>
      <c r="AB45" s="112"/>
      <c r="AC45" s="112"/>
      <c r="AD45" s="112"/>
      <c r="AE45" s="112"/>
      <c r="AF45" s="112"/>
      <c r="AG45" s="112"/>
      <c r="AH45" s="112"/>
      <c r="AI45" s="112"/>
      <c r="AJ45" s="112"/>
      <c r="AK45" s="112"/>
      <c r="AL45" s="112"/>
      <c r="AP45" s="112"/>
      <c r="AQ45" s="112"/>
      <c r="AR45" s="112"/>
      <c r="AS45" s="112"/>
      <c r="AT45" s="112"/>
      <c r="AU45" s="112"/>
      <c r="AV45" s="112"/>
      <c r="AW45" s="112"/>
      <c r="AX45" s="112"/>
      <c r="AY45" s="112"/>
      <c r="BA45" s="112"/>
      <c r="BB45" s="112"/>
      <c r="BC45" s="112"/>
      <c r="BD45" s="112"/>
      <c r="BE45" s="112"/>
      <c r="BF45" s="112"/>
      <c r="BG45" s="112"/>
      <c r="BH45" s="112"/>
      <c r="BI45" s="112"/>
      <c r="BK45" s="112"/>
      <c r="BL45" s="112"/>
      <c r="BM45" s="112"/>
      <c r="BN45" s="112"/>
    </row>
    <row r="46" spans="17:66" x14ac:dyDescent="0.25">
      <c r="Q46" s="112"/>
      <c r="R46" s="112"/>
      <c r="S46" s="112"/>
      <c r="T46" s="112"/>
      <c r="U46" s="112"/>
      <c r="V46" s="112"/>
      <c r="W46" s="112"/>
      <c r="X46" s="112"/>
      <c r="Y46" s="112"/>
      <c r="Z46" s="112"/>
      <c r="AA46" s="112"/>
      <c r="AB46" s="112"/>
      <c r="AC46" s="112"/>
      <c r="AD46" s="112"/>
      <c r="AE46" s="112"/>
      <c r="AF46" s="112"/>
      <c r="AG46" s="112"/>
      <c r="AH46" s="112"/>
      <c r="AI46" s="112"/>
      <c r="AJ46" s="112"/>
      <c r="AK46" s="112"/>
      <c r="AL46" s="112"/>
      <c r="AP46" s="112"/>
      <c r="AQ46" s="112"/>
      <c r="AR46" s="112"/>
      <c r="AS46" s="112"/>
      <c r="AT46" s="112"/>
      <c r="AU46" s="112"/>
      <c r="AV46" s="112"/>
      <c r="AW46" s="112"/>
      <c r="AX46" s="112"/>
      <c r="AY46" s="112"/>
      <c r="BA46" s="112"/>
      <c r="BB46" s="112"/>
      <c r="BC46" s="112"/>
      <c r="BD46" s="112"/>
      <c r="BE46" s="112"/>
      <c r="BF46" s="112"/>
      <c r="BG46" s="112"/>
      <c r="BH46" s="112"/>
      <c r="BI46" s="112"/>
      <c r="BK46" s="112"/>
      <c r="BL46" s="112"/>
      <c r="BM46" s="112"/>
      <c r="BN46" s="112"/>
    </row>
    <row r="47" spans="17:66" x14ac:dyDescent="0.25">
      <c r="Q47" s="112"/>
      <c r="R47" s="112"/>
      <c r="S47" s="112"/>
      <c r="T47" s="112"/>
      <c r="U47" s="112"/>
      <c r="V47" s="112"/>
      <c r="W47" s="112"/>
      <c r="X47" s="112"/>
      <c r="Y47" s="112"/>
      <c r="Z47" s="112"/>
      <c r="AA47" s="112"/>
      <c r="AB47" s="112"/>
      <c r="AC47" s="112"/>
      <c r="AD47" s="112"/>
      <c r="AE47" s="112"/>
      <c r="AF47" s="112"/>
      <c r="AG47" s="112"/>
      <c r="AH47" s="112"/>
      <c r="AI47" s="112"/>
      <c r="AJ47" s="112"/>
      <c r="AK47" s="112"/>
      <c r="AL47" s="112"/>
      <c r="AP47" s="112"/>
      <c r="AQ47" s="112"/>
      <c r="AR47" s="112"/>
      <c r="AS47" s="112"/>
      <c r="AT47" s="112"/>
      <c r="AU47" s="112"/>
      <c r="AV47" s="112"/>
      <c r="AW47" s="112"/>
      <c r="AX47" s="112"/>
      <c r="AY47" s="112"/>
      <c r="BA47" s="112"/>
      <c r="BB47" s="112"/>
      <c r="BC47" s="112"/>
      <c r="BD47" s="112"/>
      <c r="BE47" s="112"/>
      <c r="BF47" s="112"/>
      <c r="BG47" s="112"/>
      <c r="BH47" s="112"/>
      <c r="BI47" s="112"/>
      <c r="BK47" s="112"/>
      <c r="BL47" s="112"/>
      <c r="BM47" s="112"/>
      <c r="BN47" s="112"/>
    </row>
    <row r="48" spans="17:66" x14ac:dyDescent="0.25">
      <c r="Q48" s="112"/>
      <c r="R48" s="112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  <c r="AC48" s="112"/>
      <c r="AD48" s="112"/>
      <c r="AE48" s="112"/>
      <c r="AF48" s="112"/>
      <c r="AG48" s="112"/>
      <c r="AH48" s="112"/>
      <c r="AI48" s="112"/>
      <c r="AJ48" s="112"/>
      <c r="AK48" s="112"/>
      <c r="AL48" s="112"/>
      <c r="AP48" s="112"/>
      <c r="AQ48" s="112"/>
      <c r="AR48" s="112"/>
      <c r="AS48" s="112"/>
      <c r="AT48" s="112"/>
      <c r="AU48" s="112"/>
      <c r="AV48" s="112"/>
      <c r="AW48" s="112"/>
      <c r="AX48" s="112"/>
      <c r="AY48" s="112"/>
      <c r="BA48" s="112"/>
      <c r="BB48" s="112"/>
      <c r="BC48" s="112"/>
      <c r="BD48" s="112"/>
      <c r="BE48" s="112"/>
      <c r="BF48" s="112"/>
      <c r="BG48" s="112"/>
      <c r="BH48" s="112"/>
      <c r="BI48" s="112"/>
      <c r="BK48" s="112"/>
      <c r="BL48" s="112"/>
      <c r="BM48" s="112"/>
      <c r="BN48" s="112"/>
    </row>
    <row r="49" spans="17:66" x14ac:dyDescent="0.25"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  <c r="AC49" s="112"/>
      <c r="AD49" s="112"/>
      <c r="AE49" s="112"/>
      <c r="AF49" s="112"/>
      <c r="AG49" s="112"/>
      <c r="AH49" s="112"/>
      <c r="AI49" s="112"/>
      <c r="AJ49" s="112"/>
      <c r="AK49" s="112"/>
      <c r="AL49" s="112"/>
      <c r="AP49" s="112"/>
      <c r="AQ49" s="112"/>
      <c r="AR49" s="112"/>
      <c r="AS49" s="112"/>
      <c r="AT49" s="112"/>
      <c r="AU49" s="112"/>
      <c r="AV49" s="112"/>
      <c r="AW49" s="112"/>
      <c r="AX49" s="112"/>
      <c r="AY49" s="112"/>
      <c r="BA49" s="112"/>
      <c r="BB49" s="112"/>
      <c r="BC49" s="112"/>
      <c r="BD49" s="112"/>
      <c r="BE49" s="112"/>
      <c r="BF49" s="112"/>
      <c r="BG49" s="112"/>
      <c r="BH49" s="112"/>
      <c r="BI49" s="112"/>
      <c r="BK49" s="112"/>
      <c r="BL49" s="112"/>
      <c r="BM49" s="112"/>
      <c r="BN49" s="112"/>
    </row>
    <row r="50" spans="17:66" x14ac:dyDescent="0.25"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  <c r="AC50" s="112"/>
      <c r="AD50" s="112"/>
      <c r="AE50" s="112"/>
      <c r="AF50" s="112"/>
      <c r="AG50" s="112"/>
      <c r="AH50" s="112"/>
      <c r="AI50" s="112"/>
      <c r="AJ50" s="112"/>
      <c r="AK50" s="112"/>
      <c r="AL50" s="112"/>
      <c r="AP50" s="112"/>
      <c r="AQ50" s="112"/>
      <c r="AR50" s="112"/>
      <c r="AS50" s="112"/>
      <c r="AT50" s="112"/>
      <c r="AU50" s="112"/>
      <c r="AV50" s="112"/>
      <c r="AW50" s="112"/>
      <c r="AX50" s="112"/>
      <c r="AY50" s="112"/>
      <c r="BA50" s="112"/>
      <c r="BB50" s="112"/>
      <c r="BC50" s="112"/>
      <c r="BD50" s="112"/>
      <c r="BE50" s="112"/>
      <c r="BF50" s="112"/>
      <c r="BG50" s="112"/>
      <c r="BH50" s="112"/>
      <c r="BI50" s="112"/>
      <c r="BK50" s="112"/>
      <c r="BL50" s="112"/>
      <c r="BM50" s="112"/>
      <c r="BN50" s="112"/>
    </row>
    <row r="51" spans="17:66" x14ac:dyDescent="0.25">
      <c r="Q51" s="112"/>
      <c r="R51" s="112"/>
      <c r="S51" s="112"/>
      <c r="T51" s="112"/>
      <c r="U51" s="112"/>
      <c r="V51" s="112"/>
      <c r="W51" s="112"/>
      <c r="X51" s="112"/>
      <c r="Y51" s="112"/>
      <c r="Z51" s="112"/>
      <c r="AA51" s="112"/>
      <c r="AB51" s="112"/>
      <c r="AC51" s="112"/>
      <c r="AD51" s="112"/>
      <c r="AE51" s="112"/>
      <c r="AF51" s="112"/>
      <c r="AG51" s="112"/>
      <c r="AH51" s="112"/>
      <c r="AI51" s="112"/>
      <c r="AJ51" s="112"/>
      <c r="AK51" s="112"/>
      <c r="AL51" s="112"/>
      <c r="AP51" s="112"/>
      <c r="AQ51" s="112"/>
      <c r="AR51" s="112"/>
      <c r="AS51" s="112"/>
      <c r="AT51" s="112"/>
      <c r="AU51" s="112"/>
      <c r="AV51" s="112"/>
      <c r="AW51" s="112"/>
      <c r="AX51" s="112"/>
      <c r="AY51" s="112"/>
      <c r="BA51" s="112"/>
      <c r="BB51" s="112"/>
      <c r="BC51" s="112"/>
      <c r="BD51" s="112"/>
      <c r="BE51" s="112"/>
      <c r="BF51" s="112"/>
      <c r="BG51" s="112"/>
      <c r="BH51" s="112"/>
      <c r="BI51" s="112"/>
      <c r="BK51" s="112"/>
      <c r="BL51" s="112"/>
      <c r="BM51" s="112"/>
      <c r="BN51" s="112"/>
    </row>
    <row r="52" spans="17:66" x14ac:dyDescent="0.25">
      <c r="Q52" s="112"/>
      <c r="R52" s="112"/>
      <c r="S52" s="112"/>
      <c r="T52" s="112"/>
      <c r="U52" s="112"/>
      <c r="V52" s="112"/>
      <c r="W52" s="112"/>
      <c r="X52" s="112"/>
      <c r="Y52" s="112"/>
      <c r="Z52" s="112"/>
      <c r="AA52" s="112"/>
      <c r="AB52" s="112"/>
      <c r="AC52" s="112"/>
      <c r="AD52" s="112"/>
      <c r="AE52" s="112"/>
      <c r="AF52" s="112"/>
      <c r="AG52" s="112"/>
      <c r="AH52" s="112"/>
      <c r="AI52" s="112"/>
      <c r="AJ52" s="112"/>
      <c r="AK52" s="112"/>
      <c r="AL52" s="112"/>
      <c r="AP52" s="112"/>
      <c r="AQ52" s="112"/>
      <c r="AR52" s="112"/>
      <c r="AS52" s="112"/>
      <c r="AT52" s="112"/>
      <c r="AU52" s="112"/>
      <c r="AV52" s="112"/>
      <c r="AW52" s="112"/>
      <c r="AX52" s="112"/>
      <c r="AY52" s="112"/>
      <c r="BA52" s="112"/>
      <c r="BB52" s="112"/>
      <c r="BC52" s="112"/>
      <c r="BD52" s="112"/>
      <c r="BE52" s="112"/>
      <c r="BF52" s="112"/>
      <c r="BG52" s="112"/>
      <c r="BH52" s="112"/>
      <c r="BI52" s="112"/>
      <c r="BK52" s="112"/>
      <c r="BL52" s="112"/>
      <c r="BM52" s="112"/>
      <c r="BN52" s="112"/>
    </row>
    <row r="53" spans="17:66" x14ac:dyDescent="0.25">
      <c r="Q53" s="112"/>
      <c r="R53" s="112"/>
      <c r="S53" s="112"/>
      <c r="T53" s="112"/>
      <c r="U53" s="112"/>
      <c r="V53" s="112"/>
      <c r="W53" s="112"/>
      <c r="X53" s="112"/>
      <c r="Y53" s="112"/>
      <c r="Z53" s="112"/>
      <c r="AA53" s="112"/>
      <c r="AB53" s="112"/>
      <c r="AC53" s="112"/>
      <c r="AD53" s="112"/>
      <c r="AE53" s="112"/>
      <c r="AF53" s="112"/>
      <c r="AG53" s="112"/>
      <c r="AH53" s="112"/>
      <c r="AI53" s="112"/>
      <c r="AJ53" s="112"/>
      <c r="AK53" s="112"/>
      <c r="AL53" s="112"/>
      <c r="AP53" s="112"/>
      <c r="AQ53" s="112"/>
      <c r="AR53" s="112"/>
      <c r="AS53" s="112"/>
      <c r="AT53" s="112"/>
      <c r="AU53" s="112"/>
      <c r="AV53" s="112"/>
      <c r="AW53" s="112"/>
      <c r="AX53" s="112"/>
      <c r="AY53" s="112"/>
      <c r="BA53" s="112"/>
      <c r="BB53" s="112"/>
      <c r="BC53" s="112"/>
      <c r="BD53" s="112"/>
      <c r="BE53" s="112"/>
      <c r="BF53" s="112"/>
      <c r="BG53" s="112"/>
      <c r="BH53" s="112"/>
      <c r="BI53" s="112"/>
      <c r="BK53" s="112"/>
      <c r="BL53" s="112"/>
      <c r="BM53" s="112"/>
      <c r="BN53" s="112"/>
    </row>
    <row r="54" spans="17:66" x14ac:dyDescent="0.25">
      <c r="Q54" s="112"/>
      <c r="R54" s="112"/>
      <c r="S54" s="112"/>
      <c r="T54" s="112"/>
      <c r="U54" s="112"/>
      <c r="V54" s="112"/>
      <c r="W54" s="112"/>
      <c r="X54" s="112"/>
      <c r="Y54" s="112"/>
      <c r="Z54" s="112"/>
      <c r="AA54" s="112"/>
      <c r="AB54" s="112"/>
      <c r="AC54" s="112"/>
      <c r="AD54" s="112"/>
      <c r="AE54" s="112"/>
      <c r="AF54" s="112"/>
      <c r="AG54" s="112"/>
      <c r="AH54" s="112"/>
      <c r="AI54" s="112"/>
      <c r="AJ54" s="112"/>
      <c r="AK54" s="112"/>
      <c r="AL54" s="112"/>
      <c r="AP54" s="112"/>
      <c r="AQ54" s="112"/>
      <c r="AR54" s="112"/>
      <c r="AS54" s="112"/>
      <c r="AT54" s="112"/>
      <c r="AU54" s="112"/>
      <c r="AV54" s="112"/>
      <c r="AW54" s="112"/>
      <c r="AX54" s="112"/>
      <c r="AY54" s="112"/>
      <c r="BA54" s="112"/>
      <c r="BB54" s="112"/>
      <c r="BC54" s="112"/>
      <c r="BD54" s="112"/>
      <c r="BE54" s="112"/>
      <c r="BF54" s="112"/>
      <c r="BG54" s="112"/>
      <c r="BH54" s="112"/>
      <c r="BI54" s="112"/>
      <c r="BK54" s="112"/>
      <c r="BL54" s="112"/>
      <c r="BM54" s="112"/>
      <c r="BN54" s="112"/>
    </row>
    <row r="55" spans="17:66" x14ac:dyDescent="0.25">
      <c r="Q55" s="112"/>
      <c r="R55" s="112"/>
      <c r="S55" s="112"/>
      <c r="T55" s="112"/>
      <c r="U55" s="112"/>
      <c r="V55" s="112"/>
      <c r="W55" s="112"/>
      <c r="X55" s="112"/>
      <c r="Y55" s="112"/>
      <c r="Z55" s="112"/>
      <c r="AA55" s="112"/>
      <c r="AB55" s="112"/>
      <c r="AC55" s="112"/>
      <c r="AD55" s="112"/>
      <c r="AE55" s="112"/>
      <c r="AF55" s="112"/>
      <c r="AG55" s="112"/>
      <c r="AH55" s="112"/>
      <c r="AI55" s="112"/>
      <c r="AJ55" s="112"/>
      <c r="AK55" s="112"/>
      <c r="AL55" s="112"/>
      <c r="AP55" s="112"/>
      <c r="AQ55" s="112"/>
      <c r="AR55" s="112"/>
      <c r="AS55" s="112"/>
      <c r="AT55" s="112"/>
      <c r="AU55" s="112"/>
      <c r="AV55" s="112"/>
      <c r="AW55" s="112"/>
      <c r="AX55" s="112"/>
      <c r="AY55" s="112"/>
      <c r="BA55" s="112"/>
      <c r="BB55" s="112"/>
      <c r="BC55" s="112"/>
      <c r="BD55" s="112"/>
      <c r="BE55" s="112"/>
      <c r="BF55" s="112"/>
      <c r="BG55" s="112"/>
      <c r="BH55" s="112"/>
      <c r="BI55" s="112"/>
      <c r="BK55" s="112"/>
      <c r="BL55" s="112"/>
      <c r="BM55" s="112"/>
      <c r="BN55" s="112"/>
    </row>
    <row r="56" spans="17:66" x14ac:dyDescent="0.25">
      <c r="Q56" s="112"/>
      <c r="R56" s="112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  <c r="AC56" s="112"/>
      <c r="AD56" s="112"/>
      <c r="AE56" s="112"/>
      <c r="AF56" s="112"/>
      <c r="AG56" s="112"/>
      <c r="AH56" s="112"/>
      <c r="AI56" s="112"/>
      <c r="AJ56" s="112"/>
      <c r="AK56" s="112"/>
      <c r="AL56" s="112"/>
      <c r="AP56" s="112"/>
      <c r="AQ56" s="112"/>
      <c r="AR56" s="112"/>
      <c r="AS56" s="112"/>
      <c r="AT56" s="112"/>
      <c r="AU56" s="112"/>
      <c r="AV56" s="112"/>
      <c r="AW56" s="112"/>
      <c r="AX56" s="112"/>
      <c r="AY56" s="112"/>
      <c r="BA56" s="112"/>
      <c r="BB56" s="112"/>
      <c r="BC56" s="112"/>
      <c r="BD56" s="112"/>
      <c r="BE56" s="112"/>
      <c r="BF56" s="112"/>
      <c r="BG56" s="112"/>
      <c r="BH56" s="112"/>
      <c r="BI56" s="112"/>
      <c r="BK56" s="112"/>
      <c r="BL56" s="112"/>
      <c r="BM56" s="112"/>
      <c r="BN56" s="112"/>
    </row>
    <row r="57" spans="17:66" x14ac:dyDescent="0.25">
      <c r="Q57" s="112"/>
      <c r="R57" s="112"/>
      <c r="S57" s="112"/>
      <c r="T57" s="112"/>
      <c r="U57" s="112"/>
      <c r="V57" s="112"/>
      <c r="W57" s="112"/>
      <c r="X57" s="112"/>
      <c r="Y57" s="112"/>
      <c r="Z57" s="112"/>
      <c r="AA57" s="112"/>
      <c r="AB57" s="112"/>
      <c r="AC57" s="112"/>
      <c r="AD57" s="112"/>
      <c r="AE57" s="112"/>
      <c r="AF57" s="112"/>
      <c r="AG57" s="112"/>
      <c r="AH57" s="112"/>
      <c r="AI57" s="112"/>
      <c r="AJ57" s="112"/>
      <c r="AK57" s="112"/>
      <c r="AL57" s="112"/>
      <c r="AP57" s="112"/>
      <c r="AQ57" s="112"/>
      <c r="AR57" s="112"/>
      <c r="AS57" s="112"/>
      <c r="AT57" s="112"/>
      <c r="AU57" s="112"/>
      <c r="AV57" s="112"/>
      <c r="AW57" s="112"/>
      <c r="AX57" s="112"/>
      <c r="AY57" s="112"/>
      <c r="BA57" s="112"/>
      <c r="BB57" s="112"/>
      <c r="BC57" s="112"/>
      <c r="BD57" s="112"/>
      <c r="BE57" s="112"/>
      <c r="BF57" s="112"/>
      <c r="BG57" s="112"/>
      <c r="BH57" s="112"/>
      <c r="BI57" s="112"/>
      <c r="BK57" s="112"/>
      <c r="BL57" s="112"/>
      <c r="BM57" s="112"/>
      <c r="BN57" s="112"/>
    </row>
    <row r="58" spans="17:66" x14ac:dyDescent="0.25">
      <c r="Q58" s="112"/>
      <c r="R58" s="112"/>
      <c r="S58" s="112"/>
      <c r="T58" s="112"/>
      <c r="U58" s="112"/>
      <c r="V58" s="112"/>
      <c r="W58" s="112"/>
      <c r="X58" s="112"/>
      <c r="Y58" s="112"/>
      <c r="Z58" s="112"/>
      <c r="AA58" s="112"/>
      <c r="AB58" s="112"/>
      <c r="AC58" s="112"/>
      <c r="AD58" s="112"/>
      <c r="AE58" s="112"/>
      <c r="AF58" s="112"/>
      <c r="AG58" s="112"/>
      <c r="AH58" s="112"/>
      <c r="AI58" s="112"/>
      <c r="AJ58" s="112"/>
      <c r="AK58" s="112"/>
      <c r="AL58" s="112"/>
      <c r="AP58" s="112"/>
      <c r="AQ58" s="112"/>
      <c r="AR58" s="112"/>
      <c r="AS58" s="112"/>
      <c r="AT58" s="112"/>
      <c r="AU58" s="112"/>
      <c r="AV58" s="112"/>
      <c r="AW58" s="112"/>
      <c r="AX58" s="112"/>
      <c r="AY58" s="112"/>
      <c r="BA58" s="112"/>
      <c r="BB58" s="112"/>
      <c r="BC58" s="112"/>
      <c r="BD58" s="112"/>
      <c r="BE58" s="112"/>
      <c r="BF58" s="112"/>
      <c r="BG58" s="112"/>
      <c r="BH58" s="112"/>
      <c r="BI58" s="112"/>
      <c r="BK58" s="112"/>
      <c r="BL58" s="112"/>
      <c r="BM58" s="112"/>
      <c r="BN58" s="112"/>
    </row>
    <row r="59" spans="17:66" x14ac:dyDescent="0.25">
      <c r="Q59" s="112"/>
      <c r="R59" s="112"/>
      <c r="S59" s="112"/>
      <c r="T59" s="112"/>
      <c r="U59" s="112"/>
      <c r="V59" s="112"/>
      <c r="W59" s="112"/>
      <c r="X59" s="112"/>
      <c r="Y59" s="112"/>
      <c r="Z59" s="112"/>
      <c r="AA59" s="112"/>
      <c r="AB59" s="112"/>
      <c r="AC59" s="112"/>
      <c r="AD59" s="112"/>
      <c r="AE59" s="112"/>
      <c r="AF59" s="112"/>
      <c r="AG59" s="112"/>
      <c r="AH59" s="112"/>
      <c r="AI59" s="112"/>
      <c r="AJ59" s="112"/>
      <c r="AK59" s="112"/>
      <c r="AL59" s="112"/>
      <c r="AP59" s="112"/>
      <c r="AQ59" s="112"/>
      <c r="AR59" s="112"/>
      <c r="AS59" s="112"/>
      <c r="AT59" s="112"/>
      <c r="AU59" s="112"/>
      <c r="AV59" s="112"/>
      <c r="AW59" s="112"/>
      <c r="AX59" s="112"/>
      <c r="AY59" s="112"/>
      <c r="BA59" s="112"/>
      <c r="BB59" s="112"/>
      <c r="BC59" s="112"/>
      <c r="BD59" s="112"/>
      <c r="BE59" s="112"/>
      <c r="BF59" s="112"/>
      <c r="BG59" s="112"/>
      <c r="BH59" s="112"/>
      <c r="BI59" s="112"/>
      <c r="BK59" s="112"/>
      <c r="BL59" s="112"/>
      <c r="BM59" s="112"/>
      <c r="BN59" s="112"/>
    </row>
    <row r="60" spans="17:66" x14ac:dyDescent="0.25">
      <c r="Q60" s="112"/>
      <c r="R60" s="112"/>
      <c r="S60" s="112"/>
      <c r="T60" s="112"/>
      <c r="U60" s="112"/>
      <c r="V60" s="112"/>
      <c r="W60" s="112"/>
      <c r="X60" s="112"/>
      <c r="Y60" s="112"/>
      <c r="Z60" s="112"/>
      <c r="AA60" s="112"/>
      <c r="AB60" s="112"/>
      <c r="AC60" s="112"/>
      <c r="AD60" s="112"/>
      <c r="AE60" s="112"/>
      <c r="AF60" s="112"/>
      <c r="AG60" s="112"/>
      <c r="AH60" s="112"/>
      <c r="AI60" s="112"/>
      <c r="AJ60" s="112"/>
      <c r="AK60" s="112"/>
      <c r="AL60" s="112"/>
      <c r="AP60" s="112"/>
      <c r="AQ60" s="112"/>
      <c r="AR60" s="112"/>
      <c r="AS60" s="112"/>
      <c r="AT60" s="112"/>
      <c r="AU60" s="112"/>
      <c r="AV60" s="112"/>
      <c r="AW60" s="112"/>
      <c r="AX60" s="112"/>
      <c r="AY60" s="112"/>
      <c r="BA60" s="112"/>
      <c r="BB60" s="112"/>
      <c r="BC60" s="112"/>
      <c r="BD60" s="112"/>
      <c r="BE60" s="112"/>
      <c r="BF60" s="112"/>
      <c r="BG60" s="112"/>
      <c r="BH60" s="112"/>
      <c r="BI60" s="112"/>
      <c r="BK60" s="112"/>
      <c r="BL60" s="112"/>
      <c r="BM60" s="112"/>
      <c r="BN60" s="112"/>
    </row>
    <row r="61" spans="17:66" x14ac:dyDescent="0.25">
      <c r="Q61" s="112"/>
      <c r="R61" s="112"/>
      <c r="S61" s="112"/>
      <c r="T61" s="112"/>
      <c r="U61" s="112"/>
      <c r="V61" s="112"/>
      <c r="W61" s="112"/>
      <c r="X61" s="112"/>
      <c r="Y61" s="112"/>
      <c r="Z61" s="112"/>
      <c r="AA61" s="112"/>
      <c r="AB61" s="112"/>
      <c r="AC61" s="112"/>
      <c r="AD61" s="112"/>
      <c r="AE61" s="112"/>
      <c r="AF61" s="112"/>
      <c r="AG61" s="112"/>
      <c r="AH61" s="112"/>
      <c r="AI61" s="112"/>
      <c r="AJ61" s="112"/>
      <c r="AK61" s="112"/>
      <c r="AL61" s="112"/>
      <c r="AP61" s="112"/>
      <c r="AQ61" s="112"/>
      <c r="AR61" s="112"/>
      <c r="AS61" s="112"/>
      <c r="AT61" s="112"/>
      <c r="AU61" s="112"/>
      <c r="AV61" s="112"/>
      <c r="AW61" s="112"/>
      <c r="AX61" s="112"/>
      <c r="AY61" s="112"/>
      <c r="BA61" s="112"/>
      <c r="BB61" s="112"/>
      <c r="BC61" s="112"/>
      <c r="BD61" s="112"/>
      <c r="BE61" s="112"/>
      <c r="BF61" s="112"/>
      <c r="BG61" s="112"/>
      <c r="BH61" s="112"/>
      <c r="BI61" s="112"/>
      <c r="BK61" s="112"/>
      <c r="BL61" s="112"/>
      <c r="BM61" s="112"/>
      <c r="BN61" s="112"/>
    </row>
    <row r="62" spans="17:66" x14ac:dyDescent="0.25">
      <c r="Q62" s="112"/>
      <c r="R62" s="112"/>
      <c r="S62" s="112"/>
      <c r="T62" s="112"/>
      <c r="U62" s="112"/>
      <c r="V62" s="112"/>
      <c r="W62" s="112"/>
      <c r="X62" s="112"/>
      <c r="Y62" s="112"/>
      <c r="Z62" s="112"/>
      <c r="AA62" s="112"/>
      <c r="AB62" s="112"/>
      <c r="AC62" s="112"/>
      <c r="AD62" s="112"/>
      <c r="AE62" s="112"/>
      <c r="AF62" s="112"/>
      <c r="AG62" s="112"/>
      <c r="AH62" s="112"/>
      <c r="AI62" s="112"/>
      <c r="AJ62" s="112"/>
      <c r="AK62" s="112"/>
      <c r="AL62" s="112"/>
      <c r="AP62" s="112"/>
      <c r="AQ62" s="112"/>
      <c r="AR62" s="112"/>
      <c r="AS62" s="112"/>
      <c r="AT62" s="112"/>
      <c r="AU62" s="112"/>
      <c r="AV62" s="112"/>
      <c r="AW62" s="112"/>
      <c r="AX62" s="112"/>
      <c r="AY62" s="112"/>
      <c r="BA62" s="112"/>
      <c r="BB62" s="112"/>
      <c r="BC62" s="112"/>
      <c r="BD62" s="112"/>
      <c r="BE62" s="112"/>
      <c r="BF62" s="112"/>
      <c r="BG62" s="112"/>
      <c r="BH62" s="112"/>
      <c r="BI62" s="112"/>
      <c r="BK62" s="112"/>
      <c r="BL62" s="112"/>
      <c r="BM62" s="112"/>
      <c r="BN62" s="112"/>
    </row>
    <row r="63" spans="17:66" x14ac:dyDescent="0.25">
      <c r="Q63" s="112"/>
      <c r="R63" s="112"/>
      <c r="S63" s="112"/>
      <c r="T63" s="112"/>
      <c r="U63" s="112"/>
      <c r="V63" s="112"/>
      <c r="W63" s="112"/>
      <c r="X63" s="112"/>
      <c r="Y63" s="112"/>
      <c r="Z63" s="112"/>
      <c r="AA63" s="112"/>
      <c r="AB63" s="112"/>
      <c r="AC63" s="112"/>
      <c r="AD63" s="112"/>
      <c r="AE63" s="112"/>
      <c r="AF63" s="112"/>
      <c r="AG63" s="112"/>
      <c r="AH63" s="112"/>
      <c r="AI63" s="112"/>
      <c r="AJ63" s="112"/>
      <c r="AK63" s="112"/>
      <c r="AL63" s="112"/>
      <c r="AP63" s="112"/>
      <c r="AQ63" s="112"/>
      <c r="AR63" s="112"/>
      <c r="AS63" s="112"/>
      <c r="AT63" s="112"/>
      <c r="AU63" s="112"/>
      <c r="AV63" s="112"/>
      <c r="AW63" s="112"/>
      <c r="AX63" s="112"/>
      <c r="AY63" s="112"/>
      <c r="BA63" s="112"/>
      <c r="BB63" s="112"/>
      <c r="BC63" s="112"/>
      <c r="BD63" s="112"/>
      <c r="BE63" s="112"/>
      <c r="BF63" s="112"/>
      <c r="BG63" s="112"/>
      <c r="BH63" s="112"/>
      <c r="BI63" s="112"/>
      <c r="BK63" s="112"/>
      <c r="BL63" s="112"/>
      <c r="BM63" s="112"/>
      <c r="BN63" s="112"/>
    </row>
    <row r="64" spans="17:66" x14ac:dyDescent="0.25">
      <c r="Q64" s="112"/>
      <c r="R64" s="112"/>
      <c r="S64" s="112"/>
      <c r="T64" s="112"/>
      <c r="U64" s="112"/>
      <c r="V64" s="112"/>
      <c r="W64" s="112"/>
      <c r="X64" s="112"/>
      <c r="Y64" s="112"/>
      <c r="Z64" s="112"/>
      <c r="AA64" s="112"/>
      <c r="AB64" s="112"/>
      <c r="AC64" s="112"/>
      <c r="AD64" s="112"/>
      <c r="AE64" s="112"/>
      <c r="AF64" s="112"/>
      <c r="AG64" s="112"/>
      <c r="AH64" s="112"/>
      <c r="AI64" s="112"/>
      <c r="AJ64" s="112"/>
      <c r="AK64" s="112"/>
      <c r="AL64" s="112"/>
      <c r="AP64" s="112"/>
      <c r="AQ64" s="112"/>
      <c r="AR64" s="112"/>
      <c r="AS64" s="112"/>
      <c r="AT64" s="112"/>
      <c r="AU64" s="112"/>
      <c r="AV64" s="112"/>
      <c r="AW64" s="112"/>
      <c r="AX64" s="112"/>
      <c r="AY64" s="112"/>
      <c r="BA64" s="112"/>
      <c r="BB64" s="112"/>
      <c r="BC64" s="112"/>
      <c r="BD64" s="112"/>
      <c r="BE64" s="112"/>
      <c r="BF64" s="112"/>
      <c r="BG64" s="112"/>
      <c r="BH64" s="112"/>
      <c r="BI64" s="112"/>
      <c r="BK64" s="112"/>
      <c r="BL64" s="112"/>
      <c r="BM64" s="112"/>
      <c r="BN64" s="112"/>
    </row>
    <row r="65" spans="17:66" x14ac:dyDescent="0.25">
      <c r="Q65" s="112"/>
      <c r="R65" s="112"/>
      <c r="S65" s="112"/>
      <c r="T65" s="112"/>
      <c r="U65" s="112"/>
      <c r="V65" s="112"/>
      <c r="W65" s="112"/>
      <c r="X65" s="112"/>
      <c r="Y65" s="112"/>
      <c r="Z65" s="112"/>
      <c r="AA65" s="112"/>
      <c r="AB65" s="112"/>
      <c r="AC65" s="112"/>
      <c r="AD65" s="112"/>
      <c r="AE65" s="112"/>
      <c r="AF65" s="112"/>
      <c r="AG65" s="112"/>
      <c r="AH65" s="112"/>
      <c r="AI65" s="112"/>
      <c r="AJ65" s="112"/>
      <c r="AK65" s="112"/>
      <c r="AL65" s="112"/>
      <c r="AP65" s="112"/>
      <c r="AQ65" s="112"/>
      <c r="AR65" s="112"/>
      <c r="AS65" s="112"/>
      <c r="AT65" s="112"/>
      <c r="AU65" s="112"/>
      <c r="AV65" s="112"/>
      <c r="AW65" s="112"/>
      <c r="AX65" s="112"/>
      <c r="AY65" s="112"/>
      <c r="BA65" s="112"/>
      <c r="BB65" s="112"/>
      <c r="BC65" s="112"/>
      <c r="BD65" s="112"/>
      <c r="BE65" s="112"/>
      <c r="BF65" s="112"/>
      <c r="BG65" s="112"/>
      <c r="BH65" s="112"/>
      <c r="BI65" s="112"/>
      <c r="BK65" s="112"/>
      <c r="BL65" s="112"/>
      <c r="BM65" s="112"/>
      <c r="BN65" s="112"/>
    </row>
    <row r="66" spans="17:66" x14ac:dyDescent="0.25">
      <c r="Q66" s="112"/>
      <c r="R66" s="112"/>
      <c r="S66" s="112"/>
      <c r="T66" s="112"/>
      <c r="U66" s="112"/>
      <c r="V66" s="112"/>
      <c r="W66" s="112"/>
      <c r="X66" s="112"/>
      <c r="Y66" s="112"/>
      <c r="Z66" s="112"/>
      <c r="AA66" s="112"/>
      <c r="AB66" s="112"/>
      <c r="AC66" s="112"/>
      <c r="AD66" s="112"/>
      <c r="AE66" s="112"/>
      <c r="AF66" s="112"/>
      <c r="AG66" s="112"/>
      <c r="AH66" s="112"/>
      <c r="AI66" s="112"/>
      <c r="AJ66" s="112"/>
      <c r="AK66" s="112"/>
      <c r="AL66" s="112"/>
      <c r="AP66" s="112"/>
      <c r="AQ66" s="112"/>
      <c r="AR66" s="112"/>
      <c r="AS66" s="112"/>
      <c r="AT66" s="112"/>
      <c r="AU66" s="112"/>
      <c r="AV66" s="112"/>
      <c r="AW66" s="112"/>
      <c r="AX66" s="112"/>
      <c r="AY66" s="112"/>
      <c r="BA66" s="112"/>
      <c r="BB66" s="112"/>
      <c r="BC66" s="112"/>
      <c r="BD66" s="112"/>
      <c r="BE66" s="112"/>
      <c r="BF66" s="112"/>
      <c r="BG66" s="112"/>
      <c r="BH66" s="112"/>
      <c r="BI66" s="112"/>
      <c r="BK66" s="112"/>
      <c r="BL66" s="112"/>
      <c r="BM66" s="112"/>
      <c r="BN66" s="112"/>
    </row>
    <row r="67" spans="17:66" x14ac:dyDescent="0.25">
      <c r="Q67" s="112"/>
      <c r="R67" s="112"/>
      <c r="S67" s="112"/>
      <c r="T67" s="112"/>
      <c r="U67" s="112"/>
      <c r="V67" s="112"/>
      <c r="W67" s="112"/>
      <c r="X67" s="112"/>
      <c r="Y67" s="112"/>
      <c r="Z67" s="112"/>
      <c r="AA67" s="112"/>
      <c r="AB67" s="112"/>
      <c r="AC67" s="112"/>
      <c r="AD67" s="112"/>
      <c r="AE67" s="112"/>
      <c r="AF67" s="112"/>
      <c r="AG67" s="112"/>
      <c r="AH67" s="112"/>
      <c r="AI67" s="112"/>
      <c r="AJ67" s="112"/>
      <c r="AK67" s="112"/>
      <c r="AL67" s="112"/>
      <c r="AP67" s="112"/>
      <c r="AQ67" s="112"/>
      <c r="AR67" s="112"/>
      <c r="AS67" s="112"/>
      <c r="AT67" s="112"/>
      <c r="AU67" s="112"/>
      <c r="AV67" s="112"/>
      <c r="AW67" s="112"/>
      <c r="AX67" s="112"/>
      <c r="AY67" s="112"/>
      <c r="BA67" s="112"/>
      <c r="BB67" s="112"/>
      <c r="BC67" s="112"/>
      <c r="BD67" s="112"/>
      <c r="BE67" s="112"/>
      <c r="BF67" s="112"/>
      <c r="BG67" s="112"/>
      <c r="BH67" s="112"/>
      <c r="BI67" s="112"/>
      <c r="BK67" s="112"/>
      <c r="BL67" s="112"/>
      <c r="BM67" s="112"/>
      <c r="BN67" s="112"/>
    </row>
    <row r="68" spans="17:66" x14ac:dyDescent="0.25">
      <c r="Q68" s="112"/>
      <c r="R68" s="112"/>
      <c r="S68" s="112"/>
      <c r="T68" s="112"/>
      <c r="U68" s="112"/>
      <c r="V68" s="112"/>
      <c r="W68" s="112"/>
      <c r="X68" s="112"/>
      <c r="Y68" s="112"/>
      <c r="Z68" s="112"/>
      <c r="AA68" s="112"/>
      <c r="AB68" s="112"/>
      <c r="AC68" s="112"/>
      <c r="AD68" s="112"/>
      <c r="AE68" s="112"/>
      <c r="AF68" s="112"/>
      <c r="AG68" s="112"/>
      <c r="AH68" s="112"/>
      <c r="AI68" s="112"/>
      <c r="AJ68" s="112"/>
      <c r="AK68" s="112"/>
      <c r="AL68" s="112"/>
      <c r="AP68" s="112"/>
      <c r="AQ68" s="112"/>
      <c r="AR68" s="112"/>
      <c r="AS68" s="112"/>
      <c r="AT68" s="112"/>
      <c r="AU68" s="112"/>
      <c r="AV68" s="112"/>
      <c r="AW68" s="112"/>
      <c r="AX68" s="112"/>
      <c r="AY68" s="112"/>
      <c r="BA68" s="112"/>
      <c r="BB68" s="112"/>
      <c r="BC68" s="112"/>
      <c r="BD68" s="112"/>
      <c r="BE68" s="112"/>
      <c r="BF68" s="112"/>
      <c r="BG68" s="112"/>
      <c r="BH68" s="112"/>
      <c r="BI68" s="112"/>
      <c r="BK68" s="112"/>
      <c r="BL68" s="112"/>
      <c r="BM68" s="112"/>
      <c r="BN68" s="112"/>
    </row>
    <row r="69" spans="17:66" x14ac:dyDescent="0.25">
      <c r="Q69" s="112"/>
      <c r="R69" s="112"/>
      <c r="S69" s="112"/>
      <c r="T69" s="112"/>
      <c r="U69" s="112"/>
      <c r="V69" s="112"/>
      <c r="W69" s="112"/>
      <c r="X69" s="112"/>
      <c r="Y69" s="112"/>
      <c r="Z69" s="112"/>
      <c r="AA69" s="112"/>
      <c r="AB69" s="112"/>
      <c r="AC69" s="112"/>
      <c r="AD69" s="112"/>
      <c r="AE69" s="112"/>
      <c r="AF69" s="112"/>
      <c r="AG69" s="112"/>
      <c r="AH69" s="112"/>
      <c r="AI69" s="112"/>
      <c r="AJ69" s="112"/>
      <c r="AK69" s="112"/>
      <c r="AL69" s="112"/>
      <c r="AP69" s="112"/>
      <c r="AQ69" s="112"/>
      <c r="AR69" s="112"/>
      <c r="AS69" s="112"/>
      <c r="AT69" s="112"/>
      <c r="AU69" s="112"/>
      <c r="AV69" s="112"/>
      <c r="AW69" s="112"/>
      <c r="AX69" s="112"/>
      <c r="AY69" s="112"/>
      <c r="BA69" s="112"/>
      <c r="BB69" s="112"/>
      <c r="BC69" s="112"/>
      <c r="BD69" s="112"/>
      <c r="BE69" s="112"/>
      <c r="BF69" s="112"/>
      <c r="BG69" s="112"/>
      <c r="BH69" s="112"/>
      <c r="BI69" s="112"/>
      <c r="BK69" s="112"/>
      <c r="BL69" s="112"/>
      <c r="BM69" s="112"/>
      <c r="BN69" s="112"/>
    </row>
    <row r="70" spans="17:66" x14ac:dyDescent="0.25">
      <c r="Q70" s="112"/>
      <c r="R70" s="112"/>
      <c r="S70" s="112"/>
      <c r="T70" s="112"/>
      <c r="U70" s="112"/>
      <c r="V70" s="112"/>
      <c r="W70" s="112"/>
      <c r="X70" s="112"/>
      <c r="Y70" s="112"/>
      <c r="Z70" s="112"/>
      <c r="AA70" s="112"/>
      <c r="AB70" s="112"/>
      <c r="AC70" s="112"/>
      <c r="AD70" s="112"/>
      <c r="AE70" s="112"/>
      <c r="AF70" s="112"/>
      <c r="AG70" s="112"/>
      <c r="AH70" s="112"/>
      <c r="AI70" s="112"/>
      <c r="AJ70" s="112"/>
      <c r="AK70" s="112"/>
      <c r="AL70" s="112"/>
      <c r="AP70" s="112"/>
      <c r="AQ70" s="112"/>
      <c r="AR70" s="112"/>
      <c r="AS70" s="112"/>
      <c r="AT70" s="112"/>
      <c r="AU70" s="112"/>
      <c r="AV70" s="112"/>
      <c r="AW70" s="112"/>
      <c r="AX70" s="112"/>
      <c r="AY70" s="112"/>
      <c r="BA70" s="112"/>
      <c r="BB70" s="112"/>
      <c r="BC70" s="112"/>
      <c r="BD70" s="112"/>
      <c r="BE70" s="112"/>
      <c r="BF70" s="112"/>
      <c r="BG70" s="112"/>
      <c r="BH70" s="112"/>
      <c r="BI70" s="112"/>
      <c r="BK70" s="112"/>
      <c r="BL70" s="112"/>
      <c r="BM70" s="112"/>
      <c r="BN70" s="112"/>
    </row>
    <row r="71" spans="17:66" x14ac:dyDescent="0.25">
      <c r="Q71" s="112"/>
      <c r="R71" s="112"/>
      <c r="S71" s="112"/>
      <c r="T71" s="112"/>
      <c r="U71" s="112"/>
      <c r="V71" s="112"/>
      <c r="W71" s="112"/>
      <c r="X71" s="112"/>
      <c r="Y71" s="112"/>
      <c r="Z71" s="112"/>
      <c r="AA71" s="112"/>
      <c r="AB71" s="112"/>
      <c r="AC71" s="112"/>
      <c r="AD71" s="112"/>
      <c r="AE71" s="112"/>
      <c r="AF71" s="112"/>
      <c r="AG71" s="112"/>
      <c r="AH71" s="112"/>
      <c r="AI71" s="112"/>
      <c r="AJ71" s="112"/>
      <c r="AK71" s="112"/>
      <c r="AL71" s="112"/>
      <c r="AP71" s="112"/>
      <c r="AQ71" s="112"/>
      <c r="AR71" s="112"/>
      <c r="AS71" s="112"/>
      <c r="AT71" s="112"/>
      <c r="AU71" s="112"/>
      <c r="AV71" s="112"/>
      <c r="AW71" s="112"/>
      <c r="AX71" s="112"/>
      <c r="AY71" s="112"/>
      <c r="BA71" s="112"/>
      <c r="BB71" s="112"/>
      <c r="BC71" s="112"/>
      <c r="BD71" s="112"/>
      <c r="BE71" s="112"/>
      <c r="BF71" s="112"/>
      <c r="BG71" s="112"/>
      <c r="BH71" s="112"/>
      <c r="BI71" s="112"/>
      <c r="BK71" s="112"/>
      <c r="BL71" s="112"/>
      <c r="BM71" s="112"/>
      <c r="BN71" s="112"/>
    </row>
    <row r="72" spans="17:66" x14ac:dyDescent="0.25">
      <c r="Q72" s="112"/>
      <c r="R72" s="112"/>
      <c r="S72" s="112"/>
      <c r="T72" s="112"/>
      <c r="U72" s="112"/>
      <c r="V72" s="112"/>
      <c r="W72" s="112"/>
      <c r="X72" s="112"/>
      <c r="Y72" s="112"/>
      <c r="Z72" s="112"/>
      <c r="AA72" s="112"/>
      <c r="AB72" s="112"/>
      <c r="AC72" s="112"/>
      <c r="AD72" s="112"/>
      <c r="AE72" s="112"/>
      <c r="AF72" s="112"/>
      <c r="AG72" s="112"/>
      <c r="AH72" s="112"/>
      <c r="AI72" s="112"/>
      <c r="AJ72" s="112"/>
      <c r="AK72" s="112"/>
      <c r="AL72" s="112"/>
      <c r="AP72" s="112"/>
      <c r="AQ72" s="112"/>
      <c r="AR72" s="112"/>
      <c r="AS72" s="112"/>
      <c r="AT72" s="112"/>
      <c r="AU72" s="112"/>
      <c r="AV72" s="112"/>
      <c r="AW72" s="112"/>
      <c r="AX72" s="112"/>
      <c r="AY72" s="112"/>
      <c r="BA72" s="112"/>
      <c r="BB72" s="112"/>
      <c r="BC72" s="112"/>
      <c r="BD72" s="112"/>
      <c r="BE72" s="112"/>
      <c r="BF72" s="112"/>
      <c r="BG72" s="112"/>
      <c r="BH72" s="112"/>
      <c r="BI72" s="112"/>
      <c r="BK72" s="112"/>
      <c r="BL72" s="112"/>
      <c r="BM72" s="112"/>
      <c r="BN72" s="112"/>
    </row>
    <row r="73" spans="17:66" x14ac:dyDescent="0.25">
      <c r="Q73" s="112"/>
      <c r="R73" s="112"/>
      <c r="S73" s="112"/>
      <c r="T73" s="112"/>
      <c r="U73" s="112"/>
      <c r="V73" s="112"/>
      <c r="W73" s="112"/>
      <c r="X73" s="112"/>
      <c r="Y73" s="112"/>
      <c r="Z73" s="112"/>
      <c r="AA73" s="112"/>
      <c r="AB73" s="112"/>
      <c r="AC73" s="112"/>
      <c r="AD73" s="112"/>
      <c r="AE73" s="112"/>
      <c r="AF73" s="112"/>
      <c r="AG73" s="112"/>
      <c r="AH73" s="112"/>
      <c r="AI73" s="112"/>
      <c r="AJ73" s="112"/>
      <c r="AK73" s="112"/>
      <c r="AL73" s="112"/>
      <c r="AP73" s="112"/>
      <c r="AQ73" s="112"/>
      <c r="AR73" s="112"/>
      <c r="AS73" s="112"/>
      <c r="AT73" s="112"/>
      <c r="AU73" s="112"/>
      <c r="AV73" s="112"/>
      <c r="AW73" s="112"/>
      <c r="AX73" s="112"/>
      <c r="AY73" s="112"/>
      <c r="BA73" s="112"/>
      <c r="BB73" s="112"/>
      <c r="BC73" s="112"/>
      <c r="BD73" s="112"/>
      <c r="BE73" s="112"/>
      <c r="BF73" s="112"/>
      <c r="BG73" s="112"/>
      <c r="BH73" s="112"/>
      <c r="BI73" s="112"/>
      <c r="BK73" s="112"/>
      <c r="BL73" s="112"/>
      <c r="BM73" s="112"/>
      <c r="BN73" s="112"/>
    </row>
    <row r="74" spans="17:66" x14ac:dyDescent="0.25">
      <c r="Q74" s="112"/>
      <c r="R74" s="112"/>
      <c r="S74" s="112"/>
      <c r="T74" s="112"/>
      <c r="U74" s="112"/>
      <c r="V74" s="112"/>
      <c r="W74" s="112"/>
      <c r="X74" s="112"/>
      <c r="Y74" s="112"/>
      <c r="Z74" s="112"/>
      <c r="AA74" s="112"/>
      <c r="AB74" s="112"/>
      <c r="AC74" s="112"/>
      <c r="AD74" s="112"/>
      <c r="AE74" s="112"/>
      <c r="AF74" s="112"/>
      <c r="AG74" s="112"/>
      <c r="AH74" s="112"/>
      <c r="AI74" s="112"/>
      <c r="AJ74" s="112"/>
      <c r="AK74" s="112"/>
      <c r="AL74" s="112"/>
      <c r="AP74" s="112"/>
      <c r="AQ74" s="112"/>
      <c r="AR74" s="112"/>
      <c r="AS74" s="112"/>
      <c r="AT74" s="112"/>
      <c r="AU74" s="112"/>
      <c r="AV74" s="112"/>
      <c r="AW74" s="112"/>
      <c r="AX74" s="112"/>
      <c r="AY74" s="112"/>
      <c r="BA74" s="112"/>
      <c r="BB74" s="112"/>
      <c r="BC74" s="112"/>
      <c r="BD74" s="112"/>
      <c r="BE74" s="112"/>
      <c r="BF74" s="112"/>
      <c r="BG74" s="112"/>
      <c r="BH74" s="112"/>
      <c r="BI74" s="112"/>
      <c r="BK74" s="112"/>
      <c r="BL74" s="112"/>
      <c r="BM74" s="112"/>
      <c r="BN74" s="112"/>
    </row>
    <row r="75" spans="17:66" x14ac:dyDescent="0.25">
      <c r="Q75" s="112"/>
      <c r="R75" s="112"/>
      <c r="S75" s="112"/>
      <c r="T75" s="112"/>
      <c r="U75" s="112"/>
      <c r="V75" s="112"/>
      <c r="W75" s="112"/>
      <c r="X75" s="112"/>
      <c r="Y75" s="112"/>
      <c r="Z75" s="112"/>
      <c r="AA75" s="112"/>
      <c r="AB75" s="112"/>
      <c r="AC75" s="112"/>
      <c r="AD75" s="112"/>
      <c r="AE75" s="112"/>
      <c r="AF75" s="112"/>
      <c r="AG75" s="112"/>
      <c r="AH75" s="112"/>
      <c r="AI75" s="112"/>
      <c r="AJ75" s="112"/>
      <c r="AK75" s="112"/>
      <c r="AL75" s="112"/>
      <c r="AP75" s="112"/>
      <c r="AQ75" s="112"/>
      <c r="AR75" s="112"/>
      <c r="AS75" s="112"/>
      <c r="AT75" s="112"/>
      <c r="AU75" s="112"/>
      <c r="AV75" s="112"/>
      <c r="AW75" s="112"/>
      <c r="AX75" s="112"/>
      <c r="AY75" s="112"/>
      <c r="BA75" s="112"/>
      <c r="BB75" s="112"/>
      <c r="BC75" s="112"/>
      <c r="BD75" s="112"/>
      <c r="BE75" s="112"/>
      <c r="BF75" s="112"/>
      <c r="BG75" s="112"/>
      <c r="BH75" s="112"/>
      <c r="BI75" s="112"/>
      <c r="BK75" s="112"/>
      <c r="BL75" s="112"/>
      <c r="BM75" s="112"/>
      <c r="BN75" s="112"/>
    </row>
    <row r="76" spans="17:66" x14ac:dyDescent="0.25">
      <c r="Q76" s="112"/>
      <c r="R76" s="112"/>
      <c r="S76" s="112"/>
      <c r="T76" s="112"/>
      <c r="U76" s="112"/>
      <c r="V76" s="112"/>
      <c r="W76" s="112"/>
      <c r="X76" s="112"/>
      <c r="Y76" s="112"/>
      <c r="Z76" s="112"/>
      <c r="AA76" s="112"/>
      <c r="AB76" s="112"/>
      <c r="AC76" s="112"/>
      <c r="AD76" s="112"/>
      <c r="AE76" s="112"/>
      <c r="AF76" s="112"/>
      <c r="AG76" s="112"/>
      <c r="AH76" s="112"/>
      <c r="AI76" s="112"/>
      <c r="AJ76" s="112"/>
      <c r="AK76" s="112"/>
      <c r="AL76" s="112"/>
      <c r="AP76" s="112"/>
      <c r="AQ76" s="112"/>
      <c r="AR76" s="112"/>
      <c r="AS76" s="112"/>
      <c r="AT76" s="112"/>
      <c r="AU76" s="112"/>
      <c r="AV76" s="112"/>
      <c r="AW76" s="112"/>
      <c r="AX76" s="112"/>
      <c r="AY76" s="112"/>
      <c r="BA76" s="112"/>
      <c r="BB76" s="112"/>
      <c r="BC76" s="112"/>
      <c r="BD76" s="112"/>
      <c r="BE76" s="112"/>
      <c r="BF76" s="112"/>
      <c r="BG76" s="112"/>
      <c r="BH76" s="112"/>
      <c r="BI76" s="112"/>
      <c r="BK76" s="112"/>
      <c r="BL76" s="112"/>
      <c r="BM76" s="112"/>
      <c r="BN76" s="112"/>
    </row>
    <row r="77" spans="17:66" x14ac:dyDescent="0.25">
      <c r="Q77" s="112"/>
      <c r="R77" s="112"/>
      <c r="S77" s="112"/>
      <c r="T77" s="112"/>
      <c r="U77" s="112"/>
      <c r="V77" s="112"/>
      <c r="W77" s="112"/>
      <c r="X77" s="112"/>
      <c r="Y77" s="112"/>
      <c r="Z77" s="112"/>
      <c r="AA77" s="112"/>
      <c r="AB77" s="112"/>
      <c r="AC77" s="112"/>
      <c r="AD77" s="112"/>
      <c r="AE77" s="112"/>
      <c r="AF77" s="112"/>
      <c r="AG77" s="112"/>
      <c r="AH77" s="112"/>
      <c r="AI77" s="112"/>
      <c r="AJ77" s="112"/>
      <c r="AK77" s="112"/>
      <c r="AL77" s="112"/>
      <c r="AP77" s="112"/>
      <c r="AQ77" s="112"/>
      <c r="AR77" s="112"/>
      <c r="AS77" s="112"/>
      <c r="AT77" s="112"/>
      <c r="AU77" s="112"/>
      <c r="AV77" s="112"/>
      <c r="AW77" s="112"/>
      <c r="AX77" s="112"/>
      <c r="AY77" s="112"/>
      <c r="BA77" s="112"/>
      <c r="BB77" s="112"/>
      <c r="BC77" s="112"/>
      <c r="BD77" s="112"/>
      <c r="BE77" s="112"/>
      <c r="BF77" s="112"/>
      <c r="BG77" s="112"/>
      <c r="BH77" s="112"/>
      <c r="BI77" s="112"/>
      <c r="BK77" s="112"/>
      <c r="BL77" s="112"/>
      <c r="BM77" s="112"/>
      <c r="BN77" s="112"/>
    </row>
    <row r="78" spans="17:66" x14ac:dyDescent="0.25">
      <c r="Q78" s="112"/>
      <c r="R78" s="112"/>
      <c r="S78" s="112"/>
      <c r="T78" s="112"/>
      <c r="U78" s="112"/>
      <c r="V78" s="112"/>
      <c r="W78" s="112"/>
      <c r="X78" s="112"/>
      <c r="Y78" s="112"/>
      <c r="Z78" s="112"/>
      <c r="AA78" s="112"/>
      <c r="AB78" s="112"/>
      <c r="AC78" s="112"/>
      <c r="AD78" s="112"/>
      <c r="AE78" s="112"/>
      <c r="AF78" s="112"/>
      <c r="AG78" s="112"/>
      <c r="AH78" s="112"/>
      <c r="AI78" s="112"/>
      <c r="AJ78" s="112"/>
      <c r="AK78" s="112"/>
      <c r="AL78" s="112"/>
      <c r="AP78" s="112"/>
      <c r="AQ78" s="112"/>
      <c r="AR78" s="112"/>
      <c r="AS78" s="112"/>
      <c r="AT78" s="112"/>
      <c r="AU78" s="112"/>
      <c r="AV78" s="112"/>
      <c r="AW78" s="112"/>
      <c r="AX78" s="112"/>
      <c r="AY78" s="112"/>
      <c r="BA78" s="112"/>
      <c r="BB78" s="112"/>
      <c r="BC78" s="112"/>
      <c r="BD78" s="112"/>
      <c r="BE78" s="112"/>
      <c r="BF78" s="112"/>
      <c r="BG78" s="112"/>
      <c r="BH78" s="112"/>
      <c r="BI78" s="112"/>
      <c r="BK78" s="112"/>
      <c r="BL78" s="112"/>
      <c r="BM78" s="112"/>
      <c r="BN78" s="112"/>
    </row>
    <row r="79" spans="17:66" x14ac:dyDescent="0.25">
      <c r="Q79" s="112"/>
      <c r="R79" s="112"/>
      <c r="S79" s="112"/>
      <c r="T79" s="112"/>
      <c r="U79" s="112"/>
      <c r="V79" s="112"/>
      <c r="W79" s="112"/>
      <c r="X79" s="112"/>
      <c r="Y79" s="112"/>
      <c r="Z79" s="112"/>
      <c r="AA79" s="112"/>
      <c r="AB79" s="112"/>
      <c r="AC79" s="112"/>
      <c r="AD79" s="112"/>
      <c r="AE79" s="112"/>
      <c r="AF79" s="112"/>
      <c r="AG79" s="112"/>
      <c r="AH79" s="112"/>
      <c r="AI79" s="112"/>
      <c r="AJ79" s="112"/>
      <c r="AK79" s="112"/>
      <c r="AL79" s="112"/>
      <c r="AP79" s="112"/>
      <c r="AQ79" s="112"/>
      <c r="AR79" s="112"/>
      <c r="AS79" s="112"/>
      <c r="AT79" s="112"/>
      <c r="AU79" s="112"/>
      <c r="AV79" s="112"/>
      <c r="AW79" s="112"/>
      <c r="AX79" s="112"/>
      <c r="AY79" s="112"/>
      <c r="BA79" s="112"/>
      <c r="BB79" s="112"/>
      <c r="BC79" s="112"/>
      <c r="BD79" s="112"/>
      <c r="BE79" s="112"/>
      <c r="BF79" s="112"/>
      <c r="BG79" s="112"/>
      <c r="BH79" s="112"/>
      <c r="BI79" s="112"/>
      <c r="BK79" s="112"/>
      <c r="BL79" s="112"/>
      <c r="BM79" s="112"/>
      <c r="BN79" s="112"/>
    </row>
    <row r="80" spans="17:66" x14ac:dyDescent="0.25">
      <c r="Q80" s="112"/>
      <c r="R80" s="112"/>
      <c r="S80" s="112"/>
      <c r="T80" s="112"/>
      <c r="U80" s="112"/>
      <c r="V80" s="112"/>
      <c r="W80" s="112"/>
      <c r="X80" s="112"/>
      <c r="Y80" s="112"/>
      <c r="Z80" s="112"/>
      <c r="AA80" s="112"/>
      <c r="AB80" s="112"/>
      <c r="AC80" s="112"/>
      <c r="AD80" s="112"/>
      <c r="AE80" s="112"/>
      <c r="AF80" s="112"/>
      <c r="AG80" s="112"/>
      <c r="AH80" s="112"/>
      <c r="AI80" s="112"/>
      <c r="AJ80" s="112"/>
      <c r="AK80" s="112"/>
      <c r="AL80" s="112"/>
      <c r="AP80" s="112"/>
      <c r="AQ80" s="112"/>
      <c r="AR80" s="112"/>
      <c r="AS80" s="112"/>
      <c r="AT80" s="112"/>
      <c r="AU80" s="112"/>
      <c r="AV80" s="112"/>
      <c r="AW80" s="112"/>
      <c r="AX80" s="112"/>
      <c r="AY80" s="112"/>
      <c r="BA80" s="112"/>
      <c r="BB80" s="112"/>
      <c r="BC80" s="112"/>
      <c r="BD80" s="112"/>
      <c r="BE80" s="112"/>
      <c r="BF80" s="112"/>
      <c r="BG80" s="112"/>
      <c r="BH80" s="112"/>
      <c r="BI80" s="112"/>
      <c r="BK80" s="112"/>
      <c r="BL80" s="112"/>
      <c r="BM80" s="112"/>
      <c r="BN80" s="112"/>
    </row>
    <row r="81" spans="17:66" x14ac:dyDescent="0.25">
      <c r="Q81" s="112"/>
      <c r="R81" s="112"/>
      <c r="S81" s="112"/>
      <c r="T81" s="112"/>
      <c r="U81" s="112"/>
      <c r="V81" s="112"/>
      <c r="W81" s="112"/>
      <c r="X81" s="112"/>
      <c r="Y81" s="112"/>
      <c r="Z81" s="112"/>
      <c r="AA81" s="112"/>
      <c r="AB81" s="112"/>
      <c r="AC81" s="112"/>
      <c r="AD81" s="112"/>
      <c r="AE81" s="112"/>
      <c r="AF81" s="112"/>
      <c r="AG81" s="112"/>
      <c r="AH81" s="112"/>
      <c r="AI81" s="112"/>
      <c r="AJ81" s="112"/>
      <c r="AK81" s="112"/>
      <c r="AL81" s="112"/>
      <c r="AP81" s="112"/>
      <c r="AQ81" s="112"/>
      <c r="AR81" s="112"/>
      <c r="AS81" s="112"/>
      <c r="AT81" s="112"/>
      <c r="AU81" s="112"/>
      <c r="AV81" s="112"/>
      <c r="AW81" s="112"/>
      <c r="AX81" s="112"/>
      <c r="AY81" s="112"/>
      <c r="BA81" s="112"/>
      <c r="BB81" s="112"/>
      <c r="BC81" s="112"/>
      <c r="BD81" s="112"/>
      <c r="BE81" s="112"/>
      <c r="BF81" s="112"/>
      <c r="BG81" s="112"/>
      <c r="BH81" s="112"/>
      <c r="BI81" s="112"/>
      <c r="BK81" s="112"/>
      <c r="BL81" s="112"/>
      <c r="BM81" s="112"/>
      <c r="BN81" s="112"/>
    </row>
    <row r="82" spans="17:66" x14ac:dyDescent="0.25">
      <c r="Q82" s="112"/>
      <c r="R82" s="112"/>
      <c r="S82" s="112"/>
      <c r="T82" s="112"/>
      <c r="U82" s="112"/>
      <c r="V82" s="112"/>
      <c r="W82" s="112"/>
      <c r="X82" s="112"/>
      <c r="Y82" s="112"/>
      <c r="Z82" s="112"/>
      <c r="AA82" s="112"/>
      <c r="AB82" s="112"/>
      <c r="AC82" s="112"/>
      <c r="AD82" s="112"/>
      <c r="AE82" s="112"/>
      <c r="AF82" s="112"/>
      <c r="AG82" s="112"/>
      <c r="AH82" s="112"/>
      <c r="AI82" s="112"/>
      <c r="AJ82" s="112"/>
      <c r="AK82" s="112"/>
      <c r="AL82" s="112"/>
      <c r="AP82" s="112"/>
      <c r="AQ82" s="112"/>
      <c r="AR82" s="112"/>
      <c r="AS82" s="112"/>
      <c r="AT82" s="112"/>
      <c r="AU82" s="112"/>
      <c r="AV82" s="112"/>
      <c r="AW82" s="112"/>
      <c r="AX82" s="112"/>
      <c r="AY82" s="112"/>
      <c r="BA82" s="112"/>
      <c r="BB82" s="112"/>
      <c r="BC82" s="112"/>
      <c r="BD82" s="112"/>
      <c r="BE82" s="112"/>
      <c r="BF82" s="112"/>
      <c r="BG82" s="112"/>
      <c r="BH82" s="112"/>
      <c r="BI82" s="112"/>
      <c r="BK82" s="112"/>
      <c r="BL82" s="112"/>
      <c r="BM82" s="112"/>
      <c r="BN82" s="112"/>
    </row>
    <row r="83" spans="17:66" x14ac:dyDescent="0.25">
      <c r="Q83" s="112"/>
      <c r="R83" s="112"/>
      <c r="S83" s="112"/>
      <c r="T83" s="112"/>
      <c r="U83" s="112"/>
      <c r="V83" s="112"/>
      <c r="W83" s="112"/>
      <c r="X83" s="112"/>
      <c r="Y83" s="112"/>
      <c r="Z83" s="112"/>
      <c r="AA83" s="112"/>
      <c r="AB83" s="112"/>
      <c r="AC83" s="112"/>
      <c r="AD83" s="112"/>
      <c r="AE83" s="112"/>
      <c r="AF83" s="112"/>
      <c r="AG83" s="112"/>
      <c r="AH83" s="112"/>
      <c r="AI83" s="112"/>
      <c r="AJ83" s="112"/>
      <c r="AK83" s="112"/>
      <c r="AL83" s="112"/>
      <c r="AP83" s="112"/>
      <c r="AQ83" s="112"/>
      <c r="AR83" s="112"/>
      <c r="AS83" s="112"/>
      <c r="AT83" s="112"/>
      <c r="AU83" s="112"/>
      <c r="AV83" s="112"/>
      <c r="AW83" s="112"/>
      <c r="AX83" s="112"/>
      <c r="AY83" s="112"/>
      <c r="BA83" s="112"/>
      <c r="BB83" s="112"/>
      <c r="BC83" s="112"/>
      <c r="BD83" s="112"/>
      <c r="BE83" s="112"/>
      <c r="BF83" s="112"/>
      <c r="BG83" s="112"/>
      <c r="BH83" s="112"/>
      <c r="BI83" s="112"/>
      <c r="BK83" s="112"/>
      <c r="BL83" s="112"/>
      <c r="BM83" s="112"/>
      <c r="BN83" s="112"/>
    </row>
    <row r="84" spans="17:66" x14ac:dyDescent="0.25">
      <c r="Q84" s="112"/>
      <c r="R84" s="112"/>
      <c r="S84" s="112"/>
      <c r="T84" s="112"/>
      <c r="U84" s="112"/>
      <c r="V84" s="112"/>
      <c r="W84" s="112"/>
      <c r="X84" s="112"/>
      <c r="Y84" s="112"/>
      <c r="Z84" s="112"/>
      <c r="AA84" s="112"/>
      <c r="AB84" s="112"/>
      <c r="AC84" s="112"/>
      <c r="AD84" s="112"/>
      <c r="AE84" s="112"/>
      <c r="AF84" s="112"/>
      <c r="AG84" s="112"/>
      <c r="AH84" s="112"/>
      <c r="AI84" s="112"/>
      <c r="AJ84" s="112"/>
      <c r="AK84" s="112"/>
      <c r="AL84" s="112"/>
      <c r="AP84" s="112"/>
      <c r="AQ84" s="112"/>
      <c r="AR84" s="112"/>
      <c r="AS84" s="112"/>
      <c r="AT84" s="112"/>
      <c r="AU84" s="112"/>
      <c r="AV84" s="112"/>
      <c r="AW84" s="112"/>
      <c r="AX84" s="112"/>
      <c r="AY84" s="112"/>
      <c r="BA84" s="112"/>
      <c r="BB84" s="112"/>
      <c r="BC84" s="112"/>
      <c r="BD84" s="112"/>
      <c r="BE84" s="112"/>
      <c r="BF84" s="112"/>
      <c r="BG84" s="112"/>
      <c r="BH84" s="112"/>
      <c r="BI84" s="112"/>
      <c r="BK84" s="112"/>
      <c r="BL84" s="112"/>
      <c r="BM84" s="112"/>
      <c r="BN84" s="112"/>
    </row>
    <row r="85" spans="17:66" x14ac:dyDescent="0.25">
      <c r="Q85" s="112"/>
      <c r="R85" s="112"/>
      <c r="S85" s="112"/>
      <c r="T85" s="112"/>
      <c r="U85" s="112"/>
      <c r="V85" s="112"/>
      <c r="W85" s="112"/>
      <c r="X85" s="112"/>
      <c r="Y85" s="112"/>
      <c r="Z85" s="112"/>
      <c r="AA85" s="112"/>
      <c r="AB85" s="112"/>
      <c r="AC85" s="112"/>
      <c r="AD85" s="112"/>
      <c r="AE85" s="112"/>
      <c r="AF85" s="112"/>
      <c r="AG85" s="112"/>
      <c r="AH85" s="112"/>
      <c r="AI85" s="112"/>
      <c r="AJ85" s="112"/>
      <c r="AK85" s="112"/>
      <c r="AL85" s="112"/>
      <c r="AP85" s="112"/>
      <c r="AQ85" s="112"/>
      <c r="AR85" s="112"/>
      <c r="AS85" s="112"/>
      <c r="AT85" s="112"/>
      <c r="AU85" s="112"/>
      <c r="AV85" s="112"/>
      <c r="AW85" s="112"/>
      <c r="AX85" s="112"/>
      <c r="AY85" s="112"/>
      <c r="BA85" s="112"/>
      <c r="BB85" s="112"/>
      <c r="BC85" s="112"/>
      <c r="BD85" s="112"/>
      <c r="BE85" s="112"/>
      <c r="BF85" s="112"/>
      <c r="BG85" s="112"/>
      <c r="BH85" s="112"/>
      <c r="BI85" s="112"/>
      <c r="BK85" s="112"/>
      <c r="BL85" s="112"/>
      <c r="BM85" s="112"/>
      <c r="BN85" s="112"/>
    </row>
    <row r="86" spans="17:66" x14ac:dyDescent="0.25">
      <c r="Q86" s="112"/>
      <c r="R86" s="112"/>
      <c r="S86" s="112"/>
      <c r="T86" s="112"/>
      <c r="U86" s="112"/>
      <c r="V86" s="112"/>
      <c r="W86" s="112"/>
      <c r="X86" s="112"/>
      <c r="Y86" s="112"/>
      <c r="Z86" s="112"/>
      <c r="AA86" s="112"/>
      <c r="AB86" s="112"/>
      <c r="AC86" s="112"/>
      <c r="AD86" s="112"/>
      <c r="AE86" s="112"/>
      <c r="AF86" s="112"/>
      <c r="AG86" s="112"/>
      <c r="AH86" s="112"/>
      <c r="AI86" s="112"/>
      <c r="AJ86" s="112"/>
      <c r="AK86" s="112"/>
      <c r="AL86" s="112"/>
      <c r="AP86" s="112"/>
      <c r="AQ86" s="112"/>
      <c r="AR86" s="112"/>
      <c r="AS86" s="112"/>
      <c r="AT86" s="112"/>
      <c r="AU86" s="112"/>
      <c r="AV86" s="112"/>
      <c r="AW86" s="112"/>
      <c r="AX86" s="112"/>
      <c r="AY86" s="112"/>
      <c r="BA86" s="112"/>
      <c r="BB86" s="112"/>
      <c r="BC86" s="112"/>
      <c r="BD86" s="112"/>
      <c r="BE86" s="112"/>
      <c r="BF86" s="112"/>
      <c r="BG86" s="112"/>
      <c r="BH86" s="112"/>
      <c r="BI86" s="112"/>
      <c r="BK86" s="112"/>
      <c r="BL86" s="112"/>
      <c r="BM86" s="112"/>
      <c r="BN86" s="112"/>
    </row>
    <row r="87" spans="17:66" x14ac:dyDescent="0.25">
      <c r="Q87" s="112"/>
      <c r="R87" s="112"/>
      <c r="S87" s="112"/>
      <c r="T87" s="112"/>
      <c r="U87" s="112"/>
      <c r="V87" s="112"/>
      <c r="W87" s="112"/>
      <c r="X87" s="112"/>
      <c r="Y87" s="112"/>
      <c r="Z87" s="112"/>
      <c r="AA87" s="112"/>
      <c r="AB87" s="112"/>
      <c r="AC87" s="112"/>
      <c r="AD87" s="112"/>
      <c r="AE87" s="112"/>
      <c r="AF87" s="112"/>
      <c r="AG87" s="112"/>
      <c r="AH87" s="112"/>
      <c r="AI87" s="112"/>
      <c r="AJ87" s="112"/>
      <c r="AK87" s="112"/>
      <c r="AL87" s="112"/>
      <c r="AP87" s="112"/>
      <c r="AQ87" s="112"/>
      <c r="AR87" s="112"/>
      <c r="AS87" s="112"/>
      <c r="AT87" s="112"/>
      <c r="AU87" s="112"/>
      <c r="AV87" s="112"/>
      <c r="AW87" s="112"/>
      <c r="AX87" s="112"/>
      <c r="AY87" s="112"/>
      <c r="BA87" s="112"/>
      <c r="BB87" s="112"/>
      <c r="BC87" s="112"/>
      <c r="BD87" s="112"/>
      <c r="BE87" s="112"/>
      <c r="BF87" s="112"/>
      <c r="BG87" s="112"/>
      <c r="BH87" s="112"/>
      <c r="BI87" s="112"/>
      <c r="BK87" s="112"/>
      <c r="BL87" s="112"/>
      <c r="BM87" s="112"/>
      <c r="BN87" s="112"/>
    </row>
    <row r="88" spans="17:66" x14ac:dyDescent="0.25">
      <c r="Q88" s="112"/>
      <c r="R88" s="112"/>
      <c r="S88" s="112"/>
      <c r="T88" s="112"/>
      <c r="U88" s="112"/>
      <c r="V88" s="112"/>
      <c r="W88" s="112"/>
      <c r="X88" s="112"/>
      <c r="Y88" s="112"/>
      <c r="Z88" s="112"/>
      <c r="AA88" s="112"/>
      <c r="AB88" s="112"/>
      <c r="AC88" s="112"/>
      <c r="AD88" s="112"/>
      <c r="AE88" s="112"/>
      <c r="AF88" s="112"/>
      <c r="AG88" s="112"/>
      <c r="AH88" s="112"/>
      <c r="AI88" s="112"/>
      <c r="AJ88" s="112"/>
      <c r="AK88" s="112"/>
      <c r="AL88" s="112"/>
      <c r="AP88" s="112"/>
      <c r="AQ88" s="112"/>
      <c r="AR88" s="112"/>
      <c r="AS88" s="112"/>
      <c r="AT88" s="112"/>
      <c r="AU88" s="112"/>
      <c r="AV88" s="112"/>
      <c r="AW88" s="112"/>
      <c r="AX88" s="112"/>
      <c r="AY88" s="112"/>
      <c r="BA88" s="112"/>
      <c r="BB88" s="112"/>
      <c r="BC88" s="112"/>
      <c r="BD88" s="112"/>
      <c r="BE88" s="112"/>
      <c r="BF88" s="112"/>
      <c r="BG88" s="112"/>
      <c r="BH88" s="112"/>
      <c r="BI88" s="112"/>
      <c r="BK88" s="112"/>
      <c r="BL88" s="112"/>
      <c r="BM88" s="112"/>
      <c r="BN88" s="112"/>
    </row>
    <row r="89" spans="17:66" x14ac:dyDescent="0.25">
      <c r="Q89" s="112"/>
      <c r="R89" s="112"/>
      <c r="S89" s="112"/>
      <c r="T89" s="112"/>
      <c r="U89" s="112"/>
      <c r="V89" s="112"/>
      <c r="W89" s="112"/>
      <c r="X89" s="112"/>
      <c r="Y89" s="112"/>
      <c r="Z89" s="112"/>
      <c r="AA89" s="112"/>
      <c r="AB89" s="112"/>
      <c r="AC89" s="112"/>
      <c r="AD89" s="112"/>
      <c r="AE89" s="112"/>
      <c r="AF89" s="112"/>
      <c r="AG89" s="112"/>
      <c r="AH89" s="112"/>
      <c r="AI89" s="112"/>
      <c r="AJ89" s="112"/>
      <c r="AK89" s="112"/>
      <c r="AL89" s="112"/>
      <c r="AP89" s="112"/>
      <c r="AQ89" s="112"/>
      <c r="AR89" s="112"/>
      <c r="AS89" s="112"/>
      <c r="AT89" s="112"/>
      <c r="AU89" s="112"/>
      <c r="AV89" s="112"/>
      <c r="AW89" s="112"/>
      <c r="AX89" s="112"/>
      <c r="AY89" s="112"/>
      <c r="BA89" s="112"/>
      <c r="BB89" s="112"/>
      <c r="BC89" s="112"/>
      <c r="BD89" s="112"/>
      <c r="BE89" s="112"/>
      <c r="BF89" s="112"/>
      <c r="BG89" s="112"/>
      <c r="BH89" s="112"/>
      <c r="BI89" s="112"/>
      <c r="BK89" s="112"/>
      <c r="BL89" s="112"/>
      <c r="BM89" s="112"/>
      <c r="BN89" s="112"/>
    </row>
    <row r="90" spans="17:66" x14ac:dyDescent="0.25">
      <c r="Q90" s="112"/>
      <c r="R90" s="112"/>
      <c r="S90" s="112"/>
      <c r="T90" s="112"/>
      <c r="U90" s="112"/>
      <c r="V90" s="112"/>
      <c r="W90" s="112"/>
      <c r="X90" s="112"/>
      <c r="Y90" s="112"/>
      <c r="Z90" s="112"/>
      <c r="AA90" s="112"/>
      <c r="AB90" s="112"/>
      <c r="AC90" s="112"/>
      <c r="AD90" s="112"/>
      <c r="AE90" s="112"/>
      <c r="AF90" s="112"/>
      <c r="AG90" s="112"/>
      <c r="AH90" s="112"/>
      <c r="AI90" s="112"/>
      <c r="AJ90" s="112"/>
      <c r="AK90" s="112"/>
      <c r="AL90" s="112"/>
      <c r="AP90" s="112"/>
      <c r="AQ90" s="112"/>
      <c r="AR90" s="112"/>
      <c r="AS90" s="112"/>
      <c r="AT90" s="112"/>
      <c r="AU90" s="112"/>
      <c r="AV90" s="112"/>
      <c r="AW90" s="112"/>
      <c r="AX90" s="112"/>
      <c r="AY90" s="112"/>
      <c r="BA90" s="112"/>
      <c r="BB90" s="112"/>
      <c r="BC90" s="112"/>
      <c r="BD90" s="112"/>
      <c r="BE90" s="112"/>
      <c r="BF90" s="112"/>
      <c r="BG90" s="112"/>
      <c r="BH90" s="112"/>
      <c r="BI90" s="112"/>
      <c r="BK90" s="112"/>
      <c r="BL90" s="112"/>
      <c r="BM90" s="112"/>
      <c r="BN90" s="112"/>
    </row>
    <row r="91" spans="17:66" x14ac:dyDescent="0.25">
      <c r="Q91" s="112"/>
      <c r="R91" s="112"/>
      <c r="S91" s="112"/>
      <c r="T91" s="112"/>
      <c r="U91" s="112"/>
      <c r="V91" s="112"/>
      <c r="W91" s="112"/>
      <c r="X91" s="112"/>
      <c r="Y91" s="112"/>
      <c r="Z91" s="112"/>
      <c r="AA91" s="112"/>
      <c r="AB91" s="112"/>
      <c r="AC91" s="112"/>
      <c r="AD91" s="112"/>
      <c r="AE91" s="112"/>
      <c r="AF91" s="112"/>
      <c r="AG91" s="112"/>
      <c r="AH91" s="112"/>
      <c r="AI91" s="112"/>
      <c r="AJ91" s="112"/>
      <c r="AK91" s="112"/>
      <c r="AL91" s="112"/>
      <c r="AP91" s="112"/>
      <c r="AQ91" s="112"/>
      <c r="AR91" s="112"/>
      <c r="AS91" s="112"/>
      <c r="AT91" s="112"/>
      <c r="AU91" s="112"/>
      <c r="AV91" s="112"/>
      <c r="AW91" s="112"/>
      <c r="AX91" s="112"/>
      <c r="AY91" s="112"/>
      <c r="BA91" s="112"/>
      <c r="BB91" s="112"/>
      <c r="BC91" s="112"/>
      <c r="BD91" s="112"/>
      <c r="BE91" s="112"/>
      <c r="BF91" s="112"/>
      <c r="BG91" s="112"/>
      <c r="BH91" s="112"/>
      <c r="BI91" s="112"/>
      <c r="BK91" s="112"/>
      <c r="BL91" s="112"/>
      <c r="BM91" s="112"/>
      <c r="BN91" s="112"/>
    </row>
    <row r="92" spans="17:66" x14ac:dyDescent="0.25">
      <c r="Q92" s="112"/>
      <c r="R92" s="112"/>
      <c r="S92" s="112"/>
      <c r="T92" s="112"/>
      <c r="U92" s="112"/>
      <c r="V92" s="112"/>
      <c r="W92" s="112"/>
      <c r="X92" s="112"/>
      <c r="Y92" s="112"/>
      <c r="Z92" s="112"/>
      <c r="AA92" s="112"/>
      <c r="AB92" s="112"/>
      <c r="AC92" s="112"/>
      <c r="AD92" s="112"/>
      <c r="AE92" s="112"/>
      <c r="AF92" s="112"/>
      <c r="AG92" s="112"/>
      <c r="AH92" s="112"/>
      <c r="AI92" s="112"/>
      <c r="AJ92" s="112"/>
      <c r="AK92" s="112"/>
      <c r="AL92" s="112"/>
      <c r="AP92" s="112"/>
      <c r="AQ92" s="112"/>
      <c r="AR92" s="112"/>
      <c r="AS92" s="112"/>
      <c r="AT92" s="112"/>
      <c r="AU92" s="112"/>
      <c r="AV92" s="112"/>
      <c r="AW92" s="112"/>
      <c r="AX92" s="112"/>
      <c r="AY92" s="112"/>
      <c r="BA92" s="112"/>
      <c r="BB92" s="112"/>
      <c r="BC92" s="112"/>
      <c r="BD92" s="112"/>
      <c r="BE92" s="112"/>
      <c r="BF92" s="112"/>
      <c r="BG92" s="112"/>
      <c r="BH92" s="112"/>
      <c r="BI92" s="112"/>
      <c r="BK92" s="112"/>
      <c r="BL92" s="112"/>
      <c r="BM92" s="112"/>
      <c r="BN92" s="112"/>
    </row>
    <row r="93" spans="17:66" x14ac:dyDescent="0.25">
      <c r="Q93" s="112"/>
      <c r="R93" s="112"/>
      <c r="S93" s="112"/>
      <c r="T93" s="112"/>
      <c r="U93" s="112"/>
      <c r="V93" s="112"/>
      <c r="W93" s="112"/>
      <c r="X93" s="112"/>
      <c r="Y93" s="112"/>
      <c r="Z93" s="112"/>
      <c r="AA93" s="112"/>
      <c r="AB93" s="112"/>
      <c r="AC93" s="112"/>
      <c r="AD93" s="112"/>
      <c r="AE93" s="112"/>
      <c r="AF93" s="112"/>
      <c r="AG93" s="112"/>
      <c r="AH93" s="112"/>
      <c r="AI93" s="112"/>
      <c r="AJ93" s="112"/>
      <c r="AK93" s="112"/>
      <c r="AL93" s="112"/>
      <c r="AP93" s="112"/>
      <c r="AQ93" s="112"/>
      <c r="AR93" s="112"/>
      <c r="AS93" s="112"/>
      <c r="AT93" s="112"/>
      <c r="AU93" s="112"/>
      <c r="AV93" s="112"/>
      <c r="AW93" s="112"/>
      <c r="AX93" s="112"/>
      <c r="AY93" s="112"/>
      <c r="BA93" s="112"/>
      <c r="BB93" s="112"/>
      <c r="BC93" s="112"/>
      <c r="BD93" s="112"/>
      <c r="BE93" s="112"/>
      <c r="BF93" s="112"/>
      <c r="BG93" s="112"/>
      <c r="BH93" s="112"/>
      <c r="BI93" s="112"/>
      <c r="BK93" s="112"/>
      <c r="BL93" s="112"/>
      <c r="BM93" s="112"/>
      <c r="BN93" s="112"/>
    </row>
    <row r="94" spans="17:66" x14ac:dyDescent="0.25">
      <c r="Q94" s="112"/>
      <c r="R94" s="112"/>
      <c r="S94" s="112"/>
      <c r="T94" s="112"/>
      <c r="U94" s="112"/>
      <c r="V94" s="112"/>
      <c r="W94" s="112"/>
      <c r="X94" s="112"/>
      <c r="Y94" s="112"/>
      <c r="Z94" s="112"/>
      <c r="AA94" s="112"/>
      <c r="AB94" s="112"/>
      <c r="AC94" s="112"/>
      <c r="AD94" s="112"/>
      <c r="AE94" s="112"/>
      <c r="AF94" s="112"/>
      <c r="AG94" s="112"/>
      <c r="AH94" s="112"/>
      <c r="AI94" s="112"/>
      <c r="AJ94" s="112"/>
      <c r="AK94" s="112"/>
      <c r="AL94" s="112"/>
      <c r="AP94" s="112"/>
      <c r="AQ94" s="112"/>
      <c r="AR94" s="112"/>
      <c r="AS94" s="112"/>
      <c r="AT94" s="112"/>
      <c r="AU94" s="112"/>
      <c r="AV94" s="112"/>
      <c r="AW94" s="112"/>
      <c r="AX94" s="112"/>
      <c r="AY94" s="112"/>
      <c r="BA94" s="112"/>
      <c r="BB94" s="112"/>
      <c r="BC94" s="112"/>
      <c r="BD94" s="112"/>
      <c r="BE94" s="112"/>
      <c r="BF94" s="112"/>
      <c r="BG94" s="112"/>
      <c r="BH94" s="112"/>
      <c r="BI94" s="112"/>
      <c r="BK94" s="112"/>
      <c r="BL94" s="112"/>
      <c r="BM94" s="112"/>
      <c r="BN94" s="112"/>
    </row>
    <row r="95" spans="17:66" x14ac:dyDescent="0.25">
      <c r="Q95" s="112"/>
      <c r="R95" s="112"/>
      <c r="S95" s="112"/>
      <c r="T95" s="112"/>
      <c r="U95" s="112"/>
      <c r="V95" s="112"/>
      <c r="W95" s="112"/>
      <c r="X95" s="112"/>
      <c r="Y95" s="112"/>
      <c r="Z95" s="112"/>
      <c r="AA95" s="112"/>
      <c r="AB95" s="112"/>
      <c r="AC95" s="112"/>
      <c r="AD95" s="112"/>
      <c r="AE95" s="112"/>
      <c r="AF95" s="112"/>
      <c r="AG95" s="112"/>
      <c r="AH95" s="112"/>
      <c r="AI95" s="112"/>
      <c r="AJ95" s="112"/>
      <c r="AK95" s="112"/>
      <c r="AL95" s="112"/>
      <c r="AP95" s="112"/>
      <c r="AQ95" s="112"/>
      <c r="AR95" s="112"/>
      <c r="AS95" s="112"/>
      <c r="AT95" s="112"/>
      <c r="AU95" s="112"/>
      <c r="AV95" s="112"/>
      <c r="AW95" s="112"/>
      <c r="AX95" s="112"/>
      <c r="AY95" s="112"/>
      <c r="BA95" s="112"/>
      <c r="BB95" s="112"/>
      <c r="BC95" s="112"/>
      <c r="BD95" s="112"/>
      <c r="BE95" s="112"/>
      <c r="BF95" s="112"/>
      <c r="BG95" s="112"/>
      <c r="BH95" s="112"/>
      <c r="BI95" s="112"/>
      <c r="BK95" s="112"/>
      <c r="BL95" s="112"/>
      <c r="BM95" s="112"/>
      <c r="BN95" s="112"/>
    </row>
    <row r="96" spans="17:66" x14ac:dyDescent="0.25">
      <c r="Q96" s="112"/>
      <c r="R96" s="112"/>
      <c r="S96" s="112"/>
      <c r="T96" s="112"/>
      <c r="U96" s="112"/>
      <c r="V96" s="112"/>
      <c r="W96" s="112"/>
      <c r="X96" s="112"/>
      <c r="Y96" s="112"/>
      <c r="Z96" s="112"/>
      <c r="AA96" s="112"/>
      <c r="AB96" s="112"/>
      <c r="AC96" s="112"/>
      <c r="AD96" s="112"/>
      <c r="AE96" s="112"/>
      <c r="AF96" s="112"/>
      <c r="AG96" s="112"/>
      <c r="AH96" s="112"/>
      <c r="AI96" s="112"/>
      <c r="AJ96" s="112"/>
      <c r="AK96" s="112"/>
      <c r="AL96" s="112"/>
      <c r="AP96" s="112"/>
      <c r="AQ96" s="112"/>
      <c r="AR96" s="112"/>
      <c r="AS96" s="112"/>
      <c r="AT96" s="112"/>
      <c r="AU96" s="112"/>
      <c r="AV96" s="112"/>
      <c r="AW96" s="112"/>
      <c r="AX96" s="112"/>
      <c r="AY96" s="112"/>
      <c r="BA96" s="112"/>
      <c r="BB96" s="112"/>
      <c r="BC96" s="112"/>
      <c r="BD96" s="112"/>
      <c r="BE96" s="112"/>
      <c r="BF96" s="112"/>
      <c r="BG96" s="112"/>
      <c r="BH96" s="112"/>
      <c r="BI96" s="112"/>
      <c r="BK96" s="112"/>
      <c r="BL96" s="112"/>
      <c r="BM96" s="112"/>
      <c r="BN96" s="112"/>
    </row>
    <row r="97" spans="17:66" x14ac:dyDescent="0.25">
      <c r="Q97" s="112"/>
      <c r="R97" s="112"/>
      <c r="S97" s="112"/>
      <c r="T97" s="112"/>
      <c r="U97" s="112"/>
      <c r="V97" s="112"/>
      <c r="W97" s="112"/>
      <c r="X97" s="112"/>
      <c r="Y97" s="112"/>
      <c r="Z97" s="112"/>
      <c r="AA97" s="112"/>
      <c r="AB97" s="112"/>
      <c r="AC97" s="112"/>
      <c r="AD97" s="112"/>
      <c r="AE97" s="112"/>
      <c r="AF97" s="112"/>
      <c r="AG97" s="112"/>
      <c r="AH97" s="112"/>
      <c r="AI97" s="112"/>
      <c r="AJ97" s="112"/>
      <c r="AK97" s="112"/>
      <c r="AL97" s="112"/>
      <c r="AP97" s="112"/>
      <c r="AQ97" s="112"/>
      <c r="AR97" s="112"/>
      <c r="AS97" s="112"/>
      <c r="AT97" s="112"/>
      <c r="AU97" s="112"/>
      <c r="AV97" s="112"/>
      <c r="AW97" s="112"/>
      <c r="AX97" s="112"/>
      <c r="AY97" s="112"/>
      <c r="BA97" s="112"/>
      <c r="BB97" s="112"/>
      <c r="BC97" s="112"/>
      <c r="BD97" s="112"/>
      <c r="BE97" s="112"/>
      <c r="BF97" s="112"/>
      <c r="BG97" s="112"/>
      <c r="BH97" s="112"/>
      <c r="BI97" s="112"/>
      <c r="BK97" s="112"/>
      <c r="BL97" s="112"/>
      <c r="BM97" s="112"/>
      <c r="BN97" s="112"/>
    </row>
    <row r="98" spans="17:66" x14ac:dyDescent="0.25">
      <c r="Q98" s="112"/>
      <c r="R98" s="112"/>
      <c r="S98" s="112"/>
      <c r="T98" s="112"/>
      <c r="U98" s="112"/>
      <c r="V98" s="112"/>
      <c r="W98" s="112"/>
      <c r="X98" s="112"/>
      <c r="Y98" s="112"/>
      <c r="Z98" s="112"/>
      <c r="AA98" s="112"/>
      <c r="AB98" s="112"/>
      <c r="AC98" s="112"/>
      <c r="AD98" s="112"/>
      <c r="AE98" s="112"/>
      <c r="AF98" s="112"/>
      <c r="AG98" s="112"/>
      <c r="AH98" s="112"/>
      <c r="AI98" s="112"/>
      <c r="AJ98" s="112"/>
      <c r="AK98" s="112"/>
      <c r="AL98" s="112"/>
      <c r="AP98" s="112"/>
      <c r="AQ98" s="112"/>
      <c r="AR98" s="112"/>
      <c r="AS98" s="112"/>
      <c r="AT98" s="112"/>
      <c r="AU98" s="112"/>
      <c r="AV98" s="112"/>
      <c r="AW98" s="112"/>
      <c r="AX98" s="112"/>
      <c r="AY98" s="112"/>
      <c r="BA98" s="112"/>
      <c r="BB98" s="112"/>
      <c r="BC98" s="112"/>
      <c r="BD98" s="112"/>
      <c r="BE98" s="112"/>
      <c r="BF98" s="112"/>
      <c r="BG98" s="112"/>
      <c r="BH98" s="112"/>
      <c r="BI98" s="112"/>
      <c r="BK98" s="112"/>
      <c r="BL98" s="112"/>
      <c r="BM98" s="112"/>
      <c r="BN98" s="112"/>
    </row>
    <row r="99" spans="17:66" x14ac:dyDescent="0.25">
      <c r="Q99" s="112"/>
      <c r="R99" s="112"/>
      <c r="S99" s="112"/>
      <c r="T99" s="112"/>
      <c r="U99" s="112"/>
      <c r="V99" s="112"/>
      <c r="W99" s="112"/>
      <c r="X99" s="112"/>
      <c r="Y99" s="112"/>
      <c r="Z99" s="112"/>
      <c r="AA99" s="112"/>
      <c r="AB99" s="112"/>
      <c r="AC99" s="112"/>
      <c r="AD99" s="112"/>
      <c r="AE99" s="112"/>
      <c r="AF99" s="112"/>
      <c r="AG99" s="112"/>
      <c r="AH99" s="112"/>
      <c r="AI99" s="112"/>
      <c r="AJ99" s="112"/>
      <c r="AK99" s="112"/>
      <c r="AL99" s="112"/>
      <c r="AP99" s="112"/>
      <c r="AQ99" s="112"/>
      <c r="AR99" s="112"/>
      <c r="AS99" s="112"/>
      <c r="AT99" s="112"/>
      <c r="AU99" s="112"/>
      <c r="AV99" s="112"/>
      <c r="AW99" s="112"/>
      <c r="AX99" s="112"/>
      <c r="AY99" s="112"/>
      <c r="BA99" s="112"/>
      <c r="BB99" s="112"/>
      <c r="BC99" s="112"/>
      <c r="BD99" s="112"/>
      <c r="BE99" s="112"/>
      <c r="BF99" s="112"/>
      <c r="BG99" s="112"/>
      <c r="BH99" s="112"/>
      <c r="BI99" s="112"/>
      <c r="BK99" s="112"/>
      <c r="BL99" s="112"/>
      <c r="BM99" s="112"/>
      <c r="BN99" s="112"/>
    </row>
    <row r="100" spans="17:66" x14ac:dyDescent="0.25">
      <c r="Q100" s="112"/>
      <c r="R100" s="112"/>
      <c r="S100" s="112"/>
      <c r="T100" s="112"/>
      <c r="U100" s="112"/>
      <c r="V100" s="112"/>
      <c r="W100" s="112"/>
      <c r="X100" s="112"/>
      <c r="Y100" s="112"/>
      <c r="Z100" s="112"/>
      <c r="AA100" s="112"/>
      <c r="AB100" s="112"/>
      <c r="AC100" s="112"/>
      <c r="AD100" s="112"/>
      <c r="AE100" s="112"/>
      <c r="AF100" s="112"/>
      <c r="AG100" s="112"/>
      <c r="AH100" s="112"/>
      <c r="AI100" s="112"/>
      <c r="AJ100" s="112"/>
      <c r="AK100" s="112"/>
      <c r="AL100" s="112"/>
      <c r="AP100" s="112"/>
      <c r="AQ100" s="112"/>
      <c r="AR100" s="112"/>
      <c r="AS100" s="112"/>
      <c r="AT100" s="112"/>
      <c r="AU100" s="112"/>
      <c r="AV100" s="112"/>
      <c r="AW100" s="112"/>
      <c r="AX100" s="112"/>
      <c r="AY100" s="112"/>
      <c r="BA100" s="112"/>
      <c r="BB100" s="112"/>
      <c r="BC100" s="112"/>
      <c r="BD100" s="112"/>
      <c r="BE100" s="112"/>
      <c r="BF100" s="112"/>
      <c r="BG100" s="112"/>
      <c r="BH100" s="112"/>
      <c r="BI100" s="112"/>
      <c r="BK100" s="112"/>
      <c r="BL100" s="112"/>
      <c r="BM100" s="112"/>
      <c r="BN100" s="112"/>
    </row>
    <row r="101" spans="17:66" x14ac:dyDescent="0.25">
      <c r="Q101" s="112"/>
      <c r="R101" s="112"/>
      <c r="S101" s="112"/>
      <c r="T101" s="112"/>
      <c r="U101" s="112"/>
      <c r="V101" s="112"/>
      <c r="W101" s="112"/>
      <c r="X101" s="112"/>
      <c r="Y101" s="112"/>
      <c r="Z101" s="112"/>
      <c r="AA101" s="112"/>
      <c r="AB101" s="112"/>
      <c r="AC101" s="112"/>
      <c r="AD101" s="112"/>
      <c r="AE101" s="112"/>
      <c r="AF101" s="112"/>
      <c r="AG101" s="112"/>
      <c r="AH101" s="112"/>
      <c r="AI101" s="112"/>
      <c r="AJ101" s="112"/>
      <c r="AK101" s="112"/>
      <c r="AL101" s="112"/>
      <c r="AP101" s="112"/>
      <c r="AQ101" s="112"/>
      <c r="AR101" s="112"/>
      <c r="AS101" s="112"/>
      <c r="AT101" s="112"/>
      <c r="AU101" s="112"/>
      <c r="AV101" s="112"/>
      <c r="AW101" s="112"/>
      <c r="AX101" s="112"/>
      <c r="AY101" s="112"/>
      <c r="BA101" s="112"/>
      <c r="BB101" s="112"/>
      <c r="BC101" s="112"/>
      <c r="BD101" s="112"/>
      <c r="BE101" s="112"/>
      <c r="BF101" s="112"/>
      <c r="BG101" s="112"/>
      <c r="BH101" s="112"/>
      <c r="BI101" s="112"/>
      <c r="BK101" s="112"/>
      <c r="BL101" s="112"/>
      <c r="BM101" s="112"/>
      <c r="BN101" s="112"/>
    </row>
    <row r="102" spans="17:66" x14ac:dyDescent="0.25">
      <c r="Q102" s="112"/>
      <c r="R102" s="112"/>
      <c r="S102" s="112"/>
      <c r="T102" s="112"/>
      <c r="U102" s="112"/>
      <c r="V102" s="112"/>
      <c r="W102" s="112"/>
      <c r="X102" s="112"/>
      <c r="Y102" s="112"/>
      <c r="Z102" s="112"/>
      <c r="AA102" s="112"/>
      <c r="AB102" s="112"/>
      <c r="AC102" s="112"/>
      <c r="AD102" s="112"/>
      <c r="AE102" s="112"/>
      <c r="AF102" s="112"/>
      <c r="AG102" s="112"/>
      <c r="AH102" s="112"/>
      <c r="AI102" s="112"/>
      <c r="AJ102" s="112"/>
      <c r="AK102" s="112"/>
      <c r="AL102" s="112"/>
      <c r="AP102" s="112"/>
      <c r="AQ102" s="112"/>
      <c r="AR102" s="112"/>
      <c r="AS102" s="112"/>
      <c r="AT102" s="112"/>
      <c r="AU102" s="112"/>
      <c r="AV102" s="112"/>
      <c r="AW102" s="112"/>
      <c r="AX102" s="112"/>
      <c r="AY102" s="112"/>
      <c r="BA102" s="112"/>
      <c r="BB102" s="112"/>
      <c r="BC102" s="112"/>
      <c r="BD102" s="112"/>
      <c r="BE102" s="112"/>
      <c r="BF102" s="112"/>
      <c r="BG102" s="112"/>
      <c r="BH102" s="112"/>
      <c r="BI102" s="112"/>
      <c r="BK102" s="112"/>
      <c r="BL102" s="112"/>
      <c r="BM102" s="112"/>
      <c r="BN102" s="112"/>
    </row>
    <row r="103" spans="17:66" x14ac:dyDescent="0.25">
      <c r="Q103" s="112"/>
      <c r="R103" s="112"/>
      <c r="S103" s="112"/>
      <c r="T103" s="112"/>
      <c r="U103" s="112"/>
      <c r="V103" s="112"/>
      <c r="W103" s="112"/>
      <c r="X103" s="112"/>
      <c r="Y103" s="112"/>
      <c r="Z103" s="112"/>
      <c r="AA103" s="112"/>
      <c r="AB103" s="112"/>
      <c r="AC103" s="112"/>
      <c r="AD103" s="112"/>
      <c r="AE103" s="112"/>
      <c r="AF103" s="112"/>
      <c r="AG103" s="112"/>
      <c r="AH103" s="112"/>
      <c r="AI103" s="112"/>
      <c r="AJ103" s="112"/>
      <c r="AK103" s="112"/>
      <c r="AL103" s="112"/>
      <c r="AP103" s="112"/>
      <c r="AQ103" s="112"/>
      <c r="AR103" s="112"/>
      <c r="AS103" s="112"/>
      <c r="AT103" s="112"/>
      <c r="AU103" s="112"/>
      <c r="AV103" s="112"/>
      <c r="AW103" s="112"/>
      <c r="AX103" s="112"/>
      <c r="AY103" s="112"/>
      <c r="BA103" s="112"/>
      <c r="BB103" s="112"/>
      <c r="BC103" s="112"/>
      <c r="BD103" s="112"/>
      <c r="BE103" s="112"/>
      <c r="BF103" s="112"/>
      <c r="BG103" s="112"/>
      <c r="BH103" s="112"/>
      <c r="BI103" s="112"/>
      <c r="BK103" s="112"/>
      <c r="BL103" s="112"/>
      <c r="BM103" s="112"/>
      <c r="BN103" s="112"/>
    </row>
    <row r="104" spans="17:66" x14ac:dyDescent="0.25">
      <c r="Q104" s="112"/>
      <c r="R104" s="112"/>
      <c r="S104" s="112"/>
      <c r="T104" s="112"/>
      <c r="U104" s="112"/>
      <c r="V104" s="112"/>
      <c r="W104" s="112"/>
      <c r="X104" s="112"/>
      <c r="Y104" s="112"/>
      <c r="Z104" s="112"/>
      <c r="AA104" s="112"/>
      <c r="AB104" s="112"/>
      <c r="AC104" s="112"/>
      <c r="AD104" s="112"/>
      <c r="AE104" s="112"/>
      <c r="AF104" s="112"/>
      <c r="AG104" s="112"/>
      <c r="AH104" s="112"/>
      <c r="AI104" s="112"/>
      <c r="AJ104" s="112"/>
      <c r="AK104" s="112"/>
      <c r="AL104" s="112"/>
      <c r="AP104" s="112"/>
      <c r="AQ104" s="112"/>
      <c r="AR104" s="112"/>
      <c r="AS104" s="112"/>
      <c r="AT104" s="112"/>
      <c r="AU104" s="112"/>
      <c r="AV104" s="112"/>
      <c r="AW104" s="112"/>
      <c r="AX104" s="112"/>
      <c r="AY104" s="112"/>
      <c r="BA104" s="112"/>
      <c r="BB104" s="112"/>
      <c r="BC104" s="112"/>
      <c r="BD104" s="112"/>
      <c r="BE104" s="112"/>
      <c r="BF104" s="112"/>
      <c r="BG104" s="112"/>
      <c r="BH104" s="112"/>
      <c r="BI104" s="112"/>
      <c r="BK104" s="112"/>
      <c r="BL104" s="112"/>
      <c r="BM104" s="112"/>
      <c r="BN104" s="112"/>
    </row>
    <row r="105" spans="17:66" x14ac:dyDescent="0.25">
      <c r="Q105" s="112"/>
      <c r="R105" s="112"/>
      <c r="S105" s="112"/>
      <c r="T105" s="112"/>
      <c r="U105" s="112"/>
      <c r="V105" s="112"/>
      <c r="W105" s="112"/>
      <c r="X105" s="112"/>
      <c r="Y105" s="112"/>
      <c r="Z105" s="112"/>
      <c r="AA105" s="112"/>
      <c r="AB105" s="112"/>
      <c r="AC105" s="112"/>
      <c r="AD105" s="112"/>
      <c r="AE105" s="112"/>
      <c r="AF105" s="112"/>
      <c r="AG105" s="112"/>
      <c r="AH105" s="112"/>
      <c r="AI105" s="112"/>
      <c r="AJ105" s="112"/>
      <c r="AK105" s="112"/>
      <c r="AL105" s="112"/>
      <c r="AP105" s="112"/>
      <c r="AQ105" s="112"/>
      <c r="AR105" s="112"/>
      <c r="AS105" s="112"/>
      <c r="AT105" s="112"/>
      <c r="AU105" s="112"/>
      <c r="AV105" s="112"/>
      <c r="AW105" s="112"/>
      <c r="AX105" s="112"/>
      <c r="AY105" s="112"/>
      <c r="BA105" s="112"/>
      <c r="BB105" s="112"/>
      <c r="BC105" s="112"/>
      <c r="BD105" s="112"/>
      <c r="BE105" s="112"/>
      <c r="BF105" s="112"/>
      <c r="BG105" s="112"/>
      <c r="BH105" s="112"/>
      <c r="BI105" s="112"/>
      <c r="BK105" s="112"/>
      <c r="BL105" s="112"/>
      <c r="BM105" s="112"/>
      <c r="BN105" s="112"/>
    </row>
    <row r="106" spans="17:66" x14ac:dyDescent="0.25">
      <c r="Q106" s="112"/>
      <c r="R106" s="112"/>
      <c r="S106" s="112"/>
      <c r="T106" s="112"/>
      <c r="U106" s="112"/>
      <c r="V106" s="112"/>
      <c r="W106" s="112"/>
      <c r="X106" s="112"/>
      <c r="Y106" s="112"/>
      <c r="Z106" s="112"/>
      <c r="AA106" s="112"/>
      <c r="AB106" s="112"/>
      <c r="AC106" s="112"/>
      <c r="AD106" s="112"/>
      <c r="AE106" s="112"/>
      <c r="AF106" s="112"/>
      <c r="AG106" s="112"/>
      <c r="AH106" s="112"/>
      <c r="AI106" s="112"/>
      <c r="AJ106" s="112"/>
      <c r="AK106" s="112"/>
      <c r="AL106" s="112"/>
      <c r="AP106" s="112"/>
      <c r="AQ106" s="112"/>
      <c r="AR106" s="112"/>
      <c r="AS106" s="112"/>
      <c r="AT106" s="112"/>
      <c r="AU106" s="112"/>
      <c r="AV106" s="112"/>
      <c r="AW106" s="112"/>
      <c r="AX106" s="112"/>
      <c r="AY106" s="112"/>
      <c r="BA106" s="112"/>
      <c r="BB106" s="112"/>
      <c r="BC106" s="112"/>
      <c r="BD106" s="112"/>
      <c r="BE106" s="112"/>
      <c r="BF106" s="112"/>
      <c r="BG106" s="112"/>
      <c r="BH106" s="112"/>
      <c r="BI106" s="112"/>
      <c r="BK106" s="112"/>
      <c r="BL106" s="112"/>
      <c r="BM106" s="112"/>
      <c r="BN106" s="112"/>
    </row>
    <row r="107" spans="17:66" x14ac:dyDescent="0.25">
      <c r="Q107" s="112"/>
      <c r="R107" s="112"/>
      <c r="S107" s="112"/>
      <c r="T107" s="112"/>
      <c r="U107" s="112"/>
      <c r="V107" s="112"/>
      <c r="W107" s="112"/>
      <c r="X107" s="112"/>
      <c r="Y107" s="112"/>
      <c r="Z107" s="112"/>
      <c r="AA107" s="112"/>
      <c r="AB107" s="112"/>
      <c r="AC107" s="112"/>
      <c r="AD107" s="112"/>
      <c r="AE107" s="112"/>
      <c r="AF107" s="112"/>
      <c r="AG107" s="112"/>
      <c r="AH107" s="112"/>
      <c r="AI107" s="112"/>
      <c r="AJ107" s="112"/>
      <c r="AK107" s="112"/>
      <c r="AL107" s="112"/>
      <c r="AP107" s="112"/>
      <c r="AQ107" s="112"/>
      <c r="AR107" s="112"/>
      <c r="AS107" s="112"/>
      <c r="AT107" s="112"/>
      <c r="AU107" s="112"/>
      <c r="AV107" s="112"/>
      <c r="AW107" s="112"/>
      <c r="AX107" s="112"/>
      <c r="AY107" s="112"/>
      <c r="BA107" s="112"/>
      <c r="BB107" s="112"/>
      <c r="BC107" s="112"/>
      <c r="BD107" s="112"/>
      <c r="BE107" s="112"/>
      <c r="BF107" s="112"/>
      <c r="BG107" s="112"/>
      <c r="BH107" s="112"/>
      <c r="BI107" s="112"/>
      <c r="BK107" s="112"/>
      <c r="BL107" s="112"/>
      <c r="BM107" s="112"/>
      <c r="BN107" s="112"/>
    </row>
    <row r="108" spans="17:66" x14ac:dyDescent="0.25">
      <c r="Q108" s="112"/>
      <c r="R108" s="112"/>
      <c r="S108" s="112"/>
      <c r="T108" s="112"/>
      <c r="U108" s="112"/>
      <c r="V108" s="112"/>
      <c r="W108" s="112"/>
      <c r="X108" s="112"/>
      <c r="Y108" s="112"/>
      <c r="Z108" s="112"/>
      <c r="AA108" s="112"/>
      <c r="AB108" s="112"/>
      <c r="AC108" s="112"/>
      <c r="AD108" s="112"/>
      <c r="AE108" s="112"/>
      <c r="AF108" s="112"/>
      <c r="AG108" s="112"/>
      <c r="AH108" s="112"/>
      <c r="AI108" s="112"/>
      <c r="AJ108" s="112"/>
      <c r="AK108" s="112"/>
      <c r="AL108" s="112"/>
      <c r="AP108" s="112"/>
      <c r="AQ108" s="112"/>
      <c r="AR108" s="112"/>
      <c r="AS108" s="112"/>
      <c r="AT108" s="112"/>
      <c r="AU108" s="112"/>
      <c r="AV108" s="112"/>
      <c r="AW108" s="112"/>
      <c r="AX108" s="112"/>
      <c r="AY108" s="112"/>
      <c r="BA108" s="112"/>
      <c r="BB108" s="112"/>
      <c r="BC108" s="112"/>
      <c r="BD108" s="112"/>
      <c r="BE108" s="112"/>
      <c r="BF108" s="112"/>
      <c r="BG108" s="112"/>
      <c r="BH108" s="112"/>
      <c r="BI108" s="112"/>
      <c r="BK108" s="112"/>
      <c r="BL108" s="112"/>
      <c r="BM108" s="112"/>
      <c r="BN108" s="112"/>
    </row>
    <row r="109" spans="17:66" x14ac:dyDescent="0.25">
      <c r="Q109" s="112"/>
      <c r="R109" s="112"/>
      <c r="S109" s="112"/>
      <c r="T109" s="112"/>
      <c r="U109" s="112"/>
      <c r="V109" s="112"/>
      <c r="W109" s="112"/>
      <c r="X109" s="112"/>
      <c r="Y109" s="112"/>
      <c r="Z109" s="112"/>
      <c r="AA109" s="112"/>
      <c r="AB109" s="112"/>
      <c r="AC109" s="112"/>
      <c r="AD109" s="112"/>
      <c r="AE109" s="112"/>
      <c r="AF109" s="112"/>
      <c r="AG109" s="112"/>
      <c r="AH109" s="112"/>
      <c r="AI109" s="112"/>
      <c r="AJ109" s="112"/>
      <c r="AK109" s="112"/>
      <c r="AL109" s="112"/>
      <c r="AP109" s="112"/>
      <c r="AQ109" s="112"/>
      <c r="AR109" s="112"/>
      <c r="AS109" s="112"/>
      <c r="AT109" s="112"/>
      <c r="AU109" s="112"/>
      <c r="AV109" s="112"/>
      <c r="AW109" s="112"/>
      <c r="AX109" s="112"/>
      <c r="AY109" s="112"/>
      <c r="BA109" s="112"/>
      <c r="BB109" s="112"/>
      <c r="BC109" s="112"/>
      <c r="BD109" s="112"/>
      <c r="BE109" s="112"/>
      <c r="BF109" s="112"/>
      <c r="BG109" s="112"/>
      <c r="BH109" s="112"/>
      <c r="BI109" s="112"/>
      <c r="BK109" s="112"/>
      <c r="BL109" s="112"/>
      <c r="BM109" s="112"/>
      <c r="BN109" s="112"/>
    </row>
    <row r="110" spans="17:66" x14ac:dyDescent="0.25">
      <c r="Q110" s="112"/>
      <c r="R110" s="112"/>
      <c r="S110" s="112"/>
      <c r="T110" s="112"/>
      <c r="U110" s="112"/>
      <c r="V110" s="112"/>
      <c r="W110" s="112"/>
      <c r="X110" s="112"/>
      <c r="Y110" s="112"/>
      <c r="Z110" s="112"/>
      <c r="AA110" s="112"/>
      <c r="AB110" s="112"/>
      <c r="AC110" s="112"/>
      <c r="AD110" s="112"/>
      <c r="AE110" s="112"/>
      <c r="AF110" s="112"/>
      <c r="AG110" s="112"/>
      <c r="AH110" s="112"/>
      <c r="AI110" s="112"/>
      <c r="AJ110" s="112"/>
      <c r="AK110" s="112"/>
      <c r="AL110" s="112"/>
      <c r="AP110" s="112"/>
      <c r="AQ110" s="112"/>
      <c r="AR110" s="112"/>
      <c r="AS110" s="112"/>
      <c r="AT110" s="112"/>
      <c r="AU110" s="112"/>
      <c r="AV110" s="112"/>
      <c r="AW110" s="112"/>
      <c r="AX110" s="112"/>
      <c r="AY110" s="112"/>
      <c r="BA110" s="112"/>
      <c r="BB110" s="112"/>
      <c r="BC110" s="112"/>
      <c r="BD110" s="112"/>
      <c r="BE110" s="112"/>
      <c r="BF110" s="112"/>
      <c r="BG110" s="112"/>
      <c r="BH110" s="112"/>
      <c r="BI110" s="112"/>
      <c r="BK110" s="112"/>
      <c r="BL110" s="112"/>
      <c r="BM110" s="112"/>
      <c r="BN110" s="112"/>
    </row>
    <row r="111" spans="17:66" x14ac:dyDescent="0.25">
      <c r="Q111" s="112"/>
      <c r="R111" s="112"/>
      <c r="S111" s="112"/>
      <c r="T111" s="112"/>
      <c r="U111" s="112"/>
      <c r="V111" s="112"/>
      <c r="W111" s="112"/>
      <c r="X111" s="112"/>
      <c r="Y111" s="112"/>
      <c r="Z111" s="112"/>
      <c r="AA111" s="112"/>
      <c r="AB111" s="112"/>
      <c r="AC111" s="112"/>
      <c r="AD111" s="112"/>
      <c r="AE111" s="112"/>
      <c r="AF111" s="112"/>
      <c r="AG111" s="112"/>
      <c r="AH111" s="112"/>
      <c r="AI111" s="112"/>
      <c r="AJ111" s="112"/>
      <c r="AK111" s="112"/>
      <c r="AL111" s="112"/>
      <c r="AP111" s="112"/>
      <c r="AQ111" s="112"/>
      <c r="AR111" s="112"/>
      <c r="AS111" s="112"/>
      <c r="AT111" s="112"/>
      <c r="AU111" s="112"/>
      <c r="AV111" s="112"/>
      <c r="AW111" s="112"/>
      <c r="AX111" s="112"/>
      <c r="AY111" s="112"/>
      <c r="BA111" s="112"/>
      <c r="BB111" s="112"/>
      <c r="BC111" s="112"/>
      <c r="BD111" s="112"/>
      <c r="BE111" s="112"/>
      <c r="BF111" s="112"/>
      <c r="BG111" s="112"/>
      <c r="BH111" s="112"/>
      <c r="BI111" s="112"/>
      <c r="BK111" s="112"/>
      <c r="BL111" s="112"/>
      <c r="BM111" s="112"/>
      <c r="BN111" s="112"/>
    </row>
    <row r="112" spans="17:66" x14ac:dyDescent="0.25">
      <c r="Q112" s="112"/>
      <c r="R112" s="112"/>
      <c r="S112" s="112"/>
      <c r="T112" s="112"/>
      <c r="U112" s="112"/>
      <c r="V112" s="112"/>
      <c r="W112" s="112"/>
      <c r="X112" s="112"/>
      <c r="Y112" s="112"/>
      <c r="Z112" s="112"/>
      <c r="AA112" s="112"/>
      <c r="AB112" s="112"/>
      <c r="AC112" s="112"/>
      <c r="AD112" s="112"/>
      <c r="AE112" s="112"/>
      <c r="AF112" s="112"/>
      <c r="AG112" s="112"/>
      <c r="AH112" s="112"/>
      <c r="AI112" s="112"/>
      <c r="AJ112" s="112"/>
      <c r="AK112" s="112"/>
      <c r="AL112" s="112"/>
      <c r="AP112" s="112"/>
      <c r="AQ112" s="112"/>
      <c r="AR112" s="112"/>
      <c r="AS112" s="112"/>
      <c r="AT112" s="112"/>
      <c r="AU112" s="112"/>
      <c r="AV112" s="112"/>
      <c r="AW112" s="112"/>
      <c r="AX112" s="112"/>
      <c r="AY112" s="112"/>
      <c r="BA112" s="112"/>
      <c r="BB112" s="112"/>
      <c r="BC112" s="112"/>
      <c r="BD112" s="112"/>
      <c r="BE112" s="112"/>
      <c r="BF112" s="112"/>
      <c r="BG112" s="112"/>
      <c r="BH112" s="112"/>
      <c r="BI112" s="112"/>
      <c r="BK112" s="112"/>
      <c r="BL112" s="112"/>
      <c r="BM112" s="112"/>
      <c r="BN112" s="112"/>
    </row>
    <row r="113" spans="17:66" x14ac:dyDescent="0.25">
      <c r="Q113" s="112"/>
      <c r="R113" s="112"/>
      <c r="S113" s="112"/>
      <c r="T113" s="112"/>
      <c r="U113" s="112"/>
      <c r="V113" s="112"/>
      <c r="W113" s="112"/>
      <c r="X113" s="112"/>
      <c r="Y113" s="112"/>
      <c r="Z113" s="112"/>
      <c r="AA113" s="112"/>
      <c r="AB113" s="112"/>
      <c r="AC113" s="112"/>
      <c r="AD113" s="112"/>
      <c r="AE113" s="112"/>
      <c r="AF113" s="112"/>
      <c r="AG113" s="112"/>
      <c r="AH113" s="112"/>
      <c r="AI113" s="112"/>
      <c r="AJ113" s="112"/>
      <c r="AK113" s="112"/>
      <c r="AL113" s="112"/>
      <c r="AP113" s="112"/>
      <c r="AQ113" s="112"/>
      <c r="AR113" s="112"/>
      <c r="AS113" s="112"/>
      <c r="AT113" s="112"/>
      <c r="AU113" s="112"/>
      <c r="AV113" s="112"/>
      <c r="AW113" s="112"/>
      <c r="AX113" s="112"/>
      <c r="AY113" s="112"/>
      <c r="BA113" s="112"/>
      <c r="BB113" s="112"/>
      <c r="BC113" s="112"/>
      <c r="BD113" s="112"/>
      <c r="BE113" s="112"/>
      <c r="BF113" s="112"/>
      <c r="BG113" s="112"/>
      <c r="BH113" s="112"/>
      <c r="BI113" s="112"/>
      <c r="BK113" s="112"/>
      <c r="BL113" s="112"/>
      <c r="BM113" s="112"/>
      <c r="BN113" s="112"/>
    </row>
    <row r="114" spans="17:66" x14ac:dyDescent="0.25">
      <c r="Q114" s="112"/>
      <c r="R114" s="112"/>
      <c r="S114" s="112"/>
      <c r="T114" s="112"/>
      <c r="U114" s="112"/>
      <c r="V114" s="112"/>
      <c r="W114" s="112"/>
      <c r="X114" s="112"/>
      <c r="Y114" s="112"/>
      <c r="Z114" s="112"/>
      <c r="AA114" s="112"/>
      <c r="AB114" s="112"/>
      <c r="AC114" s="112"/>
      <c r="AD114" s="112"/>
      <c r="AE114" s="112"/>
      <c r="AF114" s="112"/>
      <c r="AG114" s="112"/>
      <c r="AH114" s="112"/>
      <c r="AI114" s="112"/>
      <c r="AJ114" s="112"/>
      <c r="AK114" s="112"/>
      <c r="AL114" s="112"/>
      <c r="AP114" s="112"/>
      <c r="AQ114" s="112"/>
      <c r="AR114" s="112"/>
      <c r="AS114" s="112"/>
      <c r="AT114" s="112"/>
      <c r="AU114" s="112"/>
      <c r="AV114" s="112"/>
      <c r="AW114" s="112"/>
      <c r="AX114" s="112"/>
      <c r="AY114" s="112"/>
      <c r="BA114" s="112"/>
      <c r="BB114" s="112"/>
      <c r="BC114" s="112"/>
      <c r="BD114" s="112"/>
      <c r="BE114" s="112"/>
      <c r="BF114" s="112"/>
      <c r="BG114" s="112"/>
      <c r="BH114" s="112"/>
      <c r="BI114" s="112"/>
      <c r="BK114" s="112"/>
      <c r="BL114" s="112"/>
      <c r="BM114" s="112"/>
      <c r="BN114" s="112"/>
    </row>
    <row r="115" spans="17:66" x14ac:dyDescent="0.25">
      <c r="Q115" s="112"/>
      <c r="R115" s="112"/>
      <c r="S115" s="112"/>
      <c r="T115" s="112"/>
      <c r="U115" s="112"/>
      <c r="V115" s="112"/>
      <c r="W115" s="112"/>
      <c r="X115" s="112"/>
      <c r="Y115" s="112"/>
      <c r="Z115" s="112"/>
      <c r="AA115" s="112"/>
      <c r="AB115" s="112"/>
      <c r="AC115" s="112"/>
      <c r="AD115" s="112"/>
      <c r="AE115" s="112"/>
      <c r="AF115" s="112"/>
      <c r="AG115" s="112"/>
      <c r="AH115" s="112"/>
      <c r="AI115" s="112"/>
      <c r="AJ115" s="112"/>
      <c r="AK115" s="112"/>
      <c r="AL115" s="112"/>
      <c r="AP115" s="112"/>
      <c r="AQ115" s="112"/>
      <c r="AR115" s="112"/>
      <c r="AS115" s="112"/>
      <c r="AT115" s="112"/>
      <c r="AU115" s="112"/>
      <c r="AV115" s="112"/>
      <c r="AW115" s="112"/>
      <c r="AX115" s="112"/>
      <c r="AY115" s="112"/>
      <c r="BA115" s="112"/>
      <c r="BB115" s="112"/>
      <c r="BC115" s="112"/>
      <c r="BD115" s="112"/>
      <c r="BE115" s="112"/>
      <c r="BF115" s="112"/>
      <c r="BG115" s="112"/>
      <c r="BH115" s="112"/>
      <c r="BI115" s="112"/>
      <c r="BK115" s="112"/>
      <c r="BL115" s="112"/>
      <c r="BM115" s="112"/>
      <c r="BN115" s="112"/>
    </row>
    <row r="116" spans="17:66" x14ac:dyDescent="0.25">
      <c r="Q116" s="112"/>
      <c r="R116" s="112"/>
      <c r="S116" s="112"/>
      <c r="T116" s="112"/>
      <c r="U116" s="112"/>
      <c r="V116" s="112"/>
      <c r="W116" s="112"/>
      <c r="X116" s="112"/>
      <c r="Y116" s="112"/>
      <c r="Z116" s="112"/>
      <c r="AA116" s="112"/>
      <c r="AB116" s="112"/>
      <c r="AC116" s="112"/>
      <c r="AD116" s="112"/>
      <c r="AE116" s="112"/>
      <c r="AF116" s="112"/>
      <c r="AG116" s="112"/>
      <c r="AH116" s="112"/>
      <c r="AI116" s="112"/>
      <c r="AJ116" s="112"/>
      <c r="AK116" s="112"/>
      <c r="AL116" s="112"/>
      <c r="AP116" s="112"/>
      <c r="AQ116" s="112"/>
      <c r="AR116" s="112"/>
      <c r="AS116" s="112"/>
      <c r="AT116" s="112"/>
      <c r="AU116" s="112"/>
      <c r="AV116" s="112"/>
      <c r="AW116" s="112"/>
      <c r="AX116" s="112"/>
      <c r="AY116" s="112"/>
      <c r="BA116" s="112"/>
      <c r="BB116" s="112"/>
      <c r="BC116" s="112"/>
      <c r="BD116" s="112"/>
      <c r="BE116" s="112"/>
      <c r="BF116" s="112"/>
      <c r="BG116" s="112"/>
      <c r="BH116" s="112"/>
      <c r="BI116" s="112"/>
      <c r="BK116" s="112"/>
      <c r="BL116" s="112"/>
      <c r="BM116" s="112"/>
      <c r="BN116" s="112"/>
    </row>
    <row r="117" spans="17:66" x14ac:dyDescent="0.25">
      <c r="Q117" s="112"/>
      <c r="R117" s="112"/>
      <c r="S117" s="112"/>
      <c r="T117" s="112"/>
      <c r="U117" s="112"/>
      <c r="V117" s="112"/>
      <c r="W117" s="112"/>
      <c r="X117" s="112"/>
      <c r="Y117" s="112"/>
      <c r="Z117" s="112"/>
      <c r="AA117" s="112"/>
      <c r="AB117" s="112"/>
      <c r="AC117" s="112"/>
      <c r="AD117" s="112"/>
      <c r="AE117" s="112"/>
      <c r="AF117" s="112"/>
      <c r="AG117" s="112"/>
      <c r="AH117" s="112"/>
      <c r="AI117" s="112"/>
      <c r="AJ117" s="112"/>
      <c r="AK117" s="112"/>
      <c r="AL117" s="112"/>
      <c r="AP117" s="112"/>
      <c r="AQ117" s="112"/>
      <c r="AR117" s="112"/>
      <c r="AS117" s="112"/>
      <c r="AT117" s="112"/>
      <c r="AU117" s="112"/>
      <c r="AV117" s="112"/>
      <c r="AW117" s="112"/>
      <c r="AX117" s="112"/>
      <c r="AY117" s="112"/>
      <c r="BA117" s="112"/>
      <c r="BB117" s="112"/>
      <c r="BC117" s="112"/>
      <c r="BD117" s="112"/>
      <c r="BE117" s="112"/>
      <c r="BF117" s="112"/>
      <c r="BG117" s="112"/>
      <c r="BH117" s="112"/>
      <c r="BI117" s="112"/>
      <c r="BK117" s="112"/>
      <c r="BL117" s="112"/>
      <c r="BM117" s="112"/>
      <c r="BN117" s="112"/>
    </row>
    <row r="118" spans="17:66" x14ac:dyDescent="0.25">
      <c r="Q118" s="112"/>
      <c r="R118" s="112"/>
      <c r="S118" s="112"/>
      <c r="T118" s="112"/>
      <c r="U118" s="112"/>
      <c r="V118" s="112"/>
      <c r="W118" s="112"/>
      <c r="X118" s="112"/>
      <c r="Y118" s="112"/>
      <c r="Z118" s="112"/>
      <c r="AA118" s="112"/>
      <c r="AB118" s="112"/>
      <c r="AC118" s="112"/>
      <c r="AD118" s="112"/>
      <c r="AE118" s="112"/>
      <c r="AF118" s="112"/>
      <c r="AG118" s="112"/>
      <c r="AH118" s="112"/>
      <c r="AI118" s="112"/>
      <c r="AJ118" s="112"/>
      <c r="AK118" s="112"/>
      <c r="AL118" s="112"/>
      <c r="AP118" s="112"/>
      <c r="AQ118" s="112"/>
      <c r="AR118" s="112"/>
      <c r="AS118" s="112"/>
      <c r="AT118" s="112"/>
      <c r="AU118" s="112"/>
      <c r="AV118" s="112"/>
      <c r="AW118" s="112"/>
      <c r="AX118" s="112"/>
      <c r="AY118" s="112"/>
      <c r="BA118" s="112"/>
      <c r="BB118" s="112"/>
      <c r="BC118" s="112"/>
      <c r="BD118" s="112"/>
      <c r="BE118" s="112"/>
      <c r="BF118" s="112"/>
      <c r="BG118" s="112"/>
      <c r="BH118" s="112"/>
      <c r="BI118" s="112"/>
      <c r="BK118" s="112"/>
      <c r="BL118" s="112"/>
      <c r="BM118" s="112"/>
      <c r="BN118" s="112"/>
    </row>
    <row r="119" spans="17:66" x14ac:dyDescent="0.25">
      <c r="Q119" s="112"/>
      <c r="R119" s="112"/>
      <c r="S119" s="112"/>
      <c r="T119" s="112"/>
      <c r="U119" s="112"/>
      <c r="V119" s="112"/>
      <c r="W119" s="112"/>
      <c r="X119" s="112"/>
      <c r="Y119" s="112"/>
      <c r="Z119" s="112"/>
      <c r="AA119" s="112"/>
      <c r="AB119" s="112"/>
      <c r="AC119" s="112"/>
      <c r="AD119" s="112"/>
      <c r="AE119" s="112"/>
      <c r="AF119" s="112"/>
      <c r="AG119" s="112"/>
      <c r="AH119" s="112"/>
      <c r="AI119" s="112"/>
      <c r="AJ119" s="112"/>
      <c r="AK119" s="112"/>
      <c r="AL119" s="112"/>
      <c r="AP119" s="112"/>
      <c r="AQ119" s="112"/>
      <c r="AR119" s="112"/>
      <c r="AS119" s="112"/>
      <c r="AT119" s="112"/>
      <c r="AU119" s="112"/>
      <c r="AV119" s="112"/>
      <c r="AW119" s="112"/>
      <c r="AX119" s="112"/>
      <c r="AY119" s="112"/>
      <c r="BA119" s="112"/>
      <c r="BB119" s="112"/>
      <c r="BC119" s="112"/>
      <c r="BD119" s="112"/>
      <c r="BE119" s="112"/>
      <c r="BF119" s="112"/>
      <c r="BG119" s="112"/>
      <c r="BH119" s="112"/>
      <c r="BI119" s="112"/>
      <c r="BK119" s="112"/>
      <c r="BL119" s="112"/>
      <c r="BM119" s="112"/>
      <c r="BN119" s="112"/>
    </row>
    <row r="120" spans="17:66" x14ac:dyDescent="0.25">
      <c r="Q120" s="112"/>
      <c r="R120" s="112"/>
      <c r="S120" s="112"/>
      <c r="T120" s="112"/>
      <c r="U120" s="112"/>
      <c r="V120" s="112"/>
      <c r="W120" s="112"/>
      <c r="X120" s="112"/>
      <c r="Y120" s="112"/>
      <c r="Z120" s="112"/>
      <c r="AA120" s="112"/>
      <c r="AB120" s="112"/>
      <c r="AC120" s="112"/>
      <c r="AD120" s="112"/>
      <c r="AE120" s="112"/>
      <c r="AF120" s="112"/>
      <c r="AG120" s="112"/>
      <c r="AH120" s="112"/>
      <c r="AI120" s="112"/>
      <c r="AJ120" s="112"/>
      <c r="AK120" s="112"/>
      <c r="AL120" s="112"/>
      <c r="AP120" s="112"/>
      <c r="AQ120" s="112"/>
      <c r="AR120" s="112"/>
      <c r="AS120" s="112"/>
      <c r="AT120" s="112"/>
      <c r="AU120" s="112"/>
      <c r="AV120" s="112"/>
      <c r="AW120" s="112"/>
      <c r="AX120" s="112"/>
      <c r="AY120" s="112"/>
      <c r="BA120" s="112"/>
      <c r="BB120" s="112"/>
      <c r="BC120" s="112"/>
      <c r="BD120" s="112"/>
      <c r="BE120" s="112"/>
      <c r="BF120" s="112"/>
      <c r="BG120" s="112"/>
      <c r="BH120" s="112"/>
      <c r="BI120" s="112"/>
      <c r="BK120" s="112"/>
      <c r="BL120" s="112"/>
      <c r="BM120" s="112"/>
      <c r="BN120" s="112"/>
    </row>
    <row r="121" spans="17:66" x14ac:dyDescent="0.25">
      <c r="Q121" s="112"/>
      <c r="R121" s="112"/>
      <c r="S121" s="112"/>
      <c r="T121" s="112"/>
      <c r="U121" s="112"/>
      <c r="V121" s="112"/>
      <c r="W121" s="112"/>
      <c r="X121" s="112"/>
      <c r="Y121" s="112"/>
      <c r="Z121" s="112"/>
      <c r="AA121" s="112"/>
      <c r="AB121" s="112"/>
      <c r="AC121" s="112"/>
      <c r="AD121" s="112"/>
      <c r="AE121" s="112"/>
      <c r="AF121" s="112"/>
      <c r="AG121" s="112"/>
      <c r="AH121" s="112"/>
      <c r="AI121" s="112"/>
      <c r="AJ121" s="112"/>
      <c r="AK121" s="112"/>
      <c r="AL121" s="112"/>
      <c r="AP121" s="112"/>
      <c r="AQ121" s="112"/>
      <c r="AR121" s="112"/>
      <c r="AS121" s="112"/>
      <c r="AT121" s="112"/>
      <c r="AU121" s="112"/>
      <c r="AV121" s="112"/>
      <c r="AW121" s="112"/>
      <c r="AX121" s="112"/>
      <c r="AY121" s="112"/>
      <c r="BA121" s="112"/>
      <c r="BB121" s="112"/>
      <c r="BC121" s="112"/>
      <c r="BD121" s="112"/>
      <c r="BE121" s="112"/>
      <c r="BF121" s="112"/>
      <c r="BG121" s="112"/>
      <c r="BH121" s="112"/>
      <c r="BI121" s="112"/>
      <c r="BK121" s="112"/>
      <c r="BL121" s="112"/>
      <c r="BM121" s="112"/>
      <c r="BN121" s="112"/>
    </row>
    <row r="122" spans="17:66" x14ac:dyDescent="0.25">
      <c r="Q122" s="112"/>
      <c r="R122" s="112"/>
      <c r="S122" s="112"/>
      <c r="T122" s="112"/>
      <c r="U122" s="112"/>
      <c r="V122" s="112"/>
      <c r="W122" s="112"/>
      <c r="X122" s="112"/>
      <c r="Y122" s="112"/>
      <c r="Z122" s="112"/>
      <c r="AA122" s="112"/>
      <c r="AB122" s="112"/>
      <c r="AC122" s="112"/>
      <c r="AD122" s="112"/>
      <c r="AE122" s="112"/>
      <c r="AF122" s="112"/>
      <c r="AG122" s="112"/>
      <c r="AH122" s="112"/>
      <c r="AI122" s="112"/>
      <c r="AJ122" s="112"/>
      <c r="AK122" s="112"/>
      <c r="AL122" s="112"/>
      <c r="AP122" s="112"/>
      <c r="AQ122" s="112"/>
      <c r="AR122" s="112"/>
      <c r="AS122" s="112"/>
      <c r="AT122" s="112"/>
      <c r="AU122" s="112"/>
      <c r="AV122" s="112"/>
      <c r="AW122" s="112"/>
      <c r="AX122" s="112"/>
      <c r="AY122" s="112"/>
      <c r="BA122" s="112"/>
      <c r="BB122" s="112"/>
      <c r="BC122" s="112"/>
      <c r="BD122" s="112"/>
      <c r="BE122" s="112"/>
      <c r="BF122" s="112"/>
      <c r="BG122" s="112"/>
      <c r="BH122" s="112"/>
      <c r="BI122" s="112"/>
      <c r="BK122" s="112"/>
      <c r="BL122" s="112"/>
      <c r="BM122" s="112"/>
      <c r="BN122" s="112"/>
    </row>
    <row r="123" spans="17:66" x14ac:dyDescent="0.25">
      <c r="Q123" s="112"/>
      <c r="R123" s="112"/>
      <c r="S123" s="112"/>
      <c r="T123" s="112"/>
      <c r="U123" s="112"/>
      <c r="V123" s="112"/>
      <c r="W123" s="112"/>
      <c r="X123" s="112"/>
      <c r="Y123" s="112"/>
      <c r="Z123" s="112"/>
      <c r="AA123" s="112"/>
      <c r="AB123" s="112"/>
      <c r="AC123" s="112"/>
      <c r="AD123" s="112"/>
      <c r="AE123" s="112"/>
      <c r="AF123" s="112"/>
      <c r="AG123" s="112"/>
      <c r="AH123" s="112"/>
      <c r="AI123" s="112"/>
      <c r="AJ123" s="112"/>
      <c r="AK123" s="112"/>
      <c r="AL123" s="112"/>
      <c r="AP123" s="112"/>
      <c r="AQ123" s="112"/>
      <c r="AR123" s="112"/>
      <c r="AS123" s="112"/>
      <c r="AT123" s="112"/>
      <c r="AU123" s="112"/>
      <c r="AV123" s="112"/>
      <c r="AW123" s="112"/>
      <c r="AX123" s="112"/>
      <c r="AY123" s="112"/>
      <c r="BA123" s="112"/>
      <c r="BB123" s="112"/>
      <c r="BC123" s="112"/>
      <c r="BD123" s="112"/>
      <c r="BE123" s="112"/>
      <c r="BF123" s="112"/>
      <c r="BG123" s="112"/>
      <c r="BH123" s="112"/>
      <c r="BI123" s="112"/>
      <c r="BK123" s="112"/>
      <c r="BL123" s="112"/>
      <c r="BM123" s="112"/>
      <c r="BN123" s="112"/>
    </row>
    <row r="124" spans="17:66" x14ac:dyDescent="0.25">
      <c r="Q124" s="112"/>
      <c r="R124" s="112"/>
      <c r="S124" s="112"/>
      <c r="T124" s="112"/>
      <c r="U124" s="112"/>
      <c r="V124" s="112"/>
      <c r="W124" s="112"/>
      <c r="X124" s="112"/>
      <c r="Y124" s="112"/>
      <c r="Z124" s="112"/>
      <c r="AA124" s="112"/>
      <c r="AB124" s="112"/>
      <c r="AC124" s="112"/>
      <c r="AD124" s="112"/>
      <c r="AE124" s="112"/>
      <c r="AF124" s="112"/>
      <c r="AG124" s="112"/>
      <c r="AH124" s="112"/>
      <c r="AI124" s="112"/>
      <c r="AJ124" s="112"/>
      <c r="AK124" s="112"/>
      <c r="AL124" s="112"/>
      <c r="AP124" s="112"/>
      <c r="AQ124" s="112"/>
      <c r="AR124" s="112"/>
      <c r="AS124" s="112"/>
      <c r="AT124" s="112"/>
      <c r="AU124" s="112"/>
      <c r="AV124" s="112"/>
      <c r="AW124" s="112"/>
      <c r="AX124" s="112"/>
      <c r="AY124" s="112"/>
      <c r="BA124" s="112"/>
      <c r="BB124" s="112"/>
      <c r="BC124" s="112"/>
      <c r="BD124" s="112"/>
      <c r="BE124" s="112"/>
      <c r="BF124" s="112"/>
      <c r="BG124" s="112"/>
      <c r="BH124" s="112"/>
      <c r="BI124" s="112"/>
      <c r="BK124" s="112"/>
      <c r="BL124" s="112"/>
      <c r="BM124" s="112"/>
      <c r="BN124" s="112"/>
    </row>
    <row r="125" spans="17:66" x14ac:dyDescent="0.25">
      <c r="Q125" s="112"/>
      <c r="R125" s="112"/>
      <c r="S125" s="112"/>
      <c r="T125" s="112"/>
      <c r="U125" s="112"/>
      <c r="V125" s="112"/>
      <c r="W125" s="112"/>
      <c r="X125" s="112"/>
      <c r="Y125" s="112"/>
      <c r="Z125" s="112"/>
      <c r="AA125" s="112"/>
      <c r="AB125" s="112"/>
      <c r="AC125" s="112"/>
      <c r="AD125" s="112"/>
      <c r="AE125" s="112"/>
      <c r="AF125" s="112"/>
      <c r="AG125" s="112"/>
      <c r="AH125" s="112"/>
      <c r="AI125" s="112"/>
      <c r="AJ125" s="112"/>
      <c r="AK125" s="112"/>
      <c r="AL125" s="112"/>
      <c r="AP125" s="112"/>
      <c r="AQ125" s="112"/>
      <c r="AR125" s="112"/>
      <c r="AS125" s="112"/>
      <c r="AT125" s="112"/>
      <c r="AU125" s="112"/>
      <c r="AV125" s="112"/>
      <c r="AW125" s="112"/>
      <c r="AX125" s="112"/>
      <c r="AY125" s="112"/>
      <c r="BA125" s="112"/>
      <c r="BB125" s="112"/>
      <c r="BC125" s="112"/>
      <c r="BD125" s="112"/>
      <c r="BE125" s="112"/>
      <c r="BF125" s="112"/>
      <c r="BG125" s="112"/>
      <c r="BH125" s="112"/>
      <c r="BI125" s="112"/>
      <c r="BK125" s="112"/>
      <c r="BL125" s="112"/>
      <c r="BM125" s="112"/>
      <c r="BN125" s="112"/>
    </row>
    <row r="126" spans="17:66" x14ac:dyDescent="0.25">
      <c r="Q126" s="112"/>
      <c r="R126" s="112"/>
      <c r="S126" s="112"/>
      <c r="T126" s="112"/>
      <c r="U126" s="112"/>
      <c r="V126" s="112"/>
      <c r="W126" s="112"/>
      <c r="X126" s="112"/>
      <c r="Y126" s="112"/>
      <c r="Z126" s="112"/>
      <c r="AA126" s="112"/>
      <c r="AB126" s="112"/>
      <c r="AC126" s="112"/>
      <c r="AD126" s="112"/>
      <c r="AE126" s="112"/>
      <c r="AF126" s="112"/>
      <c r="AG126" s="112"/>
      <c r="AH126" s="112"/>
      <c r="AI126" s="112"/>
      <c r="AJ126" s="112"/>
      <c r="AK126" s="112"/>
      <c r="AL126" s="112"/>
      <c r="AP126" s="112"/>
      <c r="AQ126" s="112"/>
      <c r="AR126" s="112"/>
      <c r="AS126" s="112"/>
      <c r="AT126" s="112"/>
      <c r="AU126" s="112"/>
      <c r="AV126" s="112"/>
      <c r="AW126" s="112"/>
      <c r="AX126" s="112"/>
      <c r="AY126" s="112"/>
      <c r="BA126" s="112"/>
      <c r="BB126" s="112"/>
      <c r="BC126" s="112"/>
      <c r="BD126" s="112"/>
      <c r="BE126" s="112"/>
      <c r="BF126" s="112"/>
      <c r="BG126" s="112"/>
      <c r="BH126" s="112"/>
      <c r="BI126" s="112"/>
      <c r="BK126" s="112"/>
      <c r="BL126" s="112"/>
      <c r="BM126" s="112"/>
      <c r="BN126" s="112"/>
    </row>
    <row r="127" spans="17:66" x14ac:dyDescent="0.25">
      <c r="Q127" s="112"/>
      <c r="R127" s="112"/>
      <c r="S127" s="112"/>
      <c r="T127" s="112"/>
      <c r="U127" s="112"/>
      <c r="V127" s="112"/>
      <c r="W127" s="112"/>
      <c r="X127" s="112"/>
      <c r="Y127" s="112"/>
      <c r="Z127" s="112"/>
      <c r="AA127" s="112"/>
      <c r="AB127" s="112"/>
      <c r="AC127" s="112"/>
      <c r="AD127" s="112"/>
      <c r="AE127" s="112"/>
      <c r="AF127" s="112"/>
      <c r="AG127" s="112"/>
      <c r="AH127" s="112"/>
      <c r="AI127" s="112"/>
      <c r="AJ127" s="112"/>
      <c r="AK127" s="112"/>
      <c r="AL127" s="112"/>
      <c r="AP127" s="112"/>
      <c r="AQ127" s="112"/>
      <c r="AR127" s="112"/>
      <c r="AS127" s="112"/>
      <c r="AT127" s="112"/>
      <c r="AU127" s="112"/>
      <c r="AV127" s="112"/>
      <c r="AW127" s="112"/>
      <c r="AX127" s="112"/>
      <c r="AY127" s="112"/>
      <c r="BA127" s="112"/>
      <c r="BB127" s="112"/>
      <c r="BC127" s="112"/>
      <c r="BD127" s="112"/>
      <c r="BE127" s="112"/>
      <c r="BF127" s="112"/>
      <c r="BG127" s="112"/>
      <c r="BH127" s="112"/>
      <c r="BI127" s="112"/>
      <c r="BK127" s="112"/>
      <c r="BL127" s="112"/>
      <c r="BM127" s="112"/>
      <c r="BN127" s="112"/>
    </row>
    <row r="128" spans="17:66" x14ac:dyDescent="0.25">
      <c r="Q128" s="112"/>
      <c r="R128" s="112"/>
      <c r="S128" s="112"/>
      <c r="T128" s="112"/>
      <c r="U128" s="112"/>
      <c r="V128" s="112"/>
      <c r="W128" s="112"/>
      <c r="X128" s="112"/>
      <c r="Y128" s="112"/>
      <c r="Z128" s="112"/>
      <c r="AA128" s="112"/>
      <c r="AB128" s="112"/>
      <c r="AC128" s="112"/>
      <c r="AD128" s="112"/>
      <c r="AE128" s="112"/>
      <c r="AF128" s="112"/>
      <c r="AG128" s="112"/>
      <c r="AH128" s="112"/>
      <c r="AI128" s="112"/>
      <c r="AJ128" s="112"/>
      <c r="AK128" s="112"/>
      <c r="AL128" s="112"/>
      <c r="AP128" s="112"/>
      <c r="AQ128" s="112"/>
      <c r="AR128" s="112"/>
      <c r="AS128" s="112"/>
      <c r="AT128" s="112"/>
      <c r="AU128" s="112"/>
      <c r="AV128" s="112"/>
      <c r="AW128" s="112"/>
      <c r="AX128" s="112"/>
      <c r="AY128" s="112"/>
      <c r="BA128" s="112"/>
      <c r="BB128" s="112"/>
      <c r="BC128" s="112"/>
      <c r="BD128" s="112"/>
      <c r="BE128" s="112"/>
      <c r="BF128" s="112"/>
      <c r="BG128" s="112"/>
      <c r="BH128" s="112"/>
      <c r="BI128" s="112"/>
      <c r="BK128" s="112"/>
      <c r="BL128" s="112"/>
      <c r="BM128" s="112"/>
      <c r="BN128" s="112"/>
    </row>
    <row r="129" spans="17:66" x14ac:dyDescent="0.25">
      <c r="Q129" s="112"/>
      <c r="R129" s="112"/>
      <c r="S129" s="112"/>
      <c r="T129" s="112"/>
      <c r="U129" s="112"/>
      <c r="V129" s="112"/>
      <c r="W129" s="112"/>
      <c r="X129" s="112"/>
      <c r="Y129" s="112"/>
      <c r="Z129" s="112"/>
      <c r="AA129" s="112"/>
      <c r="AB129" s="112"/>
      <c r="AC129" s="112"/>
      <c r="AD129" s="112"/>
      <c r="AE129" s="112"/>
      <c r="AF129" s="112"/>
      <c r="AG129" s="112"/>
      <c r="AH129" s="112"/>
      <c r="AI129" s="112"/>
      <c r="AJ129" s="112"/>
      <c r="AK129" s="112"/>
      <c r="AL129" s="112"/>
      <c r="AP129" s="112"/>
      <c r="AQ129" s="112"/>
      <c r="AR129" s="112"/>
      <c r="AS129" s="112"/>
      <c r="AT129" s="112"/>
      <c r="AU129" s="112"/>
      <c r="AV129" s="112"/>
      <c r="AW129" s="112"/>
      <c r="AX129" s="112"/>
      <c r="AY129" s="112"/>
      <c r="BA129" s="112"/>
      <c r="BB129" s="112"/>
      <c r="BC129" s="112"/>
      <c r="BD129" s="112"/>
      <c r="BE129" s="112"/>
      <c r="BF129" s="112"/>
      <c r="BG129" s="112"/>
      <c r="BH129" s="112"/>
      <c r="BI129" s="112"/>
      <c r="BK129" s="112"/>
      <c r="BL129" s="112"/>
      <c r="BM129" s="112"/>
      <c r="BN129" s="112"/>
    </row>
    <row r="130" spans="17:66" x14ac:dyDescent="0.25">
      <c r="Q130" s="112"/>
      <c r="R130" s="112"/>
      <c r="S130" s="112"/>
      <c r="T130" s="112"/>
      <c r="U130" s="112"/>
      <c r="V130" s="112"/>
      <c r="W130" s="112"/>
      <c r="X130" s="112"/>
      <c r="Y130" s="112"/>
      <c r="Z130" s="112"/>
      <c r="AA130" s="112"/>
      <c r="AB130" s="112"/>
      <c r="AC130" s="112"/>
      <c r="AD130" s="112"/>
      <c r="AE130" s="112"/>
      <c r="AF130" s="112"/>
      <c r="AG130" s="112"/>
      <c r="AH130" s="112"/>
      <c r="AI130" s="112"/>
      <c r="AJ130" s="112"/>
      <c r="AK130" s="112"/>
      <c r="AL130" s="112"/>
      <c r="AP130" s="112"/>
      <c r="AQ130" s="112"/>
      <c r="AR130" s="112"/>
      <c r="AS130" s="112"/>
      <c r="AT130" s="112"/>
      <c r="AU130" s="112"/>
      <c r="AV130" s="112"/>
      <c r="AW130" s="112"/>
      <c r="AX130" s="112"/>
      <c r="AY130" s="112"/>
      <c r="BA130" s="112"/>
      <c r="BB130" s="112"/>
      <c r="BC130" s="112"/>
      <c r="BD130" s="112"/>
      <c r="BE130" s="112"/>
      <c r="BF130" s="112"/>
      <c r="BG130" s="112"/>
      <c r="BH130" s="112"/>
      <c r="BI130" s="112"/>
      <c r="BK130" s="112"/>
      <c r="BL130" s="112"/>
      <c r="BM130" s="112"/>
      <c r="BN130" s="112"/>
    </row>
    <row r="131" spans="17:66" x14ac:dyDescent="0.25">
      <c r="Q131" s="112"/>
      <c r="R131" s="112"/>
      <c r="S131" s="112"/>
      <c r="T131" s="112"/>
      <c r="U131" s="112"/>
      <c r="V131" s="112"/>
      <c r="W131" s="112"/>
      <c r="X131" s="112"/>
      <c r="Y131" s="112"/>
      <c r="Z131" s="112"/>
      <c r="AA131" s="112"/>
      <c r="AB131" s="112"/>
      <c r="AC131" s="112"/>
      <c r="AD131" s="112"/>
      <c r="AE131" s="112"/>
      <c r="AF131" s="112"/>
      <c r="AG131" s="112"/>
      <c r="AH131" s="112"/>
      <c r="AI131" s="112"/>
      <c r="AJ131" s="112"/>
      <c r="AK131" s="112"/>
      <c r="AL131" s="112"/>
      <c r="AP131" s="112"/>
      <c r="AQ131" s="112"/>
      <c r="AR131" s="112"/>
      <c r="AS131" s="112"/>
      <c r="AT131" s="112"/>
      <c r="AU131" s="112"/>
      <c r="AV131" s="112"/>
      <c r="AW131" s="112"/>
      <c r="AX131" s="112"/>
      <c r="AY131" s="112"/>
      <c r="BA131" s="112"/>
      <c r="BB131" s="112"/>
      <c r="BC131" s="112"/>
      <c r="BD131" s="112"/>
      <c r="BE131" s="112"/>
      <c r="BF131" s="112"/>
      <c r="BG131" s="112"/>
      <c r="BH131" s="112"/>
      <c r="BI131" s="112"/>
      <c r="BK131" s="112"/>
      <c r="BL131" s="112"/>
      <c r="BM131" s="112"/>
      <c r="BN131" s="112"/>
    </row>
    <row r="132" spans="17:66" x14ac:dyDescent="0.25">
      <c r="Q132" s="112"/>
      <c r="R132" s="112"/>
      <c r="S132" s="112"/>
      <c r="T132" s="112"/>
      <c r="U132" s="112"/>
      <c r="V132" s="112"/>
      <c r="W132" s="112"/>
      <c r="X132" s="112"/>
      <c r="Y132" s="112"/>
      <c r="Z132" s="112"/>
      <c r="AA132" s="112"/>
      <c r="AB132" s="112"/>
      <c r="AC132" s="112"/>
      <c r="AD132" s="112"/>
      <c r="AE132" s="112"/>
      <c r="AF132" s="112"/>
      <c r="AG132" s="112"/>
      <c r="AH132" s="112"/>
      <c r="AI132" s="112"/>
      <c r="AJ132" s="112"/>
      <c r="AK132" s="112"/>
      <c r="AL132" s="112"/>
      <c r="AP132" s="112"/>
      <c r="AQ132" s="112"/>
      <c r="AR132" s="112"/>
      <c r="AS132" s="112"/>
      <c r="AT132" s="112"/>
      <c r="AU132" s="112"/>
      <c r="AV132" s="112"/>
      <c r="AW132" s="112"/>
      <c r="AX132" s="112"/>
      <c r="AY132" s="112"/>
      <c r="BA132" s="112"/>
      <c r="BB132" s="112"/>
      <c r="BC132" s="112"/>
      <c r="BD132" s="112"/>
      <c r="BE132" s="112"/>
      <c r="BF132" s="112"/>
      <c r="BG132" s="112"/>
      <c r="BH132" s="112"/>
      <c r="BI132" s="112"/>
      <c r="BK132" s="112"/>
      <c r="BL132" s="112"/>
      <c r="BM132" s="112"/>
      <c r="BN132" s="112"/>
    </row>
    <row r="133" spans="17:66" x14ac:dyDescent="0.25">
      <c r="Q133" s="112"/>
      <c r="R133" s="112"/>
      <c r="S133" s="112"/>
      <c r="T133" s="112"/>
      <c r="U133" s="112"/>
      <c r="V133" s="112"/>
      <c r="W133" s="112"/>
      <c r="X133" s="112"/>
      <c r="Y133" s="112"/>
      <c r="Z133" s="112"/>
      <c r="AA133" s="112"/>
      <c r="AB133" s="112"/>
      <c r="AC133" s="112"/>
      <c r="AD133" s="112"/>
      <c r="AE133" s="112"/>
      <c r="AF133" s="112"/>
      <c r="AG133" s="112"/>
      <c r="AH133" s="112"/>
      <c r="AI133" s="112"/>
      <c r="AJ133" s="112"/>
      <c r="AK133" s="112"/>
      <c r="AL133" s="112"/>
      <c r="AP133" s="112"/>
      <c r="AQ133" s="112"/>
      <c r="AR133" s="112"/>
      <c r="AS133" s="112"/>
      <c r="AT133" s="112"/>
      <c r="AU133" s="112"/>
      <c r="AV133" s="112"/>
      <c r="AW133" s="112"/>
      <c r="AX133" s="112"/>
      <c r="AY133" s="112"/>
      <c r="BA133" s="112"/>
      <c r="BB133" s="112"/>
      <c r="BC133" s="112"/>
      <c r="BD133" s="112"/>
      <c r="BE133" s="112"/>
      <c r="BF133" s="112"/>
      <c r="BG133" s="112"/>
      <c r="BH133" s="112"/>
      <c r="BI133" s="112"/>
      <c r="BK133" s="112"/>
      <c r="BL133" s="112"/>
      <c r="BM133" s="112"/>
      <c r="BN133" s="112"/>
    </row>
    <row r="134" spans="17:66" x14ac:dyDescent="0.25">
      <c r="Q134" s="112"/>
      <c r="R134" s="112"/>
      <c r="S134" s="112"/>
      <c r="T134" s="112"/>
      <c r="U134" s="112"/>
      <c r="V134" s="112"/>
      <c r="W134" s="112"/>
      <c r="X134" s="112"/>
      <c r="Y134" s="112"/>
      <c r="Z134" s="112"/>
      <c r="AA134" s="112"/>
      <c r="AB134" s="112"/>
      <c r="AC134" s="112"/>
      <c r="AD134" s="112"/>
      <c r="AE134" s="112"/>
      <c r="AF134" s="112"/>
      <c r="AG134" s="112"/>
      <c r="AH134" s="112"/>
      <c r="AI134" s="112"/>
      <c r="AJ134" s="112"/>
      <c r="AK134" s="112"/>
      <c r="AL134" s="112"/>
      <c r="AP134" s="112"/>
      <c r="AQ134" s="112"/>
      <c r="AR134" s="112"/>
      <c r="AS134" s="112"/>
      <c r="AT134" s="112"/>
      <c r="AU134" s="112"/>
      <c r="AV134" s="112"/>
      <c r="AW134" s="112"/>
      <c r="AX134" s="112"/>
      <c r="AY134" s="112"/>
      <c r="BA134" s="112"/>
      <c r="BB134" s="112"/>
      <c r="BC134" s="112"/>
      <c r="BD134" s="112"/>
      <c r="BE134" s="112"/>
      <c r="BF134" s="112"/>
      <c r="BG134" s="112"/>
      <c r="BH134" s="112"/>
      <c r="BI134" s="112"/>
      <c r="BK134" s="112"/>
      <c r="BL134" s="112"/>
      <c r="BM134" s="112"/>
      <c r="BN134" s="112"/>
    </row>
    <row r="135" spans="17:66" x14ac:dyDescent="0.25">
      <c r="Q135" s="112"/>
      <c r="R135" s="112"/>
      <c r="S135" s="112"/>
      <c r="T135" s="112"/>
      <c r="U135" s="112"/>
      <c r="V135" s="112"/>
      <c r="W135" s="112"/>
      <c r="X135" s="112"/>
      <c r="Y135" s="112"/>
      <c r="Z135" s="112"/>
      <c r="AA135" s="112"/>
      <c r="AB135" s="112"/>
      <c r="AC135" s="112"/>
      <c r="AD135" s="112"/>
      <c r="AE135" s="112"/>
      <c r="AF135" s="112"/>
      <c r="AG135" s="112"/>
      <c r="AH135" s="112"/>
      <c r="AI135" s="112"/>
      <c r="AJ135" s="112"/>
      <c r="AK135" s="112"/>
      <c r="AL135" s="112"/>
      <c r="AP135" s="112"/>
      <c r="AQ135" s="112"/>
      <c r="AR135" s="112"/>
      <c r="AS135" s="112"/>
      <c r="AT135" s="112"/>
      <c r="AU135" s="112"/>
      <c r="AV135" s="112"/>
      <c r="AW135" s="112"/>
      <c r="AX135" s="112"/>
      <c r="AY135" s="112"/>
      <c r="BA135" s="112"/>
      <c r="BB135" s="112"/>
      <c r="BC135" s="112"/>
      <c r="BD135" s="112"/>
      <c r="BE135" s="112"/>
      <c r="BF135" s="112"/>
      <c r="BG135" s="112"/>
      <c r="BH135" s="112"/>
      <c r="BI135" s="112"/>
      <c r="BK135" s="112"/>
      <c r="BL135" s="112"/>
      <c r="BM135" s="112"/>
      <c r="BN135" s="112"/>
    </row>
    <row r="136" spans="17:66" x14ac:dyDescent="0.25">
      <c r="Q136" s="112"/>
      <c r="R136" s="112"/>
      <c r="S136" s="112"/>
      <c r="T136" s="112"/>
      <c r="U136" s="112"/>
      <c r="V136" s="112"/>
      <c r="W136" s="112"/>
      <c r="X136" s="112"/>
      <c r="Y136" s="112"/>
      <c r="Z136" s="112"/>
      <c r="AA136" s="112"/>
      <c r="AB136" s="112"/>
      <c r="AC136" s="112"/>
      <c r="AD136" s="112"/>
      <c r="AE136" s="112"/>
      <c r="AF136" s="112"/>
      <c r="AG136" s="112"/>
      <c r="AH136" s="112"/>
      <c r="AI136" s="112"/>
      <c r="AJ136" s="112"/>
      <c r="AK136" s="112"/>
      <c r="AL136" s="112"/>
      <c r="AP136" s="112"/>
      <c r="AQ136" s="112"/>
      <c r="AR136" s="112"/>
      <c r="AS136" s="112"/>
      <c r="AT136" s="112"/>
      <c r="AU136" s="112"/>
      <c r="AV136" s="112"/>
      <c r="AW136" s="112"/>
      <c r="AX136" s="112"/>
      <c r="AY136" s="112"/>
      <c r="BA136" s="112"/>
      <c r="BB136" s="112"/>
      <c r="BC136" s="112"/>
      <c r="BD136" s="112"/>
      <c r="BE136" s="112"/>
      <c r="BF136" s="112"/>
      <c r="BG136" s="112"/>
      <c r="BH136" s="112"/>
      <c r="BI136" s="112"/>
      <c r="BK136" s="112"/>
      <c r="BL136" s="112"/>
      <c r="BM136" s="112"/>
      <c r="BN136" s="112"/>
    </row>
    <row r="137" spans="17:66" x14ac:dyDescent="0.25">
      <c r="Q137" s="112"/>
      <c r="R137" s="112"/>
      <c r="S137" s="112"/>
      <c r="T137" s="112"/>
      <c r="U137" s="112"/>
      <c r="V137" s="112"/>
      <c r="W137" s="112"/>
      <c r="X137" s="112"/>
      <c r="Y137" s="112"/>
      <c r="Z137" s="112"/>
      <c r="AA137" s="112"/>
      <c r="AB137" s="112"/>
      <c r="AC137" s="112"/>
      <c r="AD137" s="112"/>
      <c r="AE137" s="112"/>
      <c r="AF137" s="112"/>
      <c r="AG137" s="112"/>
      <c r="AH137" s="112"/>
      <c r="AI137" s="112"/>
      <c r="AJ137" s="112"/>
      <c r="AK137" s="112"/>
      <c r="AL137" s="112"/>
      <c r="AP137" s="112"/>
      <c r="AQ137" s="112"/>
      <c r="AR137" s="112"/>
      <c r="AS137" s="112"/>
      <c r="AT137" s="112"/>
      <c r="AU137" s="112"/>
      <c r="AV137" s="112"/>
      <c r="AW137" s="112"/>
      <c r="AX137" s="112"/>
      <c r="AY137" s="112"/>
      <c r="BA137" s="112"/>
      <c r="BB137" s="112"/>
      <c r="BC137" s="112"/>
      <c r="BD137" s="112"/>
      <c r="BE137" s="112"/>
      <c r="BF137" s="112"/>
      <c r="BG137" s="112"/>
      <c r="BH137" s="112"/>
      <c r="BI137" s="112"/>
      <c r="BK137" s="112"/>
      <c r="BL137" s="112"/>
      <c r="BM137" s="112"/>
      <c r="BN137" s="112"/>
    </row>
    <row r="138" spans="17:66" x14ac:dyDescent="0.25">
      <c r="Q138" s="112"/>
      <c r="R138" s="112"/>
      <c r="S138" s="112"/>
      <c r="T138" s="112"/>
      <c r="U138" s="112"/>
      <c r="V138" s="112"/>
      <c r="W138" s="112"/>
      <c r="X138" s="112"/>
      <c r="Y138" s="112"/>
      <c r="Z138" s="112"/>
      <c r="AA138" s="112"/>
      <c r="AB138" s="112"/>
      <c r="AC138" s="112"/>
      <c r="AD138" s="112"/>
      <c r="AE138" s="112"/>
      <c r="AF138" s="112"/>
      <c r="AG138" s="112"/>
      <c r="AH138" s="112"/>
      <c r="AI138" s="112"/>
      <c r="AJ138" s="112"/>
      <c r="AK138" s="112"/>
      <c r="AL138" s="112"/>
      <c r="AP138" s="112"/>
      <c r="AQ138" s="112"/>
      <c r="AR138" s="112"/>
      <c r="AS138" s="112"/>
      <c r="AT138" s="112"/>
      <c r="AU138" s="112"/>
      <c r="AV138" s="112"/>
      <c r="AW138" s="112"/>
      <c r="AX138" s="112"/>
      <c r="AY138" s="112"/>
      <c r="BA138" s="112"/>
      <c r="BB138" s="112"/>
      <c r="BC138" s="112"/>
      <c r="BD138" s="112"/>
      <c r="BE138" s="112"/>
      <c r="BF138" s="112"/>
      <c r="BG138" s="112"/>
      <c r="BH138" s="112"/>
      <c r="BI138" s="112"/>
      <c r="BK138" s="112"/>
      <c r="BL138" s="112"/>
      <c r="BM138" s="112"/>
      <c r="BN138" s="112"/>
    </row>
    <row r="139" spans="17:66" x14ac:dyDescent="0.25">
      <c r="Q139" s="112"/>
      <c r="R139" s="112"/>
      <c r="S139" s="112"/>
      <c r="T139" s="112"/>
      <c r="U139" s="112"/>
      <c r="V139" s="112"/>
      <c r="W139" s="112"/>
      <c r="X139" s="112"/>
      <c r="Y139" s="112"/>
      <c r="Z139" s="112"/>
      <c r="AA139" s="112"/>
      <c r="AB139" s="112"/>
      <c r="AC139" s="112"/>
      <c r="AD139" s="112"/>
      <c r="AE139" s="112"/>
      <c r="AF139" s="112"/>
      <c r="AG139" s="112"/>
      <c r="AH139" s="112"/>
      <c r="AI139" s="112"/>
      <c r="AJ139" s="112"/>
      <c r="AK139" s="112"/>
      <c r="AL139" s="112"/>
      <c r="AP139" s="112"/>
      <c r="AQ139" s="112"/>
      <c r="AR139" s="112"/>
      <c r="AS139" s="112"/>
      <c r="AT139" s="112"/>
      <c r="AU139" s="112"/>
      <c r="AV139" s="112"/>
      <c r="AW139" s="112"/>
      <c r="AX139" s="112"/>
      <c r="AY139" s="112"/>
      <c r="BA139" s="112"/>
      <c r="BB139" s="112"/>
      <c r="BC139" s="112"/>
      <c r="BD139" s="112"/>
      <c r="BE139" s="112"/>
      <c r="BF139" s="112"/>
      <c r="BG139" s="112"/>
      <c r="BH139" s="112"/>
      <c r="BI139" s="112"/>
      <c r="BK139" s="112"/>
      <c r="BL139" s="112"/>
      <c r="BM139" s="112"/>
      <c r="BN139" s="112"/>
    </row>
    <row r="140" spans="17:66" x14ac:dyDescent="0.25">
      <c r="Q140" s="112"/>
      <c r="R140" s="112"/>
      <c r="S140" s="112"/>
      <c r="T140" s="112"/>
      <c r="U140" s="112"/>
      <c r="V140" s="112"/>
      <c r="W140" s="112"/>
      <c r="X140" s="112"/>
      <c r="Y140" s="112"/>
      <c r="Z140" s="112"/>
      <c r="AA140" s="112"/>
      <c r="AB140" s="112"/>
      <c r="AC140" s="112"/>
      <c r="AD140" s="112"/>
      <c r="AE140" s="112"/>
      <c r="AF140" s="112"/>
      <c r="AG140" s="112"/>
      <c r="AH140" s="112"/>
      <c r="AI140" s="112"/>
      <c r="AJ140" s="112"/>
      <c r="AK140" s="112"/>
      <c r="AL140" s="112"/>
      <c r="AP140" s="112"/>
      <c r="AQ140" s="112"/>
      <c r="AR140" s="112"/>
      <c r="AS140" s="112"/>
      <c r="AT140" s="112"/>
      <c r="AU140" s="112"/>
      <c r="AV140" s="112"/>
      <c r="AW140" s="112"/>
      <c r="AX140" s="112"/>
      <c r="AY140" s="112"/>
      <c r="BA140" s="112"/>
      <c r="BB140" s="112"/>
      <c r="BC140" s="112"/>
      <c r="BD140" s="112"/>
      <c r="BE140" s="112"/>
      <c r="BF140" s="112"/>
      <c r="BG140" s="112"/>
      <c r="BH140" s="112"/>
      <c r="BI140" s="112"/>
      <c r="BK140" s="112"/>
      <c r="BL140" s="112"/>
      <c r="BM140" s="112"/>
      <c r="BN140" s="112"/>
    </row>
    <row r="141" spans="17:66" x14ac:dyDescent="0.25">
      <c r="Q141" s="112"/>
      <c r="R141" s="112"/>
      <c r="S141" s="112"/>
      <c r="T141" s="112"/>
      <c r="U141" s="112"/>
      <c r="V141" s="112"/>
      <c r="W141" s="112"/>
      <c r="X141" s="112"/>
      <c r="Y141" s="112"/>
      <c r="Z141" s="112"/>
      <c r="AA141" s="112"/>
      <c r="AB141" s="112"/>
      <c r="AC141" s="112"/>
      <c r="AD141" s="112"/>
      <c r="AE141" s="112"/>
      <c r="AF141" s="112"/>
      <c r="AG141" s="112"/>
      <c r="AH141" s="112"/>
      <c r="AI141" s="112"/>
      <c r="AJ141" s="112"/>
      <c r="AK141" s="112"/>
      <c r="AL141" s="112"/>
      <c r="AP141" s="112"/>
      <c r="AQ141" s="112"/>
      <c r="AR141" s="112"/>
      <c r="AS141" s="112"/>
      <c r="AT141" s="112"/>
      <c r="AU141" s="112"/>
      <c r="AV141" s="112"/>
      <c r="AW141" s="112"/>
      <c r="AX141" s="112"/>
      <c r="AY141" s="112"/>
      <c r="BA141" s="112"/>
      <c r="BB141" s="112"/>
      <c r="BC141" s="112"/>
      <c r="BD141" s="112"/>
      <c r="BE141" s="112"/>
      <c r="BF141" s="112"/>
      <c r="BG141" s="112"/>
      <c r="BH141" s="112"/>
      <c r="BI141" s="112"/>
      <c r="BK141" s="112"/>
      <c r="BL141" s="112"/>
      <c r="BM141" s="112"/>
      <c r="BN141" s="112"/>
    </row>
    <row r="142" spans="17:66" x14ac:dyDescent="0.25">
      <c r="Q142" s="112"/>
      <c r="R142" s="112"/>
      <c r="S142" s="112"/>
      <c r="T142" s="112"/>
      <c r="U142" s="112"/>
      <c r="V142" s="112"/>
      <c r="W142" s="112"/>
      <c r="X142" s="112"/>
      <c r="Y142" s="112"/>
      <c r="Z142" s="112"/>
      <c r="AA142" s="112"/>
      <c r="AB142" s="112"/>
      <c r="AC142" s="112"/>
      <c r="AD142" s="112"/>
      <c r="AE142" s="112"/>
      <c r="AF142" s="112"/>
      <c r="AG142" s="112"/>
      <c r="AH142" s="112"/>
      <c r="AI142" s="112"/>
      <c r="AJ142" s="112"/>
      <c r="AK142" s="112"/>
      <c r="AL142" s="112"/>
      <c r="AP142" s="112"/>
      <c r="AQ142" s="112"/>
      <c r="AR142" s="112"/>
      <c r="AS142" s="112"/>
      <c r="AT142" s="112"/>
      <c r="AU142" s="112"/>
      <c r="AV142" s="112"/>
      <c r="AW142" s="112"/>
      <c r="AX142" s="112"/>
      <c r="AY142" s="112"/>
      <c r="BA142" s="112"/>
      <c r="BB142" s="112"/>
      <c r="BC142" s="112"/>
      <c r="BD142" s="112"/>
      <c r="BE142" s="112"/>
      <c r="BF142" s="112"/>
      <c r="BG142" s="112"/>
      <c r="BH142" s="112"/>
      <c r="BI142" s="112"/>
      <c r="BK142" s="112"/>
      <c r="BL142" s="112"/>
      <c r="BM142" s="112"/>
      <c r="BN142" s="112"/>
    </row>
    <row r="143" spans="17:66" x14ac:dyDescent="0.25">
      <c r="Q143" s="112"/>
      <c r="R143" s="112"/>
      <c r="S143" s="112"/>
      <c r="T143" s="112"/>
      <c r="U143" s="112"/>
      <c r="V143" s="112"/>
      <c r="W143" s="112"/>
      <c r="X143" s="112"/>
      <c r="Y143" s="112"/>
      <c r="Z143" s="112"/>
      <c r="AA143" s="112"/>
      <c r="AB143" s="112"/>
      <c r="AC143" s="112"/>
      <c r="AD143" s="112"/>
      <c r="AE143" s="112"/>
      <c r="AF143" s="112"/>
      <c r="AG143" s="112"/>
      <c r="AH143" s="112"/>
      <c r="AI143" s="112"/>
      <c r="AJ143" s="112"/>
      <c r="AK143" s="112"/>
      <c r="AL143" s="112"/>
      <c r="AP143" s="112"/>
      <c r="AQ143" s="112"/>
      <c r="AR143" s="112"/>
      <c r="AS143" s="112"/>
      <c r="AT143" s="112"/>
      <c r="AU143" s="112"/>
      <c r="AV143" s="112"/>
      <c r="AW143" s="112"/>
      <c r="AX143" s="112"/>
      <c r="AY143" s="112"/>
      <c r="BA143" s="112"/>
      <c r="BB143" s="112"/>
      <c r="BC143" s="112"/>
      <c r="BD143" s="112"/>
      <c r="BE143" s="112"/>
      <c r="BF143" s="112"/>
      <c r="BG143" s="112"/>
      <c r="BH143" s="112"/>
      <c r="BI143" s="112"/>
      <c r="BK143" s="112"/>
      <c r="BL143" s="112"/>
      <c r="BM143" s="112"/>
      <c r="BN143" s="112"/>
    </row>
    <row r="144" spans="17:66" x14ac:dyDescent="0.25">
      <c r="Q144" s="112"/>
      <c r="R144" s="112"/>
      <c r="S144" s="112"/>
      <c r="T144" s="112"/>
      <c r="U144" s="112"/>
      <c r="V144" s="112"/>
      <c r="W144" s="112"/>
      <c r="X144" s="112"/>
      <c r="Y144" s="112"/>
      <c r="Z144" s="112"/>
      <c r="AA144" s="112"/>
      <c r="AB144" s="112"/>
      <c r="AC144" s="112"/>
      <c r="AD144" s="112"/>
      <c r="AE144" s="112"/>
      <c r="AF144" s="112"/>
      <c r="AG144" s="112"/>
      <c r="AH144" s="112"/>
      <c r="AI144" s="112"/>
      <c r="AJ144" s="112"/>
      <c r="AK144" s="112"/>
      <c r="AL144" s="112"/>
      <c r="AP144" s="112"/>
      <c r="AQ144" s="112"/>
      <c r="AR144" s="112"/>
      <c r="AS144" s="112"/>
      <c r="AT144" s="112"/>
      <c r="AU144" s="112"/>
      <c r="AV144" s="112"/>
      <c r="AW144" s="112"/>
      <c r="AX144" s="112"/>
      <c r="AY144" s="112"/>
      <c r="BA144" s="112"/>
      <c r="BB144" s="112"/>
      <c r="BC144" s="112"/>
      <c r="BD144" s="112"/>
      <c r="BE144" s="112"/>
      <c r="BF144" s="112"/>
      <c r="BG144" s="112"/>
      <c r="BH144" s="112"/>
      <c r="BI144" s="112"/>
      <c r="BK144" s="112"/>
      <c r="BL144" s="112"/>
      <c r="BM144" s="112"/>
      <c r="BN144" s="112"/>
    </row>
    <row r="145" spans="17:66" x14ac:dyDescent="0.25">
      <c r="Q145" s="112"/>
      <c r="R145" s="112"/>
      <c r="S145" s="112"/>
      <c r="T145" s="112"/>
      <c r="U145" s="112"/>
      <c r="V145" s="112"/>
      <c r="W145" s="112"/>
      <c r="X145" s="112"/>
      <c r="Y145" s="112"/>
      <c r="Z145" s="112"/>
      <c r="AA145" s="112"/>
      <c r="AB145" s="112"/>
      <c r="AC145" s="112"/>
      <c r="AD145" s="112"/>
      <c r="AE145" s="112"/>
      <c r="AF145" s="112"/>
      <c r="AG145" s="112"/>
      <c r="AH145" s="112"/>
      <c r="AI145" s="112"/>
      <c r="AJ145" s="112"/>
      <c r="AK145" s="112"/>
      <c r="AL145" s="112"/>
      <c r="AP145" s="112"/>
      <c r="AQ145" s="112"/>
      <c r="AR145" s="112"/>
      <c r="AS145" s="112"/>
      <c r="AT145" s="112"/>
      <c r="AU145" s="112"/>
      <c r="AV145" s="112"/>
      <c r="AW145" s="112"/>
      <c r="AX145" s="112"/>
      <c r="AY145" s="112"/>
      <c r="BA145" s="112"/>
      <c r="BB145" s="112"/>
      <c r="BC145" s="112"/>
      <c r="BD145" s="112"/>
      <c r="BE145" s="112"/>
      <c r="BF145" s="112"/>
      <c r="BG145" s="112"/>
      <c r="BH145" s="112"/>
      <c r="BI145" s="112"/>
      <c r="BK145" s="112"/>
      <c r="BL145" s="112"/>
      <c r="BM145" s="112"/>
      <c r="BN145" s="112"/>
    </row>
    <row r="146" spans="17:66" x14ac:dyDescent="0.25">
      <c r="Q146" s="112"/>
      <c r="R146" s="112"/>
      <c r="S146" s="112"/>
      <c r="T146" s="112"/>
      <c r="U146" s="112"/>
      <c r="V146" s="112"/>
      <c r="W146" s="112"/>
      <c r="X146" s="112"/>
      <c r="Y146" s="112"/>
      <c r="Z146" s="112"/>
      <c r="AA146" s="112"/>
      <c r="AB146" s="112"/>
      <c r="AC146" s="112"/>
      <c r="AD146" s="112"/>
      <c r="AE146" s="112"/>
      <c r="AF146" s="112"/>
      <c r="AG146" s="112"/>
      <c r="AH146" s="112"/>
      <c r="AI146" s="112"/>
      <c r="AJ146" s="112"/>
      <c r="AK146" s="112"/>
      <c r="AL146" s="112"/>
      <c r="AP146" s="112"/>
      <c r="AQ146" s="112"/>
      <c r="AR146" s="112"/>
      <c r="AS146" s="112"/>
      <c r="AT146" s="112"/>
      <c r="AU146" s="112"/>
      <c r="AV146" s="112"/>
      <c r="AW146" s="112"/>
      <c r="AX146" s="112"/>
      <c r="AY146" s="112"/>
      <c r="BA146" s="112"/>
      <c r="BB146" s="112"/>
      <c r="BC146" s="112"/>
      <c r="BD146" s="112"/>
      <c r="BE146" s="112"/>
      <c r="BF146" s="112"/>
      <c r="BG146" s="112"/>
      <c r="BH146" s="112"/>
      <c r="BI146" s="112"/>
      <c r="BK146" s="112"/>
      <c r="BL146" s="112"/>
      <c r="BM146" s="112"/>
      <c r="BN146" s="112"/>
    </row>
    <row r="147" spans="17:66" x14ac:dyDescent="0.25">
      <c r="Q147" s="112"/>
      <c r="R147" s="112"/>
      <c r="S147" s="112"/>
      <c r="T147" s="112"/>
      <c r="U147" s="112"/>
      <c r="V147" s="112"/>
      <c r="W147" s="112"/>
      <c r="X147" s="112"/>
      <c r="Y147" s="112"/>
      <c r="Z147" s="112"/>
      <c r="AA147" s="112"/>
      <c r="AB147" s="112"/>
      <c r="AC147" s="112"/>
      <c r="AD147" s="112"/>
      <c r="AE147" s="112"/>
      <c r="AF147" s="112"/>
      <c r="AG147" s="112"/>
      <c r="AH147" s="112"/>
      <c r="AI147" s="112"/>
      <c r="AJ147" s="112"/>
      <c r="AK147" s="112"/>
      <c r="AL147" s="112"/>
      <c r="AP147" s="112"/>
      <c r="AQ147" s="112"/>
      <c r="AR147" s="112"/>
      <c r="AS147" s="112"/>
      <c r="AT147" s="112"/>
      <c r="AU147" s="112"/>
      <c r="AV147" s="112"/>
      <c r="AW147" s="112"/>
      <c r="AX147" s="112"/>
      <c r="AY147" s="112"/>
      <c r="BA147" s="112"/>
      <c r="BB147" s="112"/>
      <c r="BC147" s="112"/>
      <c r="BD147" s="112"/>
      <c r="BE147" s="112"/>
      <c r="BF147" s="112"/>
      <c r="BG147" s="112"/>
      <c r="BH147" s="112"/>
      <c r="BI147" s="112"/>
      <c r="BK147" s="112"/>
      <c r="BL147" s="112"/>
      <c r="BM147" s="112"/>
      <c r="BN147" s="112"/>
    </row>
    <row r="148" spans="17:66" x14ac:dyDescent="0.25">
      <c r="Q148" s="112"/>
      <c r="R148" s="112"/>
      <c r="S148" s="112"/>
      <c r="T148" s="112"/>
      <c r="U148" s="112"/>
      <c r="V148" s="112"/>
      <c r="W148" s="112"/>
      <c r="X148" s="112"/>
      <c r="Y148" s="112"/>
      <c r="Z148" s="112"/>
      <c r="AA148" s="112"/>
      <c r="AB148" s="112"/>
      <c r="AC148" s="112"/>
      <c r="AD148" s="112"/>
      <c r="AE148" s="112"/>
      <c r="AF148" s="112"/>
      <c r="AG148" s="112"/>
      <c r="AH148" s="112"/>
      <c r="AI148" s="112"/>
      <c r="AJ148" s="112"/>
      <c r="AK148" s="112"/>
      <c r="AL148" s="112"/>
      <c r="AP148" s="112"/>
      <c r="AQ148" s="112"/>
      <c r="AR148" s="112"/>
      <c r="AS148" s="112"/>
      <c r="AT148" s="112"/>
      <c r="AU148" s="112"/>
      <c r="AV148" s="112"/>
      <c r="AW148" s="112"/>
      <c r="AX148" s="112"/>
      <c r="AY148" s="112"/>
      <c r="BA148" s="112"/>
      <c r="BB148" s="112"/>
      <c r="BC148" s="112"/>
      <c r="BD148" s="112"/>
      <c r="BE148" s="112"/>
      <c r="BF148" s="112"/>
      <c r="BG148" s="112"/>
      <c r="BH148" s="112"/>
      <c r="BI148" s="112"/>
      <c r="BK148" s="112"/>
      <c r="BL148" s="112"/>
      <c r="BM148" s="112"/>
      <c r="BN148" s="112"/>
    </row>
    <row r="149" spans="17:66" x14ac:dyDescent="0.25">
      <c r="Q149" s="112"/>
      <c r="R149" s="112"/>
      <c r="S149" s="112"/>
      <c r="T149" s="112"/>
      <c r="U149" s="112"/>
      <c r="V149" s="112"/>
      <c r="W149" s="112"/>
      <c r="X149" s="112"/>
      <c r="Y149" s="112"/>
      <c r="Z149" s="112"/>
      <c r="AA149" s="112"/>
      <c r="AB149" s="112"/>
      <c r="AC149" s="112"/>
      <c r="AD149" s="112"/>
      <c r="AE149" s="112"/>
      <c r="AF149" s="112"/>
      <c r="AG149" s="112"/>
      <c r="AH149" s="112"/>
      <c r="AI149" s="112"/>
      <c r="AJ149" s="112"/>
      <c r="AK149" s="112"/>
      <c r="AL149" s="112"/>
      <c r="AP149" s="112"/>
      <c r="AQ149" s="112"/>
      <c r="AR149" s="112"/>
      <c r="AS149" s="112"/>
      <c r="AT149" s="112"/>
      <c r="AU149" s="112"/>
      <c r="AV149" s="112"/>
      <c r="AW149" s="112"/>
      <c r="AX149" s="112"/>
      <c r="AY149" s="112"/>
      <c r="BA149" s="112"/>
      <c r="BB149" s="112"/>
      <c r="BC149" s="112"/>
      <c r="BD149" s="112"/>
      <c r="BE149" s="112"/>
      <c r="BF149" s="112"/>
      <c r="BG149" s="112"/>
      <c r="BH149" s="112"/>
      <c r="BI149" s="112"/>
      <c r="BK149" s="112"/>
      <c r="BL149" s="112"/>
      <c r="BM149" s="112"/>
      <c r="BN149" s="112"/>
    </row>
    <row r="150" spans="17:66" x14ac:dyDescent="0.25">
      <c r="Q150" s="112"/>
      <c r="R150" s="112"/>
      <c r="S150" s="112"/>
      <c r="T150" s="112"/>
      <c r="U150" s="112"/>
      <c r="V150" s="112"/>
      <c r="W150" s="112"/>
      <c r="X150" s="112"/>
      <c r="Y150" s="112"/>
      <c r="Z150" s="112"/>
      <c r="AA150" s="112"/>
      <c r="AB150" s="112"/>
      <c r="AC150" s="112"/>
      <c r="AD150" s="112"/>
      <c r="AE150" s="112"/>
      <c r="AF150" s="112"/>
      <c r="AG150" s="112"/>
      <c r="AH150" s="112"/>
      <c r="AI150" s="112"/>
      <c r="AJ150" s="112"/>
      <c r="AK150" s="112"/>
      <c r="AL150" s="112"/>
      <c r="AP150" s="112"/>
      <c r="AQ150" s="112"/>
      <c r="AR150" s="112"/>
      <c r="AS150" s="112"/>
      <c r="AT150" s="112"/>
      <c r="AU150" s="112"/>
      <c r="AV150" s="112"/>
      <c r="AW150" s="112"/>
      <c r="AX150" s="112"/>
      <c r="AY150" s="112"/>
      <c r="BA150" s="112"/>
      <c r="BB150" s="112"/>
      <c r="BC150" s="112"/>
      <c r="BD150" s="112"/>
      <c r="BE150" s="112"/>
      <c r="BF150" s="112"/>
      <c r="BG150" s="112"/>
      <c r="BH150" s="112"/>
      <c r="BI150" s="112"/>
      <c r="BK150" s="112"/>
      <c r="BL150" s="112"/>
      <c r="BM150" s="112"/>
      <c r="BN150" s="112"/>
    </row>
    <row r="151" spans="17:66" x14ac:dyDescent="0.25">
      <c r="Q151" s="112"/>
      <c r="R151" s="112"/>
      <c r="S151" s="112"/>
      <c r="T151" s="112"/>
      <c r="U151" s="112"/>
      <c r="V151" s="112"/>
      <c r="W151" s="112"/>
      <c r="X151" s="112"/>
      <c r="Y151" s="112"/>
      <c r="Z151" s="112"/>
      <c r="AA151" s="112"/>
      <c r="AB151" s="112"/>
      <c r="AC151" s="112"/>
      <c r="AD151" s="112"/>
      <c r="AE151" s="112"/>
      <c r="AF151" s="112"/>
      <c r="AG151" s="112"/>
      <c r="AH151" s="112"/>
      <c r="AI151" s="112"/>
      <c r="AJ151" s="112"/>
      <c r="AK151" s="112"/>
      <c r="AL151" s="112"/>
      <c r="AP151" s="112"/>
      <c r="AQ151" s="112"/>
      <c r="AR151" s="112"/>
      <c r="AS151" s="112"/>
      <c r="AT151" s="112"/>
      <c r="AU151" s="112"/>
      <c r="AV151" s="112"/>
      <c r="AW151" s="112"/>
      <c r="AX151" s="112"/>
      <c r="AY151" s="112"/>
      <c r="BA151" s="112"/>
      <c r="BB151" s="112"/>
      <c r="BC151" s="112"/>
      <c r="BD151" s="112"/>
      <c r="BE151" s="112"/>
      <c r="BF151" s="112"/>
      <c r="BG151" s="112"/>
      <c r="BH151" s="112"/>
      <c r="BI151" s="112"/>
      <c r="BK151" s="112"/>
      <c r="BL151" s="112"/>
      <c r="BM151" s="112"/>
      <c r="BN151" s="112"/>
    </row>
    <row r="152" spans="17:66" x14ac:dyDescent="0.25">
      <c r="Q152" s="112"/>
      <c r="R152" s="112"/>
      <c r="S152" s="112"/>
      <c r="T152" s="112"/>
      <c r="U152" s="112"/>
      <c r="V152" s="112"/>
      <c r="W152" s="112"/>
      <c r="X152" s="112"/>
      <c r="Y152" s="112"/>
      <c r="Z152" s="112"/>
      <c r="AA152" s="112"/>
      <c r="AB152" s="112"/>
      <c r="AC152" s="112"/>
      <c r="AD152" s="112"/>
      <c r="AE152" s="112"/>
      <c r="AF152" s="112"/>
      <c r="AG152" s="112"/>
      <c r="AH152" s="112"/>
      <c r="AI152" s="112"/>
      <c r="AJ152" s="112"/>
      <c r="AK152" s="112"/>
      <c r="AL152" s="112"/>
      <c r="AP152" s="112"/>
      <c r="AQ152" s="112"/>
      <c r="AR152" s="112"/>
      <c r="AS152" s="112"/>
      <c r="AT152" s="112"/>
      <c r="AU152" s="112"/>
      <c r="AV152" s="112"/>
      <c r="AW152" s="112"/>
      <c r="AX152" s="112"/>
      <c r="AY152" s="112"/>
      <c r="BA152" s="112"/>
      <c r="BB152" s="112"/>
      <c r="BC152" s="112"/>
      <c r="BD152" s="112"/>
      <c r="BE152" s="112"/>
      <c r="BF152" s="112"/>
      <c r="BG152" s="112"/>
      <c r="BH152" s="112"/>
      <c r="BI152" s="112"/>
      <c r="BK152" s="112"/>
      <c r="BL152" s="112"/>
      <c r="BM152" s="112"/>
      <c r="BN152" s="112"/>
    </row>
    <row r="153" spans="17:66" x14ac:dyDescent="0.25">
      <c r="Q153" s="112"/>
      <c r="R153" s="112"/>
      <c r="S153" s="112"/>
      <c r="T153" s="112"/>
      <c r="U153" s="112"/>
      <c r="V153" s="112"/>
      <c r="W153" s="112"/>
      <c r="X153" s="112"/>
      <c r="Y153" s="112"/>
      <c r="Z153" s="112"/>
      <c r="AA153" s="112"/>
      <c r="AB153" s="112"/>
      <c r="AC153" s="112"/>
      <c r="AD153" s="112"/>
      <c r="AE153" s="112"/>
      <c r="AF153" s="112"/>
      <c r="AG153" s="112"/>
      <c r="AH153" s="112"/>
      <c r="AI153" s="112"/>
      <c r="AJ153" s="112"/>
      <c r="AK153" s="112"/>
      <c r="AL153" s="112"/>
      <c r="AP153" s="112"/>
      <c r="AQ153" s="112"/>
      <c r="AR153" s="112"/>
      <c r="AS153" s="112"/>
      <c r="AT153" s="112"/>
      <c r="AU153" s="112"/>
      <c r="AV153" s="112"/>
      <c r="AW153" s="112"/>
      <c r="AX153" s="112"/>
      <c r="AY153" s="112"/>
      <c r="BA153" s="112"/>
      <c r="BB153" s="112"/>
      <c r="BC153" s="112"/>
      <c r="BD153" s="112"/>
      <c r="BE153" s="112"/>
      <c r="BF153" s="112"/>
      <c r="BG153" s="112"/>
      <c r="BH153" s="112"/>
      <c r="BI153" s="112"/>
      <c r="BK153" s="112"/>
      <c r="BL153" s="112"/>
      <c r="BM153" s="112"/>
      <c r="BN153" s="112"/>
    </row>
    <row r="154" spans="17:66" x14ac:dyDescent="0.25">
      <c r="Q154" s="112"/>
      <c r="R154" s="112"/>
      <c r="S154" s="112"/>
      <c r="T154" s="112"/>
      <c r="U154" s="112"/>
      <c r="V154" s="112"/>
      <c r="W154" s="112"/>
      <c r="X154" s="112"/>
      <c r="Y154" s="112"/>
      <c r="Z154" s="112"/>
      <c r="AA154" s="112"/>
      <c r="AB154" s="112"/>
      <c r="AC154" s="112"/>
      <c r="AD154" s="112"/>
      <c r="AE154" s="112"/>
      <c r="AF154" s="112"/>
      <c r="AG154" s="112"/>
      <c r="AH154" s="112"/>
      <c r="AI154" s="112"/>
      <c r="AJ154" s="112"/>
      <c r="AK154" s="112"/>
      <c r="AL154" s="112"/>
      <c r="AP154" s="112"/>
      <c r="AQ154" s="112"/>
      <c r="AR154" s="112"/>
      <c r="AS154" s="112"/>
      <c r="AT154" s="112"/>
      <c r="AU154" s="112"/>
      <c r="AV154" s="112"/>
      <c r="AW154" s="112"/>
      <c r="AX154" s="112"/>
      <c r="AY154" s="112"/>
      <c r="BA154" s="112"/>
      <c r="BB154" s="112"/>
      <c r="BC154" s="112"/>
      <c r="BD154" s="112"/>
      <c r="BE154" s="112"/>
      <c r="BF154" s="112"/>
      <c r="BG154" s="112"/>
      <c r="BH154" s="112"/>
      <c r="BI154" s="112"/>
      <c r="BK154" s="112"/>
      <c r="BL154" s="112"/>
      <c r="BM154" s="112"/>
      <c r="BN154" s="112"/>
    </row>
    <row r="155" spans="17:66" x14ac:dyDescent="0.25">
      <c r="Q155" s="112"/>
      <c r="R155" s="112"/>
      <c r="S155" s="112"/>
      <c r="T155" s="112"/>
      <c r="U155" s="112"/>
      <c r="V155" s="112"/>
      <c r="W155" s="112"/>
      <c r="X155" s="112"/>
      <c r="Y155" s="112"/>
      <c r="Z155" s="112"/>
      <c r="AA155" s="112"/>
      <c r="AB155" s="112"/>
      <c r="AC155" s="112"/>
      <c r="AD155" s="112"/>
      <c r="AE155" s="112"/>
      <c r="AF155" s="112"/>
      <c r="AG155" s="112"/>
      <c r="AH155" s="112"/>
      <c r="AI155" s="112"/>
      <c r="AJ155" s="112"/>
      <c r="AK155" s="112"/>
      <c r="AL155" s="112"/>
      <c r="AP155" s="112"/>
      <c r="AQ155" s="112"/>
      <c r="AR155" s="112"/>
      <c r="AS155" s="112"/>
      <c r="AT155" s="112"/>
      <c r="AU155" s="112"/>
      <c r="AV155" s="112"/>
      <c r="AW155" s="112"/>
      <c r="AX155" s="112"/>
      <c r="AY155" s="112"/>
      <c r="BA155" s="112"/>
      <c r="BB155" s="112"/>
      <c r="BC155" s="112"/>
      <c r="BD155" s="112"/>
      <c r="BE155" s="112"/>
      <c r="BF155" s="112"/>
      <c r="BG155" s="112"/>
      <c r="BH155" s="112"/>
      <c r="BI155" s="112"/>
      <c r="BK155" s="112"/>
      <c r="BL155" s="112"/>
      <c r="BM155" s="112"/>
      <c r="BN155" s="112"/>
    </row>
    <row r="156" spans="17:66" x14ac:dyDescent="0.25">
      <c r="Q156" s="112"/>
      <c r="R156" s="112"/>
      <c r="S156" s="112"/>
      <c r="T156" s="112"/>
      <c r="U156" s="112"/>
      <c r="V156" s="112"/>
      <c r="W156" s="112"/>
      <c r="X156" s="112"/>
      <c r="Y156" s="112"/>
      <c r="Z156" s="112"/>
      <c r="AA156" s="112"/>
      <c r="AB156" s="112"/>
      <c r="AC156" s="112"/>
      <c r="AD156" s="112"/>
      <c r="AE156" s="112"/>
      <c r="AF156" s="112"/>
      <c r="AG156" s="112"/>
      <c r="AH156" s="112"/>
      <c r="AI156" s="112"/>
      <c r="AJ156" s="112"/>
      <c r="AK156" s="112"/>
      <c r="AL156" s="112"/>
      <c r="AP156" s="112"/>
      <c r="AQ156" s="112"/>
      <c r="AR156" s="112"/>
      <c r="AS156" s="112"/>
      <c r="AT156" s="112"/>
      <c r="AU156" s="112"/>
      <c r="AV156" s="112"/>
      <c r="AW156" s="112"/>
      <c r="AX156" s="112"/>
      <c r="AY156" s="112"/>
      <c r="BA156" s="112"/>
      <c r="BB156" s="112"/>
      <c r="BC156" s="112"/>
      <c r="BD156" s="112"/>
      <c r="BE156" s="112"/>
      <c r="BF156" s="112"/>
      <c r="BG156" s="112"/>
      <c r="BH156" s="112"/>
      <c r="BI156" s="112"/>
      <c r="BK156" s="112"/>
      <c r="BL156" s="112"/>
      <c r="BM156" s="112"/>
      <c r="BN156" s="112"/>
    </row>
    <row r="157" spans="17:66" x14ac:dyDescent="0.25">
      <c r="Q157" s="112"/>
      <c r="R157" s="112"/>
      <c r="S157" s="112"/>
      <c r="T157" s="112"/>
      <c r="U157" s="112"/>
      <c r="V157" s="112"/>
      <c r="W157" s="112"/>
      <c r="X157" s="112"/>
      <c r="Y157" s="112"/>
      <c r="Z157" s="112"/>
      <c r="AA157" s="112"/>
      <c r="AB157" s="112"/>
      <c r="AC157" s="112"/>
      <c r="AD157" s="112"/>
      <c r="AE157" s="112"/>
      <c r="AF157" s="112"/>
      <c r="AG157" s="112"/>
      <c r="AH157" s="112"/>
      <c r="AI157" s="112"/>
      <c r="AJ157" s="112"/>
      <c r="AK157" s="112"/>
      <c r="AL157" s="112"/>
      <c r="AP157" s="112"/>
      <c r="AQ157" s="112"/>
      <c r="AR157" s="112"/>
      <c r="AS157" s="112"/>
      <c r="AT157" s="112"/>
      <c r="AU157" s="112"/>
      <c r="AV157" s="112"/>
      <c r="AW157" s="112"/>
      <c r="AX157" s="112"/>
      <c r="AY157" s="112"/>
      <c r="BA157" s="112"/>
      <c r="BB157" s="112"/>
      <c r="BC157" s="112"/>
      <c r="BD157" s="112"/>
      <c r="BE157" s="112"/>
      <c r="BF157" s="112"/>
      <c r="BG157" s="112"/>
      <c r="BH157" s="112"/>
      <c r="BI157" s="112"/>
      <c r="BK157" s="112"/>
      <c r="BL157" s="112"/>
      <c r="BM157" s="112"/>
      <c r="BN157" s="112"/>
    </row>
    <row r="158" spans="17:66" x14ac:dyDescent="0.25">
      <c r="Q158" s="112"/>
      <c r="R158" s="112"/>
      <c r="S158" s="112"/>
      <c r="T158" s="112"/>
      <c r="U158" s="112"/>
      <c r="V158" s="112"/>
      <c r="W158" s="112"/>
      <c r="X158" s="112"/>
      <c r="Y158" s="112"/>
      <c r="Z158" s="112"/>
      <c r="AA158" s="112"/>
      <c r="AB158" s="112"/>
      <c r="AC158" s="112"/>
      <c r="AD158" s="112"/>
      <c r="AE158" s="112"/>
      <c r="AF158" s="112"/>
      <c r="AG158" s="112"/>
      <c r="AH158" s="112"/>
      <c r="AI158" s="112"/>
      <c r="AJ158" s="112"/>
      <c r="AK158" s="112"/>
      <c r="AL158" s="112"/>
      <c r="AP158" s="112"/>
      <c r="AQ158" s="112"/>
      <c r="AR158" s="112"/>
      <c r="AS158" s="112"/>
      <c r="AT158" s="112"/>
      <c r="AU158" s="112"/>
      <c r="AV158" s="112"/>
      <c r="AW158" s="112"/>
      <c r="AX158" s="112"/>
      <c r="AY158" s="112"/>
      <c r="BA158" s="112"/>
      <c r="BB158" s="112"/>
      <c r="BC158" s="112"/>
      <c r="BD158" s="112"/>
      <c r="BE158" s="112"/>
      <c r="BF158" s="112"/>
      <c r="BG158" s="112"/>
      <c r="BH158" s="112"/>
      <c r="BI158" s="112"/>
      <c r="BK158" s="112"/>
      <c r="BL158" s="112"/>
      <c r="BM158" s="112"/>
      <c r="BN158" s="112"/>
    </row>
    <row r="159" spans="17:66" x14ac:dyDescent="0.25">
      <c r="Q159" s="112"/>
      <c r="R159" s="112"/>
      <c r="S159" s="112"/>
      <c r="T159" s="112"/>
      <c r="U159" s="112"/>
      <c r="V159" s="112"/>
      <c r="W159" s="112"/>
      <c r="X159" s="112"/>
      <c r="Y159" s="112"/>
      <c r="Z159" s="112"/>
      <c r="AA159" s="112"/>
      <c r="AB159" s="112"/>
      <c r="AC159" s="112"/>
      <c r="AD159" s="112"/>
      <c r="AE159" s="112"/>
      <c r="AF159" s="112"/>
      <c r="AG159" s="112"/>
      <c r="AH159" s="112"/>
      <c r="AI159" s="112"/>
      <c r="AJ159" s="112"/>
      <c r="AK159" s="112"/>
      <c r="AL159" s="112"/>
      <c r="AP159" s="112"/>
      <c r="AQ159" s="112"/>
      <c r="AR159" s="112"/>
      <c r="AS159" s="112"/>
      <c r="AT159" s="112"/>
      <c r="AU159" s="112"/>
      <c r="AV159" s="112"/>
      <c r="AW159" s="112"/>
      <c r="AX159" s="112"/>
      <c r="AY159" s="112"/>
      <c r="BA159" s="112"/>
      <c r="BB159" s="112"/>
      <c r="BC159" s="112"/>
      <c r="BD159" s="112"/>
      <c r="BE159" s="112"/>
      <c r="BF159" s="112"/>
      <c r="BG159" s="112"/>
      <c r="BH159" s="112"/>
      <c r="BI159" s="112"/>
      <c r="BK159" s="112"/>
      <c r="BL159" s="112"/>
      <c r="BM159" s="112"/>
      <c r="BN159" s="112"/>
    </row>
    <row r="160" spans="17:66" x14ac:dyDescent="0.25">
      <c r="Q160" s="112"/>
      <c r="R160" s="112"/>
      <c r="S160" s="112"/>
      <c r="T160" s="112"/>
      <c r="U160" s="112"/>
      <c r="V160" s="112"/>
      <c r="W160" s="112"/>
      <c r="X160" s="112"/>
      <c r="Y160" s="112"/>
      <c r="Z160" s="112"/>
      <c r="AA160" s="112"/>
      <c r="AB160" s="112"/>
      <c r="AC160" s="112"/>
      <c r="AD160" s="112"/>
      <c r="AE160" s="112"/>
      <c r="AF160" s="112"/>
      <c r="AG160" s="112"/>
      <c r="AH160" s="112"/>
      <c r="AI160" s="112"/>
      <c r="AJ160" s="112"/>
      <c r="AK160" s="112"/>
      <c r="AL160" s="112"/>
      <c r="AP160" s="112"/>
      <c r="AQ160" s="112"/>
      <c r="AR160" s="112"/>
      <c r="AS160" s="112"/>
      <c r="AT160" s="112"/>
      <c r="AU160" s="112"/>
      <c r="AV160" s="112"/>
      <c r="AW160" s="112"/>
      <c r="AX160" s="112"/>
      <c r="AY160" s="112"/>
      <c r="BA160" s="112"/>
      <c r="BB160" s="112"/>
      <c r="BC160" s="112"/>
      <c r="BD160" s="112"/>
      <c r="BE160" s="112"/>
      <c r="BF160" s="112"/>
      <c r="BG160" s="112"/>
      <c r="BH160" s="112"/>
      <c r="BI160" s="112"/>
      <c r="BK160" s="112"/>
      <c r="BL160" s="112"/>
      <c r="BM160" s="112"/>
      <c r="BN160" s="112"/>
    </row>
    <row r="161" spans="17:66" x14ac:dyDescent="0.25">
      <c r="Q161" s="112"/>
      <c r="R161" s="112"/>
      <c r="S161" s="112"/>
      <c r="T161" s="112"/>
      <c r="U161" s="112"/>
      <c r="V161" s="112"/>
      <c r="W161" s="112"/>
      <c r="X161" s="112"/>
      <c r="Y161" s="112"/>
      <c r="Z161" s="112"/>
      <c r="AA161" s="112"/>
      <c r="AB161" s="112"/>
      <c r="AC161" s="112"/>
      <c r="AD161" s="112"/>
      <c r="AE161" s="112"/>
      <c r="AF161" s="112"/>
      <c r="AG161" s="112"/>
      <c r="AH161" s="112"/>
      <c r="AI161" s="112"/>
      <c r="AJ161" s="112"/>
      <c r="AK161" s="112"/>
      <c r="AL161" s="112"/>
      <c r="AP161" s="112"/>
      <c r="AQ161" s="112"/>
      <c r="AR161" s="112"/>
      <c r="AS161" s="112"/>
      <c r="AT161" s="112"/>
      <c r="AU161" s="112"/>
      <c r="AV161" s="112"/>
      <c r="AW161" s="112"/>
      <c r="AX161" s="112"/>
      <c r="AY161" s="112"/>
      <c r="BA161" s="112"/>
      <c r="BB161" s="112"/>
      <c r="BC161" s="112"/>
      <c r="BD161" s="112"/>
      <c r="BE161" s="112"/>
      <c r="BF161" s="112"/>
      <c r="BG161" s="112"/>
      <c r="BH161" s="112"/>
      <c r="BI161" s="112"/>
      <c r="BK161" s="112"/>
      <c r="BL161" s="112"/>
      <c r="BM161" s="112"/>
      <c r="BN161" s="112"/>
    </row>
    <row r="162" spans="17:66" x14ac:dyDescent="0.25">
      <c r="Q162" s="112"/>
      <c r="R162" s="112"/>
      <c r="S162" s="112"/>
      <c r="T162" s="112"/>
      <c r="U162" s="112"/>
      <c r="V162" s="112"/>
      <c r="W162" s="112"/>
      <c r="X162" s="112"/>
      <c r="Y162" s="112"/>
      <c r="Z162" s="112"/>
      <c r="AA162" s="112"/>
      <c r="AB162" s="112"/>
      <c r="AC162" s="112"/>
      <c r="AD162" s="112"/>
      <c r="AE162" s="112"/>
      <c r="AF162" s="112"/>
      <c r="AG162" s="112"/>
      <c r="AH162" s="112"/>
      <c r="AI162" s="112"/>
      <c r="AJ162" s="112"/>
      <c r="AK162" s="112"/>
      <c r="AL162" s="112"/>
      <c r="AP162" s="112"/>
      <c r="AQ162" s="112"/>
      <c r="AR162" s="112"/>
      <c r="AS162" s="112"/>
      <c r="AT162" s="112"/>
      <c r="AU162" s="112"/>
      <c r="AV162" s="112"/>
      <c r="AW162" s="112"/>
      <c r="AX162" s="112"/>
      <c r="AY162" s="112"/>
      <c r="BA162" s="112"/>
      <c r="BB162" s="112"/>
      <c r="BC162" s="112"/>
      <c r="BD162" s="112"/>
      <c r="BE162" s="112"/>
      <c r="BF162" s="112"/>
      <c r="BG162" s="112"/>
      <c r="BH162" s="112"/>
      <c r="BI162" s="112"/>
      <c r="BK162" s="112"/>
      <c r="BL162" s="112"/>
      <c r="BM162" s="112"/>
      <c r="BN162" s="112"/>
    </row>
    <row r="163" spans="17:66" x14ac:dyDescent="0.25">
      <c r="Q163" s="112"/>
      <c r="R163" s="112"/>
      <c r="S163" s="112"/>
      <c r="T163" s="112"/>
      <c r="U163" s="112"/>
      <c r="V163" s="112"/>
      <c r="W163" s="112"/>
      <c r="X163" s="112"/>
      <c r="Y163" s="112"/>
      <c r="Z163" s="112"/>
      <c r="AA163" s="112"/>
      <c r="AB163" s="112"/>
      <c r="AC163" s="112"/>
      <c r="AD163" s="112"/>
      <c r="AE163" s="112"/>
      <c r="AF163" s="112"/>
      <c r="AG163" s="112"/>
      <c r="AH163" s="112"/>
      <c r="AI163" s="112"/>
      <c r="AJ163" s="112"/>
      <c r="AK163" s="112"/>
      <c r="AL163" s="112"/>
      <c r="AP163" s="112"/>
      <c r="AQ163" s="112"/>
      <c r="AR163" s="112"/>
      <c r="AS163" s="112"/>
      <c r="AT163" s="112"/>
      <c r="AU163" s="112"/>
      <c r="AV163" s="112"/>
      <c r="AW163" s="112"/>
      <c r="AX163" s="112"/>
      <c r="AY163" s="112"/>
      <c r="BA163" s="112"/>
      <c r="BB163" s="112"/>
      <c r="BC163" s="112"/>
      <c r="BD163" s="112"/>
      <c r="BE163" s="112"/>
      <c r="BF163" s="112"/>
      <c r="BG163" s="112"/>
      <c r="BH163" s="112"/>
      <c r="BI163" s="112"/>
      <c r="BK163" s="112"/>
      <c r="BL163" s="112"/>
      <c r="BM163" s="112"/>
      <c r="BN163" s="112"/>
    </row>
    <row r="164" spans="17:66" x14ac:dyDescent="0.25">
      <c r="Q164" s="112"/>
      <c r="R164" s="112"/>
      <c r="S164" s="112"/>
      <c r="T164" s="112"/>
      <c r="U164" s="112"/>
      <c r="V164" s="112"/>
      <c r="W164" s="112"/>
      <c r="X164" s="112"/>
      <c r="Y164" s="112"/>
      <c r="Z164" s="112"/>
      <c r="AA164" s="112"/>
      <c r="AB164" s="112"/>
      <c r="AC164" s="112"/>
      <c r="AD164" s="112"/>
      <c r="AE164" s="112"/>
      <c r="AF164" s="112"/>
      <c r="AG164" s="112"/>
      <c r="AH164" s="112"/>
      <c r="AI164" s="112"/>
      <c r="AJ164" s="112"/>
      <c r="AK164" s="112"/>
      <c r="AL164" s="112"/>
      <c r="AP164" s="112"/>
      <c r="AQ164" s="112"/>
      <c r="AR164" s="112"/>
      <c r="AS164" s="112"/>
      <c r="AT164" s="112"/>
      <c r="AU164" s="112"/>
      <c r="AV164" s="112"/>
      <c r="AW164" s="112"/>
      <c r="AX164" s="112"/>
      <c r="AY164" s="112"/>
      <c r="BA164" s="112"/>
      <c r="BB164" s="112"/>
      <c r="BC164" s="112"/>
      <c r="BD164" s="112"/>
      <c r="BE164" s="112"/>
      <c r="BF164" s="112"/>
      <c r="BG164" s="112"/>
      <c r="BH164" s="112"/>
      <c r="BI164" s="112"/>
      <c r="BK164" s="112"/>
      <c r="BL164" s="112"/>
      <c r="BM164" s="112"/>
      <c r="BN164" s="112"/>
    </row>
    <row r="165" spans="17:66" x14ac:dyDescent="0.25">
      <c r="Q165" s="112"/>
      <c r="R165" s="112"/>
      <c r="S165" s="112"/>
      <c r="T165" s="112"/>
      <c r="U165" s="112"/>
      <c r="V165" s="112"/>
      <c r="W165" s="112"/>
      <c r="X165" s="112"/>
      <c r="Y165" s="112"/>
      <c r="Z165" s="112"/>
      <c r="AA165" s="112"/>
      <c r="AB165" s="112"/>
      <c r="AC165" s="112"/>
      <c r="AD165" s="112"/>
      <c r="AE165" s="112"/>
      <c r="AF165" s="112"/>
      <c r="AG165" s="112"/>
      <c r="AH165" s="112"/>
      <c r="AI165" s="112"/>
      <c r="AJ165" s="112"/>
      <c r="AK165" s="112"/>
      <c r="AL165" s="112"/>
      <c r="AP165" s="112"/>
      <c r="AQ165" s="112"/>
      <c r="AR165" s="112"/>
      <c r="AS165" s="112"/>
      <c r="AT165" s="112"/>
      <c r="AU165" s="112"/>
      <c r="AV165" s="112"/>
      <c r="AW165" s="112"/>
      <c r="AX165" s="112"/>
      <c r="AY165" s="112"/>
      <c r="BA165" s="112"/>
      <c r="BB165" s="112"/>
      <c r="BC165" s="112"/>
      <c r="BD165" s="112"/>
      <c r="BE165" s="112"/>
      <c r="BF165" s="112"/>
      <c r="BG165" s="112"/>
      <c r="BH165" s="112"/>
      <c r="BI165" s="112"/>
      <c r="BK165" s="112"/>
      <c r="BL165" s="112"/>
      <c r="BM165" s="112"/>
      <c r="BN165" s="112"/>
    </row>
    <row r="166" spans="17:66" x14ac:dyDescent="0.25">
      <c r="Q166" s="112"/>
      <c r="R166" s="112"/>
      <c r="S166" s="112"/>
      <c r="T166" s="112"/>
      <c r="U166" s="112"/>
      <c r="V166" s="112"/>
      <c r="W166" s="112"/>
      <c r="X166" s="112"/>
      <c r="Y166" s="112"/>
      <c r="Z166" s="112"/>
      <c r="AA166" s="112"/>
      <c r="AB166" s="112"/>
      <c r="AC166" s="112"/>
      <c r="AD166" s="112"/>
      <c r="AE166" s="112"/>
      <c r="AF166" s="112"/>
      <c r="AG166" s="112"/>
      <c r="AH166" s="112"/>
      <c r="AI166" s="112"/>
      <c r="AJ166" s="112"/>
      <c r="AK166" s="112"/>
      <c r="AL166" s="112"/>
      <c r="AP166" s="112"/>
      <c r="AQ166" s="112"/>
      <c r="AR166" s="112"/>
      <c r="AS166" s="112"/>
      <c r="AT166" s="112"/>
      <c r="AU166" s="112"/>
      <c r="AV166" s="112"/>
      <c r="AW166" s="112"/>
      <c r="AX166" s="112"/>
      <c r="AY166" s="112"/>
      <c r="BA166" s="112"/>
      <c r="BB166" s="112"/>
      <c r="BC166" s="112"/>
      <c r="BD166" s="112"/>
      <c r="BE166" s="112"/>
      <c r="BF166" s="112"/>
      <c r="BG166" s="112"/>
      <c r="BH166" s="112"/>
      <c r="BI166" s="112"/>
      <c r="BK166" s="112"/>
      <c r="BL166" s="112"/>
      <c r="BM166" s="112"/>
      <c r="BN166" s="112"/>
    </row>
    <row r="167" spans="17:66" x14ac:dyDescent="0.25">
      <c r="Q167" s="112"/>
      <c r="R167" s="112"/>
      <c r="S167" s="112"/>
      <c r="T167" s="112"/>
      <c r="U167" s="112"/>
      <c r="V167" s="112"/>
      <c r="W167" s="112"/>
      <c r="X167" s="112"/>
      <c r="Y167" s="112"/>
      <c r="Z167" s="112"/>
      <c r="AA167" s="112"/>
      <c r="AB167" s="112"/>
      <c r="AC167" s="112"/>
      <c r="AD167" s="112"/>
      <c r="AE167" s="112"/>
      <c r="AF167" s="112"/>
      <c r="AG167" s="112"/>
      <c r="AH167" s="112"/>
      <c r="AI167" s="112"/>
      <c r="AJ167" s="112"/>
      <c r="AK167" s="112"/>
      <c r="AL167" s="112"/>
      <c r="AP167" s="112"/>
      <c r="AQ167" s="112"/>
      <c r="AR167" s="112"/>
      <c r="AS167" s="112"/>
      <c r="AT167" s="112"/>
      <c r="AU167" s="112"/>
      <c r="AV167" s="112"/>
      <c r="AW167" s="112"/>
      <c r="AX167" s="112"/>
      <c r="AY167" s="112"/>
      <c r="BA167" s="112"/>
      <c r="BB167" s="112"/>
      <c r="BC167" s="112"/>
      <c r="BD167" s="112"/>
      <c r="BE167" s="112"/>
      <c r="BF167" s="112"/>
      <c r="BG167" s="112"/>
      <c r="BH167" s="112"/>
      <c r="BI167" s="112"/>
      <c r="BK167" s="112"/>
      <c r="BL167" s="112"/>
      <c r="BM167" s="112"/>
      <c r="BN167" s="112"/>
    </row>
    <row r="168" spans="17:66" x14ac:dyDescent="0.25">
      <c r="Q168" s="112"/>
      <c r="R168" s="112"/>
      <c r="S168" s="112"/>
      <c r="T168" s="112"/>
      <c r="U168" s="112"/>
      <c r="V168" s="112"/>
      <c r="W168" s="112"/>
      <c r="X168" s="112"/>
      <c r="Y168" s="112"/>
      <c r="Z168" s="112"/>
      <c r="AA168" s="112"/>
      <c r="AB168" s="112"/>
      <c r="AC168" s="112"/>
      <c r="AD168" s="112"/>
      <c r="AE168" s="112"/>
      <c r="AF168" s="112"/>
      <c r="AG168" s="112"/>
      <c r="AH168" s="112"/>
      <c r="AI168" s="112"/>
      <c r="AJ168" s="112"/>
      <c r="AK168" s="112"/>
      <c r="AL168" s="112"/>
      <c r="AP168" s="112"/>
      <c r="AQ168" s="112"/>
      <c r="AR168" s="112"/>
      <c r="AS168" s="112"/>
      <c r="AT168" s="112"/>
      <c r="AU168" s="112"/>
      <c r="AV168" s="112"/>
      <c r="AW168" s="112"/>
      <c r="AX168" s="112"/>
      <c r="AY168" s="112"/>
      <c r="BA168" s="112"/>
      <c r="BB168" s="112"/>
      <c r="BC168" s="112"/>
      <c r="BD168" s="112"/>
      <c r="BE168" s="112"/>
      <c r="BF168" s="112"/>
      <c r="BG168" s="112"/>
      <c r="BH168" s="112"/>
      <c r="BI168" s="112"/>
      <c r="BK168" s="112"/>
      <c r="BL168" s="112"/>
      <c r="BM168" s="112"/>
      <c r="BN168" s="112"/>
    </row>
    <row r="169" spans="17:66" x14ac:dyDescent="0.25">
      <c r="Q169" s="112"/>
      <c r="R169" s="112"/>
      <c r="S169" s="112"/>
      <c r="T169" s="112"/>
      <c r="U169" s="112"/>
      <c r="V169" s="112"/>
      <c r="W169" s="112"/>
      <c r="X169" s="112"/>
      <c r="Y169" s="112"/>
      <c r="Z169" s="112"/>
      <c r="AA169" s="112"/>
      <c r="AB169" s="112"/>
      <c r="AC169" s="112"/>
      <c r="AD169" s="112"/>
      <c r="AE169" s="112"/>
      <c r="AF169" s="112"/>
      <c r="AG169" s="112"/>
      <c r="AH169" s="112"/>
      <c r="AI169" s="112"/>
      <c r="AJ169" s="112"/>
      <c r="AK169" s="112"/>
      <c r="AL169" s="112"/>
      <c r="AP169" s="112"/>
      <c r="AQ169" s="112"/>
      <c r="AR169" s="112"/>
      <c r="AS169" s="112"/>
      <c r="AT169" s="112"/>
      <c r="AU169" s="112"/>
      <c r="AV169" s="112"/>
      <c r="AW169" s="112"/>
      <c r="AX169" s="112"/>
      <c r="AY169" s="112"/>
      <c r="BA169" s="112"/>
      <c r="BB169" s="112"/>
      <c r="BC169" s="112"/>
      <c r="BD169" s="112"/>
      <c r="BE169" s="112"/>
      <c r="BF169" s="112"/>
      <c r="BG169" s="112"/>
      <c r="BH169" s="112"/>
      <c r="BI169" s="112"/>
      <c r="BK169" s="112"/>
      <c r="BL169" s="112"/>
      <c r="BM169" s="112"/>
      <c r="BN169" s="112"/>
    </row>
    <row r="170" spans="17:66" x14ac:dyDescent="0.25">
      <c r="Q170" s="112"/>
      <c r="R170" s="112"/>
      <c r="S170" s="112"/>
      <c r="T170" s="112"/>
      <c r="U170" s="112"/>
      <c r="V170" s="112"/>
      <c r="W170" s="112"/>
      <c r="X170" s="112"/>
      <c r="Y170" s="112"/>
      <c r="Z170" s="112"/>
      <c r="AA170" s="112"/>
      <c r="AB170" s="112"/>
      <c r="AC170" s="112"/>
      <c r="AD170" s="112"/>
      <c r="AE170" s="112"/>
      <c r="AF170" s="112"/>
      <c r="AG170" s="112"/>
      <c r="AH170" s="112"/>
      <c r="AI170" s="112"/>
      <c r="AJ170" s="112"/>
      <c r="AK170" s="112"/>
      <c r="AL170" s="112"/>
      <c r="AP170" s="112"/>
      <c r="AQ170" s="112"/>
      <c r="AR170" s="112"/>
      <c r="AS170" s="112"/>
      <c r="AT170" s="112"/>
      <c r="AU170" s="112"/>
      <c r="AV170" s="112"/>
      <c r="AW170" s="112"/>
      <c r="AX170" s="112"/>
      <c r="AY170" s="112"/>
      <c r="BA170" s="112"/>
      <c r="BB170" s="112"/>
      <c r="BC170" s="112"/>
      <c r="BD170" s="112"/>
      <c r="BE170" s="112"/>
      <c r="BF170" s="112"/>
      <c r="BG170" s="112"/>
      <c r="BH170" s="112"/>
      <c r="BI170" s="112"/>
      <c r="BK170" s="112"/>
      <c r="BL170" s="112"/>
      <c r="BM170" s="112"/>
      <c r="BN170" s="112"/>
    </row>
    <row r="171" spans="17:66" x14ac:dyDescent="0.25">
      <c r="Q171" s="112"/>
      <c r="R171" s="112"/>
      <c r="S171" s="112"/>
      <c r="T171" s="112"/>
      <c r="U171" s="112"/>
      <c r="V171" s="112"/>
      <c r="W171" s="112"/>
      <c r="X171" s="112"/>
      <c r="Y171" s="112"/>
      <c r="Z171" s="112"/>
      <c r="AA171" s="112"/>
      <c r="AB171" s="112"/>
      <c r="AC171" s="112"/>
      <c r="AD171" s="112"/>
      <c r="AE171" s="112"/>
      <c r="AF171" s="112"/>
      <c r="AG171" s="112"/>
      <c r="AH171" s="112"/>
      <c r="AI171" s="112"/>
      <c r="AJ171" s="112"/>
      <c r="AK171" s="112"/>
      <c r="AL171" s="112"/>
      <c r="AP171" s="112"/>
      <c r="AQ171" s="112"/>
      <c r="AR171" s="112"/>
      <c r="AS171" s="112"/>
      <c r="AT171" s="112"/>
      <c r="AU171" s="112"/>
      <c r="AV171" s="112"/>
      <c r="AW171" s="112"/>
      <c r="AX171" s="112"/>
      <c r="AY171" s="112"/>
      <c r="BA171" s="112"/>
      <c r="BB171" s="112"/>
      <c r="BC171" s="112"/>
      <c r="BD171" s="112"/>
      <c r="BE171" s="112"/>
      <c r="BF171" s="112"/>
      <c r="BG171" s="112"/>
      <c r="BH171" s="112"/>
      <c r="BI171" s="112"/>
      <c r="BK171" s="112"/>
      <c r="BL171" s="112"/>
      <c r="BM171" s="112"/>
      <c r="BN171" s="112"/>
    </row>
    <row r="172" spans="17:66" x14ac:dyDescent="0.25">
      <c r="Q172" s="112"/>
      <c r="R172" s="112"/>
      <c r="S172" s="112"/>
      <c r="T172" s="112"/>
      <c r="U172" s="112"/>
      <c r="V172" s="112"/>
      <c r="W172" s="112"/>
      <c r="X172" s="112"/>
      <c r="Y172" s="112"/>
      <c r="Z172" s="112"/>
      <c r="AA172" s="112"/>
      <c r="AB172" s="112"/>
      <c r="AC172" s="112"/>
      <c r="AD172" s="112"/>
      <c r="AE172" s="112"/>
      <c r="AF172" s="112"/>
      <c r="AG172" s="112"/>
      <c r="AH172" s="112"/>
      <c r="AI172" s="112"/>
      <c r="AJ172" s="112"/>
      <c r="AK172" s="112"/>
      <c r="AL172" s="112"/>
      <c r="AP172" s="112"/>
      <c r="AQ172" s="112"/>
      <c r="AR172" s="112"/>
      <c r="AS172" s="112"/>
      <c r="AT172" s="112"/>
      <c r="AU172" s="112"/>
      <c r="AV172" s="112"/>
      <c r="AW172" s="112"/>
      <c r="AX172" s="112"/>
      <c r="AY172" s="112"/>
      <c r="BA172" s="112"/>
      <c r="BB172" s="112"/>
      <c r="BC172" s="112"/>
      <c r="BD172" s="112"/>
      <c r="BE172" s="112"/>
      <c r="BF172" s="112"/>
      <c r="BG172" s="112"/>
      <c r="BH172" s="112"/>
      <c r="BI172" s="112"/>
      <c r="BK172" s="112"/>
      <c r="BL172" s="112"/>
      <c r="BM172" s="112"/>
      <c r="BN172" s="112"/>
    </row>
    <row r="173" spans="17:66" x14ac:dyDescent="0.25">
      <c r="Q173" s="112"/>
      <c r="R173" s="112"/>
      <c r="S173" s="112"/>
      <c r="T173" s="112"/>
      <c r="U173" s="112"/>
      <c r="V173" s="112"/>
      <c r="W173" s="112"/>
      <c r="X173" s="112"/>
      <c r="Y173" s="112"/>
      <c r="Z173" s="112"/>
      <c r="AA173" s="112"/>
      <c r="AB173" s="112"/>
      <c r="AC173" s="112"/>
      <c r="AD173" s="112"/>
      <c r="AE173" s="112"/>
      <c r="AF173" s="112"/>
      <c r="AG173" s="112"/>
      <c r="AH173" s="112"/>
      <c r="AI173" s="112"/>
      <c r="AJ173" s="112"/>
      <c r="AK173" s="112"/>
      <c r="AL173" s="112"/>
      <c r="AP173" s="112"/>
      <c r="AQ173" s="112"/>
      <c r="AR173" s="112"/>
      <c r="AS173" s="112"/>
      <c r="AT173" s="112"/>
      <c r="AU173" s="112"/>
      <c r="AV173" s="112"/>
      <c r="AW173" s="112"/>
      <c r="AX173" s="112"/>
      <c r="AY173" s="112"/>
      <c r="BA173" s="112"/>
      <c r="BB173" s="112"/>
      <c r="BC173" s="112"/>
      <c r="BD173" s="112"/>
      <c r="BE173" s="112"/>
      <c r="BF173" s="112"/>
      <c r="BG173" s="112"/>
      <c r="BH173" s="112"/>
      <c r="BI173" s="112"/>
      <c r="BK173" s="112"/>
      <c r="BL173" s="112"/>
      <c r="BM173" s="112"/>
      <c r="BN173" s="112"/>
    </row>
    <row r="174" spans="17:66" x14ac:dyDescent="0.25">
      <c r="Q174" s="112"/>
      <c r="R174" s="112"/>
      <c r="S174" s="112"/>
      <c r="T174" s="112"/>
      <c r="U174" s="112"/>
      <c r="V174" s="112"/>
      <c r="W174" s="112"/>
      <c r="X174" s="112"/>
      <c r="Y174" s="112"/>
      <c r="Z174" s="112"/>
      <c r="AA174" s="112"/>
      <c r="AB174" s="112"/>
      <c r="AC174" s="112"/>
      <c r="AD174" s="112"/>
      <c r="AE174" s="112"/>
      <c r="AF174" s="112"/>
      <c r="AG174" s="112"/>
      <c r="AH174" s="112"/>
      <c r="AI174" s="112"/>
      <c r="AJ174" s="112"/>
      <c r="AK174" s="112"/>
      <c r="AL174" s="112"/>
      <c r="AP174" s="112"/>
      <c r="AQ174" s="112"/>
      <c r="AR174" s="112"/>
      <c r="AS174" s="112"/>
      <c r="AT174" s="112"/>
      <c r="AU174" s="112"/>
      <c r="AV174" s="112"/>
      <c r="AW174" s="112"/>
      <c r="AX174" s="112"/>
      <c r="AY174" s="112"/>
      <c r="BA174" s="112"/>
      <c r="BB174" s="112"/>
      <c r="BC174" s="112"/>
      <c r="BD174" s="112"/>
      <c r="BE174" s="112"/>
      <c r="BF174" s="112"/>
      <c r="BG174" s="112"/>
      <c r="BH174" s="112"/>
      <c r="BI174" s="112"/>
      <c r="BK174" s="112"/>
      <c r="BL174" s="112"/>
      <c r="BM174" s="112"/>
      <c r="BN174" s="112"/>
    </row>
    <row r="175" spans="17:66" x14ac:dyDescent="0.25">
      <c r="Q175" s="112"/>
      <c r="R175" s="112"/>
      <c r="S175" s="112"/>
      <c r="T175" s="112"/>
      <c r="U175" s="112"/>
      <c r="V175" s="112"/>
      <c r="W175" s="112"/>
      <c r="X175" s="112"/>
      <c r="Y175" s="112"/>
      <c r="Z175" s="112"/>
      <c r="AA175" s="112"/>
      <c r="AB175" s="112"/>
      <c r="AC175" s="112"/>
      <c r="AD175" s="112"/>
      <c r="AE175" s="112"/>
      <c r="AF175" s="112"/>
      <c r="AG175" s="112"/>
      <c r="AH175" s="112"/>
      <c r="AI175" s="112"/>
      <c r="AJ175" s="112"/>
      <c r="AK175" s="112"/>
      <c r="AL175" s="112"/>
      <c r="AP175" s="112"/>
      <c r="AQ175" s="112"/>
      <c r="AR175" s="112"/>
      <c r="AS175" s="112"/>
      <c r="AT175" s="112"/>
      <c r="AU175" s="112"/>
      <c r="AV175" s="112"/>
      <c r="AW175" s="112"/>
      <c r="AX175" s="112"/>
      <c r="AY175" s="112"/>
      <c r="BA175" s="112"/>
      <c r="BB175" s="112"/>
      <c r="BC175" s="112"/>
      <c r="BD175" s="112"/>
      <c r="BE175" s="112"/>
      <c r="BF175" s="112"/>
      <c r="BG175" s="112"/>
      <c r="BH175" s="112"/>
      <c r="BI175" s="112"/>
      <c r="BK175" s="112"/>
      <c r="BL175" s="112"/>
      <c r="BM175" s="112"/>
      <c r="BN175" s="112"/>
    </row>
    <row r="176" spans="17:66" x14ac:dyDescent="0.25">
      <c r="Q176" s="112"/>
      <c r="R176" s="112"/>
      <c r="S176" s="112"/>
      <c r="T176" s="112"/>
      <c r="U176" s="112"/>
      <c r="V176" s="112"/>
      <c r="W176" s="112"/>
      <c r="X176" s="112"/>
      <c r="Y176" s="112"/>
      <c r="Z176" s="112"/>
      <c r="AA176" s="112"/>
      <c r="AB176" s="112"/>
      <c r="AC176" s="112"/>
      <c r="AD176" s="112"/>
      <c r="AE176" s="112"/>
      <c r="AF176" s="112"/>
      <c r="AG176" s="112"/>
      <c r="AH176" s="112"/>
      <c r="AI176" s="112"/>
      <c r="AJ176" s="112"/>
      <c r="AK176" s="112"/>
      <c r="AL176" s="112"/>
      <c r="AP176" s="112"/>
      <c r="AQ176" s="112"/>
      <c r="AR176" s="112"/>
      <c r="AS176" s="112"/>
      <c r="AT176" s="112"/>
      <c r="AU176" s="112"/>
      <c r="AV176" s="112"/>
      <c r="AW176" s="112"/>
      <c r="AX176" s="112"/>
      <c r="AY176" s="112"/>
      <c r="BA176" s="112"/>
      <c r="BB176" s="112"/>
      <c r="BC176" s="112"/>
      <c r="BD176" s="112"/>
      <c r="BE176" s="112"/>
      <c r="BF176" s="112"/>
      <c r="BG176" s="112"/>
      <c r="BH176" s="112"/>
      <c r="BI176" s="112"/>
      <c r="BK176" s="112"/>
      <c r="BL176" s="112"/>
      <c r="BM176" s="112"/>
      <c r="BN176" s="112"/>
    </row>
    <row r="177" spans="17:66" x14ac:dyDescent="0.25">
      <c r="Q177" s="112"/>
      <c r="R177" s="112"/>
      <c r="S177" s="112"/>
      <c r="T177" s="112"/>
      <c r="U177" s="112"/>
      <c r="V177" s="112"/>
      <c r="W177" s="112"/>
      <c r="X177" s="112"/>
      <c r="Y177" s="112"/>
      <c r="Z177" s="112"/>
      <c r="AA177" s="112"/>
      <c r="AB177" s="112"/>
      <c r="AC177" s="112"/>
      <c r="AD177" s="112"/>
      <c r="AE177" s="112"/>
      <c r="AF177" s="112"/>
      <c r="AG177" s="112"/>
      <c r="AH177" s="112"/>
      <c r="AI177" s="112"/>
      <c r="AJ177" s="112"/>
      <c r="AK177" s="112"/>
      <c r="AL177" s="112"/>
      <c r="AP177" s="112"/>
      <c r="AQ177" s="112"/>
      <c r="AR177" s="112"/>
      <c r="AS177" s="112"/>
      <c r="AT177" s="112"/>
      <c r="AU177" s="112"/>
      <c r="AV177" s="112"/>
      <c r="AW177" s="112"/>
      <c r="AX177" s="112"/>
      <c r="AY177" s="112"/>
      <c r="BA177" s="112"/>
      <c r="BB177" s="112"/>
      <c r="BC177" s="112"/>
      <c r="BD177" s="112"/>
      <c r="BE177" s="112"/>
      <c r="BF177" s="112"/>
      <c r="BG177" s="112"/>
      <c r="BH177" s="112"/>
      <c r="BI177" s="112"/>
      <c r="BK177" s="112"/>
      <c r="BL177" s="112"/>
      <c r="BM177" s="112"/>
      <c r="BN177" s="112"/>
    </row>
    <row r="178" spans="17:66" x14ac:dyDescent="0.25">
      <c r="Q178" s="112"/>
      <c r="R178" s="112"/>
      <c r="S178" s="112"/>
      <c r="T178" s="112"/>
      <c r="U178" s="112"/>
      <c r="V178" s="112"/>
      <c r="W178" s="112"/>
      <c r="X178" s="112"/>
      <c r="Y178" s="112"/>
      <c r="Z178" s="112"/>
      <c r="AA178" s="112"/>
      <c r="AB178" s="112"/>
      <c r="AC178" s="112"/>
      <c r="AD178" s="112"/>
      <c r="AE178" s="112"/>
      <c r="AF178" s="112"/>
      <c r="AG178" s="112"/>
      <c r="AH178" s="112"/>
      <c r="AI178" s="112"/>
      <c r="AJ178" s="112"/>
      <c r="AK178" s="112"/>
      <c r="AL178" s="112"/>
      <c r="AP178" s="112"/>
      <c r="AQ178" s="112"/>
      <c r="AR178" s="112"/>
      <c r="AS178" s="112"/>
      <c r="AT178" s="112"/>
      <c r="AU178" s="112"/>
      <c r="AV178" s="112"/>
      <c r="AW178" s="112"/>
      <c r="AX178" s="112"/>
      <c r="AY178" s="112"/>
      <c r="BA178" s="112"/>
      <c r="BB178" s="112"/>
      <c r="BC178" s="112"/>
      <c r="BD178" s="112"/>
      <c r="BE178" s="112"/>
      <c r="BF178" s="112"/>
      <c r="BG178" s="112"/>
      <c r="BH178" s="112"/>
      <c r="BI178" s="112"/>
      <c r="BK178" s="112"/>
      <c r="BL178" s="112"/>
      <c r="BM178" s="112"/>
      <c r="BN178" s="112"/>
    </row>
    <row r="179" spans="17:66" x14ac:dyDescent="0.25">
      <c r="Q179" s="112"/>
      <c r="R179" s="112"/>
      <c r="S179" s="112"/>
      <c r="T179" s="112"/>
      <c r="U179" s="112"/>
      <c r="V179" s="112"/>
      <c r="W179" s="112"/>
      <c r="X179" s="112"/>
      <c r="Y179" s="112"/>
      <c r="Z179" s="112"/>
      <c r="AA179" s="112"/>
      <c r="AB179" s="112"/>
      <c r="AC179" s="112"/>
      <c r="AD179" s="112"/>
      <c r="AE179" s="112"/>
      <c r="AF179" s="112"/>
      <c r="AG179" s="112"/>
      <c r="AH179" s="112"/>
      <c r="AI179" s="112"/>
      <c r="AJ179" s="112"/>
      <c r="AK179" s="112"/>
      <c r="AL179" s="112"/>
      <c r="AP179" s="112"/>
      <c r="AQ179" s="112"/>
      <c r="AR179" s="112"/>
      <c r="AS179" s="112"/>
      <c r="AT179" s="112"/>
      <c r="AU179" s="112"/>
      <c r="AV179" s="112"/>
      <c r="AW179" s="112"/>
      <c r="AX179" s="112"/>
      <c r="AY179" s="112"/>
      <c r="BA179" s="112"/>
      <c r="BB179" s="112"/>
      <c r="BC179" s="112"/>
      <c r="BD179" s="112"/>
      <c r="BE179" s="112"/>
      <c r="BF179" s="112"/>
      <c r="BG179" s="112"/>
      <c r="BH179" s="112"/>
      <c r="BI179" s="112"/>
      <c r="BK179" s="112"/>
      <c r="BL179" s="112"/>
      <c r="BM179" s="112"/>
      <c r="BN179" s="112"/>
    </row>
    <row r="180" spans="17:66" x14ac:dyDescent="0.25">
      <c r="Q180" s="112"/>
      <c r="R180" s="112"/>
      <c r="S180" s="112"/>
      <c r="T180" s="112"/>
      <c r="U180" s="112"/>
      <c r="V180" s="112"/>
      <c r="W180" s="112"/>
      <c r="X180" s="112"/>
      <c r="Y180" s="112"/>
      <c r="Z180" s="112"/>
      <c r="AA180" s="112"/>
      <c r="AB180" s="112"/>
      <c r="AC180" s="112"/>
      <c r="AD180" s="112"/>
      <c r="AE180" s="112"/>
      <c r="AF180" s="112"/>
      <c r="AG180" s="112"/>
      <c r="AH180" s="112"/>
      <c r="AI180" s="112"/>
      <c r="AJ180" s="112"/>
      <c r="AK180" s="112"/>
      <c r="AL180" s="112"/>
      <c r="AP180" s="112"/>
      <c r="AQ180" s="112"/>
      <c r="AR180" s="112"/>
      <c r="AS180" s="112"/>
      <c r="AT180" s="112"/>
      <c r="AU180" s="112"/>
      <c r="AV180" s="112"/>
      <c r="AW180" s="112"/>
      <c r="AX180" s="112"/>
      <c r="AY180" s="112"/>
      <c r="BA180" s="112"/>
      <c r="BB180" s="112"/>
      <c r="BC180" s="112"/>
      <c r="BD180" s="112"/>
      <c r="BE180" s="112"/>
      <c r="BF180" s="112"/>
      <c r="BG180" s="112"/>
      <c r="BH180" s="112"/>
      <c r="BI180" s="112"/>
      <c r="BK180" s="112"/>
      <c r="BL180" s="112"/>
      <c r="BM180" s="112"/>
      <c r="BN180" s="112"/>
    </row>
    <row r="181" spans="17:66" x14ac:dyDescent="0.25">
      <c r="Q181" s="112"/>
      <c r="R181" s="112"/>
      <c r="S181" s="112"/>
      <c r="T181" s="112"/>
      <c r="U181" s="112"/>
      <c r="V181" s="112"/>
      <c r="W181" s="112"/>
      <c r="X181" s="112"/>
      <c r="Y181" s="112"/>
      <c r="Z181" s="112"/>
      <c r="AA181" s="112"/>
      <c r="AB181" s="112"/>
      <c r="AC181" s="112"/>
      <c r="AD181" s="112"/>
      <c r="AE181" s="112"/>
      <c r="AF181" s="112"/>
      <c r="AG181" s="112"/>
      <c r="AH181" s="112"/>
      <c r="AI181" s="112"/>
      <c r="AJ181" s="112"/>
      <c r="AK181" s="112"/>
      <c r="AL181" s="112"/>
      <c r="AP181" s="112"/>
      <c r="AQ181" s="112"/>
      <c r="AR181" s="112"/>
      <c r="AS181" s="112"/>
      <c r="AT181" s="112"/>
      <c r="AU181" s="112"/>
      <c r="AV181" s="112"/>
      <c r="AW181" s="112"/>
      <c r="AX181" s="112"/>
      <c r="AY181" s="112"/>
      <c r="BA181" s="112"/>
      <c r="BB181" s="112"/>
      <c r="BC181" s="112"/>
      <c r="BD181" s="112"/>
      <c r="BE181" s="112"/>
      <c r="BF181" s="112"/>
      <c r="BG181" s="112"/>
      <c r="BH181" s="112"/>
      <c r="BI181" s="112"/>
      <c r="BK181" s="112"/>
      <c r="BL181" s="112"/>
      <c r="BM181" s="112"/>
      <c r="BN181" s="112"/>
    </row>
    <row r="182" spans="17:66" x14ac:dyDescent="0.25">
      <c r="Q182" s="112"/>
      <c r="R182" s="112"/>
      <c r="S182" s="112"/>
      <c r="T182" s="112"/>
      <c r="U182" s="112"/>
      <c r="V182" s="112"/>
      <c r="W182" s="112"/>
      <c r="X182" s="112"/>
      <c r="Y182" s="112"/>
      <c r="Z182" s="112"/>
      <c r="AA182" s="112"/>
      <c r="AB182" s="112"/>
      <c r="AC182" s="112"/>
      <c r="AD182" s="112"/>
      <c r="AE182" s="112"/>
      <c r="AF182" s="112"/>
      <c r="AG182" s="112"/>
      <c r="AH182" s="112"/>
      <c r="AI182" s="112"/>
      <c r="AJ182" s="112"/>
      <c r="AK182" s="112"/>
      <c r="AL182" s="112"/>
      <c r="AP182" s="112"/>
      <c r="AQ182" s="112"/>
      <c r="AR182" s="112"/>
      <c r="AS182" s="112"/>
      <c r="AT182" s="112"/>
      <c r="AU182" s="112"/>
      <c r="AV182" s="112"/>
      <c r="AW182" s="112"/>
      <c r="AX182" s="112"/>
      <c r="AY182" s="112"/>
      <c r="BA182" s="112"/>
      <c r="BB182" s="112"/>
      <c r="BC182" s="112"/>
      <c r="BD182" s="112"/>
      <c r="BE182" s="112"/>
      <c r="BF182" s="112"/>
      <c r="BG182" s="112"/>
      <c r="BH182" s="112"/>
      <c r="BI182" s="112"/>
      <c r="BK182" s="112"/>
      <c r="BL182" s="112"/>
      <c r="BM182" s="112"/>
      <c r="BN182" s="112"/>
    </row>
    <row r="183" spans="17:66" x14ac:dyDescent="0.25">
      <c r="Q183" s="112"/>
      <c r="R183" s="112"/>
      <c r="S183" s="112"/>
      <c r="T183" s="112"/>
      <c r="U183" s="112"/>
      <c r="V183" s="112"/>
      <c r="W183" s="112"/>
      <c r="X183" s="112"/>
      <c r="Y183" s="112"/>
      <c r="Z183" s="112"/>
      <c r="AA183" s="112"/>
      <c r="AB183" s="112"/>
      <c r="AC183" s="112"/>
      <c r="AD183" s="112"/>
      <c r="AE183" s="112"/>
      <c r="AF183" s="112"/>
      <c r="AG183" s="112"/>
      <c r="AH183" s="112"/>
      <c r="AI183" s="112"/>
      <c r="AJ183" s="112"/>
      <c r="AK183" s="112"/>
      <c r="AL183" s="112"/>
      <c r="AP183" s="112"/>
      <c r="AQ183" s="112"/>
      <c r="AR183" s="112"/>
      <c r="AS183" s="112"/>
      <c r="AT183" s="112"/>
      <c r="AU183" s="112"/>
      <c r="AV183" s="112"/>
      <c r="AW183" s="112"/>
      <c r="AX183" s="112"/>
      <c r="AY183" s="112"/>
      <c r="BA183" s="112"/>
      <c r="BB183" s="112"/>
      <c r="BC183" s="112"/>
      <c r="BD183" s="112"/>
      <c r="BE183" s="112"/>
      <c r="BF183" s="112"/>
      <c r="BG183" s="112"/>
      <c r="BH183" s="112"/>
      <c r="BI183" s="112"/>
      <c r="BK183" s="112"/>
      <c r="BL183" s="112"/>
      <c r="BM183" s="112"/>
      <c r="BN183" s="112"/>
    </row>
    <row r="184" spans="17:66" x14ac:dyDescent="0.25">
      <c r="Q184" s="112"/>
      <c r="R184" s="112"/>
      <c r="S184" s="112"/>
      <c r="T184" s="112"/>
      <c r="U184" s="112"/>
      <c r="V184" s="112"/>
      <c r="W184" s="112"/>
      <c r="X184" s="112"/>
      <c r="Y184" s="112"/>
      <c r="Z184" s="112"/>
      <c r="AA184" s="112"/>
      <c r="AB184" s="112"/>
      <c r="AC184" s="112"/>
      <c r="AD184" s="112"/>
      <c r="AE184" s="112"/>
      <c r="AF184" s="112"/>
      <c r="AG184" s="112"/>
      <c r="AH184" s="112"/>
      <c r="AI184" s="112"/>
      <c r="AJ184" s="112"/>
      <c r="AK184" s="112"/>
      <c r="AL184" s="112"/>
      <c r="AP184" s="112"/>
      <c r="AQ184" s="112"/>
      <c r="AR184" s="112"/>
      <c r="AS184" s="112"/>
      <c r="AT184" s="112"/>
      <c r="AU184" s="112"/>
      <c r="AV184" s="112"/>
      <c r="AW184" s="112"/>
      <c r="AX184" s="112"/>
      <c r="AY184" s="112"/>
      <c r="BA184" s="112"/>
      <c r="BB184" s="112"/>
      <c r="BC184" s="112"/>
      <c r="BD184" s="112"/>
      <c r="BE184" s="112"/>
      <c r="BF184" s="112"/>
      <c r="BG184" s="112"/>
      <c r="BH184" s="112"/>
      <c r="BI184" s="112"/>
      <c r="BK184" s="112"/>
      <c r="BL184" s="112"/>
      <c r="BM184" s="112"/>
      <c r="BN184" s="112"/>
    </row>
    <row r="185" spans="17:66" x14ac:dyDescent="0.25">
      <c r="Q185" s="112"/>
      <c r="R185" s="112"/>
      <c r="S185" s="112"/>
      <c r="T185" s="112"/>
      <c r="U185" s="112"/>
      <c r="V185" s="112"/>
      <c r="W185" s="112"/>
      <c r="X185" s="112"/>
      <c r="Y185" s="112"/>
      <c r="Z185" s="112"/>
      <c r="AA185" s="112"/>
      <c r="AB185" s="112"/>
      <c r="AC185" s="112"/>
      <c r="AD185" s="112"/>
      <c r="AE185" s="112"/>
      <c r="AF185" s="112"/>
      <c r="AG185" s="112"/>
      <c r="AH185" s="112"/>
      <c r="AI185" s="112"/>
      <c r="AJ185" s="112"/>
      <c r="AK185" s="112"/>
      <c r="AL185" s="112"/>
      <c r="AP185" s="112"/>
      <c r="AQ185" s="112"/>
      <c r="AR185" s="112"/>
      <c r="AS185" s="112"/>
      <c r="AT185" s="112"/>
      <c r="AU185" s="112"/>
      <c r="AV185" s="112"/>
      <c r="AW185" s="112"/>
      <c r="AX185" s="112"/>
      <c r="AY185" s="112"/>
      <c r="BA185" s="112"/>
      <c r="BB185" s="112"/>
      <c r="BC185" s="112"/>
      <c r="BD185" s="112"/>
      <c r="BE185" s="112"/>
      <c r="BF185" s="112"/>
      <c r="BG185" s="112"/>
      <c r="BH185" s="112"/>
      <c r="BI185" s="112"/>
      <c r="BK185" s="112"/>
      <c r="BL185" s="112"/>
      <c r="BM185" s="112"/>
      <c r="BN185" s="112"/>
    </row>
    <row r="186" spans="17:66" x14ac:dyDescent="0.25">
      <c r="Q186" s="112"/>
      <c r="R186" s="112"/>
      <c r="S186" s="112"/>
      <c r="T186" s="112"/>
      <c r="U186" s="112"/>
      <c r="V186" s="112"/>
      <c r="W186" s="112"/>
      <c r="X186" s="112"/>
      <c r="Y186" s="112"/>
      <c r="Z186" s="112"/>
      <c r="AA186" s="112"/>
      <c r="AB186" s="112"/>
      <c r="AC186" s="112"/>
      <c r="AD186" s="112"/>
      <c r="AE186" s="112"/>
      <c r="AF186" s="112"/>
      <c r="AG186" s="112"/>
      <c r="AH186" s="112"/>
      <c r="AI186" s="112"/>
      <c r="AJ186" s="112"/>
      <c r="AK186" s="112"/>
      <c r="AL186" s="112"/>
      <c r="AP186" s="112"/>
      <c r="AQ186" s="112"/>
      <c r="AR186" s="112"/>
      <c r="AS186" s="112"/>
      <c r="AT186" s="112"/>
      <c r="AU186" s="112"/>
      <c r="AV186" s="112"/>
      <c r="AW186" s="112"/>
      <c r="AX186" s="112"/>
      <c r="AY186" s="112"/>
      <c r="BA186" s="112"/>
      <c r="BB186" s="112"/>
      <c r="BC186" s="112"/>
      <c r="BD186" s="112"/>
      <c r="BE186" s="112"/>
      <c r="BF186" s="112"/>
      <c r="BG186" s="112"/>
      <c r="BH186" s="112"/>
      <c r="BI186" s="112"/>
      <c r="BK186" s="112"/>
      <c r="BL186" s="112"/>
      <c r="BM186" s="112"/>
      <c r="BN186" s="112"/>
    </row>
    <row r="187" spans="17:66" x14ac:dyDescent="0.25">
      <c r="Q187" s="112"/>
      <c r="R187" s="112"/>
      <c r="S187" s="112"/>
      <c r="T187" s="112"/>
      <c r="U187" s="112"/>
      <c r="V187" s="112"/>
      <c r="W187" s="112"/>
      <c r="X187" s="112"/>
      <c r="Y187" s="112"/>
      <c r="Z187" s="112"/>
      <c r="AA187" s="112"/>
      <c r="AB187" s="112"/>
      <c r="AC187" s="112"/>
      <c r="AD187" s="112"/>
      <c r="AE187" s="112"/>
      <c r="AF187" s="112"/>
      <c r="AG187" s="112"/>
      <c r="AH187" s="112"/>
      <c r="AI187" s="112"/>
      <c r="AJ187" s="112"/>
      <c r="AK187" s="112"/>
      <c r="AL187" s="112"/>
      <c r="AP187" s="112"/>
      <c r="AQ187" s="112"/>
      <c r="AR187" s="112"/>
      <c r="AS187" s="112"/>
      <c r="AT187" s="112"/>
      <c r="AU187" s="112"/>
      <c r="AV187" s="112"/>
      <c r="AW187" s="112"/>
      <c r="AX187" s="112"/>
      <c r="AY187" s="112"/>
      <c r="BA187" s="112"/>
      <c r="BB187" s="112"/>
      <c r="BC187" s="112"/>
      <c r="BD187" s="112"/>
      <c r="BE187" s="112"/>
      <c r="BF187" s="112"/>
      <c r="BG187" s="112"/>
      <c r="BH187" s="112"/>
      <c r="BI187" s="112"/>
      <c r="BK187" s="112"/>
      <c r="BL187" s="112"/>
      <c r="BM187" s="112"/>
      <c r="BN187" s="112"/>
    </row>
    <row r="188" spans="17:66" x14ac:dyDescent="0.25">
      <c r="Q188" s="112"/>
      <c r="R188" s="112"/>
      <c r="S188" s="112"/>
      <c r="T188" s="112"/>
      <c r="U188" s="112"/>
      <c r="V188" s="112"/>
      <c r="W188" s="112"/>
      <c r="X188" s="112"/>
      <c r="Y188" s="112"/>
      <c r="Z188" s="112"/>
      <c r="AA188" s="112"/>
      <c r="AB188" s="112"/>
      <c r="AC188" s="112"/>
      <c r="AD188" s="112"/>
      <c r="AE188" s="112"/>
      <c r="AF188" s="112"/>
      <c r="AG188" s="112"/>
      <c r="AH188" s="112"/>
      <c r="AI188" s="112"/>
      <c r="AJ188" s="112"/>
      <c r="AK188" s="112"/>
      <c r="AL188" s="112"/>
      <c r="AP188" s="112"/>
      <c r="AQ188" s="112"/>
      <c r="AR188" s="112"/>
      <c r="AS188" s="112"/>
      <c r="AT188" s="112"/>
      <c r="AU188" s="112"/>
      <c r="AV188" s="112"/>
      <c r="AW188" s="112"/>
      <c r="AX188" s="112"/>
      <c r="AY188" s="112"/>
      <c r="BA188" s="112"/>
      <c r="BB188" s="112"/>
      <c r="BC188" s="112"/>
      <c r="BD188" s="112"/>
      <c r="BE188" s="112"/>
      <c r="BF188" s="112"/>
      <c r="BG188" s="112"/>
      <c r="BH188" s="112"/>
      <c r="BI188" s="112"/>
      <c r="BK188" s="112"/>
      <c r="BL188" s="112"/>
      <c r="BM188" s="112"/>
      <c r="BN188" s="112"/>
    </row>
    <row r="189" spans="17:66" x14ac:dyDescent="0.25">
      <c r="Q189" s="112"/>
      <c r="R189" s="112"/>
      <c r="S189" s="112"/>
      <c r="T189" s="112"/>
      <c r="U189" s="112"/>
      <c r="V189" s="112"/>
      <c r="W189" s="112"/>
      <c r="X189" s="112"/>
      <c r="Y189" s="112"/>
      <c r="Z189" s="112"/>
      <c r="AA189" s="112"/>
      <c r="AB189" s="112"/>
      <c r="AC189" s="112"/>
      <c r="AD189" s="112"/>
      <c r="AE189" s="112"/>
      <c r="AF189" s="112"/>
      <c r="AG189" s="112"/>
      <c r="AH189" s="112"/>
      <c r="AI189" s="112"/>
      <c r="AJ189" s="112"/>
      <c r="AK189" s="112"/>
      <c r="AL189" s="112"/>
      <c r="AP189" s="112"/>
      <c r="AQ189" s="112"/>
      <c r="AR189" s="112"/>
      <c r="AS189" s="112"/>
      <c r="AT189" s="112"/>
      <c r="AU189" s="112"/>
      <c r="AV189" s="112"/>
      <c r="AW189" s="112"/>
      <c r="AX189" s="112"/>
      <c r="AY189" s="112"/>
      <c r="BA189" s="112"/>
      <c r="BB189" s="112"/>
      <c r="BC189" s="112"/>
      <c r="BD189" s="112"/>
      <c r="BE189" s="112"/>
      <c r="BF189" s="112"/>
      <c r="BG189" s="112"/>
      <c r="BH189" s="112"/>
      <c r="BI189" s="112"/>
      <c r="BK189" s="112"/>
      <c r="BL189" s="112"/>
      <c r="BM189" s="112"/>
      <c r="BN189" s="112"/>
    </row>
    <row r="190" spans="17:66" x14ac:dyDescent="0.25">
      <c r="Q190" s="112"/>
      <c r="R190" s="112"/>
      <c r="S190" s="112"/>
      <c r="T190" s="112"/>
      <c r="U190" s="112"/>
      <c r="V190" s="112"/>
      <c r="W190" s="112"/>
      <c r="X190" s="112"/>
      <c r="Y190" s="112"/>
      <c r="Z190" s="112"/>
      <c r="AA190" s="112"/>
      <c r="AB190" s="112"/>
      <c r="AC190" s="112"/>
      <c r="AD190" s="112"/>
      <c r="AE190" s="112"/>
      <c r="AF190" s="112"/>
      <c r="AG190" s="112"/>
      <c r="AH190" s="112"/>
      <c r="AI190" s="112"/>
      <c r="AJ190" s="112"/>
      <c r="AK190" s="112"/>
      <c r="AL190" s="112"/>
      <c r="AP190" s="112"/>
      <c r="AQ190" s="112"/>
      <c r="AR190" s="112"/>
      <c r="AS190" s="112"/>
      <c r="AT190" s="112"/>
      <c r="AU190" s="112"/>
      <c r="AV190" s="112"/>
      <c r="AW190" s="112"/>
      <c r="AX190" s="112"/>
      <c r="AY190" s="112"/>
      <c r="BA190" s="112"/>
      <c r="BB190" s="112"/>
      <c r="BC190" s="112"/>
      <c r="BD190" s="112"/>
      <c r="BE190" s="112"/>
      <c r="BF190" s="112"/>
      <c r="BG190" s="112"/>
      <c r="BH190" s="112"/>
      <c r="BI190" s="112"/>
      <c r="BK190" s="112"/>
      <c r="BL190" s="112"/>
      <c r="BM190" s="112"/>
      <c r="BN190" s="112"/>
    </row>
    <row r="191" spans="17:66" x14ac:dyDescent="0.25">
      <c r="Q191" s="112"/>
      <c r="R191" s="112"/>
      <c r="S191" s="112"/>
      <c r="T191" s="112"/>
      <c r="U191" s="112"/>
      <c r="V191" s="112"/>
      <c r="W191" s="112"/>
      <c r="X191" s="112"/>
      <c r="Y191" s="112"/>
      <c r="Z191" s="112"/>
      <c r="AA191" s="112"/>
      <c r="AB191" s="112"/>
      <c r="AC191" s="112"/>
      <c r="AD191" s="112"/>
      <c r="AE191" s="112"/>
      <c r="AF191" s="112"/>
      <c r="AG191" s="112"/>
      <c r="AH191" s="112"/>
      <c r="AI191" s="112"/>
      <c r="AJ191" s="112"/>
      <c r="AK191" s="112"/>
      <c r="AL191" s="112"/>
      <c r="AP191" s="112"/>
      <c r="AQ191" s="112"/>
      <c r="AR191" s="112"/>
      <c r="AS191" s="112"/>
      <c r="AT191" s="112"/>
      <c r="AU191" s="112"/>
      <c r="AV191" s="112"/>
      <c r="AW191" s="112"/>
      <c r="AX191" s="112"/>
      <c r="AY191" s="112"/>
      <c r="BA191" s="112"/>
      <c r="BB191" s="112"/>
      <c r="BC191" s="112"/>
      <c r="BD191" s="112"/>
      <c r="BE191" s="112"/>
      <c r="BF191" s="112"/>
      <c r="BG191" s="112"/>
      <c r="BH191" s="112"/>
      <c r="BI191" s="112"/>
      <c r="BK191" s="112"/>
      <c r="BL191" s="112"/>
      <c r="BM191" s="112"/>
      <c r="BN191" s="112"/>
    </row>
    <row r="192" spans="17:66" x14ac:dyDescent="0.25">
      <c r="Q192" s="112"/>
      <c r="R192" s="112"/>
      <c r="S192" s="112"/>
      <c r="T192" s="112"/>
      <c r="U192" s="112"/>
      <c r="V192" s="112"/>
      <c r="W192" s="112"/>
      <c r="X192" s="112"/>
      <c r="Y192" s="112"/>
      <c r="Z192" s="112"/>
      <c r="AA192" s="112"/>
      <c r="AB192" s="112"/>
      <c r="AC192" s="112"/>
      <c r="AD192" s="112"/>
      <c r="AE192" s="112"/>
      <c r="AF192" s="112"/>
      <c r="AG192" s="112"/>
      <c r="AH192" s="112"/>
      <c r="AI192" s="112"/>
      <c r="AJ192" s="112"/>
      <c r="AK192" s="112"/>
      <c r="AL192" s="112"/>
      <c r="AP192" s="112"/>
      <c r="AQ192" s="112"/>
      <c r="AR192" s="112"/>
      <c r="AS192" s="112"/>
      <c r="AT192" s="112"/>
      <c r="AU192" s="112"/>
      <c r="AV192" s="112"/>
      <c r="AW192" s="112"/>
      <c r="AX192" s="112"/>
      <c r="AY192" s="112"/>
      <c r="BA192" s="112"/>
      <c r="BB192" s="112"/>
      <c r="BC192" s="112"/>
      <c r="BD192" s="112"/>
      <c r="BE192" s="112"/>
      <c r="BF192" s="112"/>
      <c r="BG192" s="112"/>
      <c r="BH192" s="112"/>
      <c r="BI192" s="112"/>
      <c r="BK192" s="112"/>
      <c r="BL192" s="112"/>
      <c r="BM192" s="112"/>
      <c r="BN192" s="112"/>
    </row>
    <row r="193" spans="17:66" x14ac:dyDescent="0.25">
      <c r="Q193" s="112"/>
      <c r="R193" s="112"/>
      <c r="S193" s="112"/>
      <c r="T193" s="112"/>
      <c r="U193" s="112"/>
      <c r="V193" s="112"/>
      <c r="W193" s="112"/>
      <c r="X193" s="112"/>
      <c r="Y193" s="112"/>
      <c r="Z193" s="112"/>
      <c r="AA193" s="112"/>
      <c r="AB193" s="112"/>
      <c r="AC193" s="112"/>
      <c r="AD193" s="112"/>
      <c r="AE193" s="112"/>
      <c r="AF193" s="112"/>
      <c r="AG193" s="112"/>
      <c r="AH193" s="112"/>
      <c r="AI193" s="112"/>
      <c r="AJ193" s="112"/>
      <c r="AK193" s="112"/>
      <c r="AL193" s="112"/>
      <c r="AP193" s="112"/>
      <c r="AQ193" s="112"/>
      <c r="AR193" s="112"/>
      <c r="AS193" s="112"/>
      <c r="AT193" s="112"/>
      <c r="AU193" s="112"/>
      <c r="AV193" s="112"/>
      <c r="AW193" s="112"/>
      <c r="AX193" s="112"/>
      <c r="AY193" s="112"/>
      <c r="BA193" s="112"/>
      <c r="BB193" s="112"/>
      <c r="BC193" s="112"/>
      <c r="BD193" s="112"/>
      <c r="BE193" s="112"/>
      <c r="BF193" s="112"/>
      <c r="BG193" s="112"/>
      <c r="BH193" s="112"/>
      <c r="BI193" s="112"/>
      <c r="BK193" s="112"/>
      <c r="BL193" s="112"/>
      <c r="BM193" s="112"/>
      <c r="BN193" s="112"/>
    </row>
    <row r="194" spans="17:66" x14ac:dyDescent="0.25">
      <c r="Q194" s="112"/>
      <c r="R194" s="112"/>
      <c r="S194" s="112"/>
      <c r="T194" s="112"/>
      <c r="U194" s="112"/>
      <c r="V194" s="112"/>
      <c r="W194" s="112"/>
      <c r="X194" s="112"/>
      <c r="Y194" s="112"/>
      <c r="Z194" s="112"/>
      <c r="AA194" s="112"/>
      <c r="AB194" s="112"/>
      <c r="AC194" s="112"/>
      <c r="AD194" s="112"/>
      <c r="AE194" s="112"/>
      <c r="AF194" s="112"/>
      <c r="AG194" s="112"/>
      <c r="AH194" s="112"/>
      <c r="AI194" s="112"/>
      <c r="AJ194" s="112"/>
      <c r="AK194" s="112"/>
      <c r="AL194" s="112"/>
      <c r="AP194" s="112"/>
      <c r="AQ194" s="112"/>
      <c r="AR194" s="112"/>
      <c r="AS194" s="112"/>
      <c r="AT194" s="112"/>
      <c r="AU194" s="112"/>
      <c r="AV194" s="112"/>
      <c r="AW194" s="112"/>
      <c r="AX194" s="112"/>
      <c r="AY194" s="112"/>
      <c r="BA194" s="112"/>
      <c r="BB194" s="112"/>
      <c r="BC194" s="112"/>
      <c r="BD194" s="112"/>
      <c r="BE194" s="112"/>
      <c r="BF194" s="112"/>
      <c r="BG194" s="112"/>
      <c r="BH194" s="112"/>
      <c r="BI194" s="112"/>
      <c r="BK194" s="112"/>
      <c r="BL194" s="112"/>
      <c r="BM194" s="112"/>
      <c r="BN194" s="112"/>
    </row>
    <row r="195" spans="17:66" x14ac:dyDescent="0.25">
      <c r="Q195" s="112"/>
      <c r="R195" s="112"/>
      <c r="S195" s="112"/>
      <c r="T195" s="112"/>
      <c r="U195" s="112"/>
      <c r="V195" s="112"/>
      <c r="W195" s="112"/>
      <c r="X195" s="112"/>
      <c r="Y195" s="112"/>
      <c r="Z195" s="112"/>
      <c r="AA195" s="112"/>
      <c r="AB195" s="112"/>
      <c r="AC195" s="112"/>
      <c r="AD195" s="112"/>
      <c r="AE195" s="112"/>
      <c r="AF195" s="112"/>
      <c r="AG195" s="112"/>
      <c r="AH195" s="112"/>
      <c r="AI195" s="112"/>
      <c r="AJ195" s="112"/>
      <c r="AK195" s="112"/>
      <c r="AL195" s="112"/>
      <c r="AP195" s="112"/>
      <c r="AQ195" s="112"/>
      <c r="AR195" s="112"/>
      <c r="AS195" s="112"/>
      <c r="AT195" s="112"/>
      <c r="AU195" s="112"/>
      <c r="AV195" s="112"/>
      <c r="AW195" s="112"/>
      <c r="AX195" s="112"/>
      <c r="AY195" s="112"/>
      <c r="BA195" s="112"/>
      <c r="BB195" s="112"/>
      <c r="BC195" s="112"/>
      <c r="BD195" s="112"/>
      <c r="BE195" s="112"/>
      <c r="BF195" s="112"/>
      <c r="BG195" s="112"/>
      <c r="BH195" s="112"/>
      <c r="BI195" s="112"/>
      <c r="BK195" s="112"/>
      <c r="BL195" s="112"/>
      <c r="BM195" s="112"/>
      <c r="BN195" s="112"/>
    </row>
    <row r="196" spans="17:66" x14ac:dyDescent="0.25">
      <c r="Q196" s="112"/>
      <c r="R196" s="112"/>
      <c r="S196" s="112"/>
      <c r="T196" s="112"/>
      <c r="U196" s="112"/>
      <c r="V196" s="112"/>
      <c r="W196" s="112"/>
      <c r="X196" s="112"/>
      <c r="Y196" s="112"/>
      <c r="Z196" s="112"/>
      <c r="AA196" s="112"/>
      <c r="AB196" s="112"/>
      <c r="AC196" s="112"/>
      <c r="AD196" s="112"/>
      <c r="AE196" s="112"/>
      <c r="AF196" s="112"/>
      <c r="AG196" s="112"/>
      <c r="AH196" s="112"/>
      <c r="AI196" s="112"/>
      <c r="AJ196" s="112"/>
      <c r="AK196" s="112"/>
      <c r="AL196" s="112"/>
      <c r="AP196" s="112"/>
      <c r="AQ196" s="112"/>
      <c r="AR196" s="112"/>
      <c r="AS196" s="112"/>
      <c r="AT196" s="112"/>
      <c r="AU196" s="112"/>
      <c r="AV196" s="112"/>
      <c r="AW196" s="112"/>
      <c r="AX196" s="112"/>
      <c r="AY196" s="112"/>
      <c r="BA196" s="112"/>
      <c r="BB196" s="112"/>
      <c r="BC196" s="112"/>
      <c r="BD196" s="112"/>
      <c r="BE196" s="112"/>
      <c r="BF196" s="112"/>
      <c r="BG196" s="112"/>
      <c r="BH196" s="112"/>
      <c r="BI196" s="112"/>
      <c r="BK196" s="112"/>
      <c r="BL196" s="112"/>
      <c r="BM196" s="112"/>
      <c r="BN196" s="112"/>
    </row>
    <row r="197" spans="17:66" x14ac:dyDescent="0.25">
      <c r="Q197" s="112"/>
      <c r="R197" s="112"/>
      <c r="S197" s="112"/>
      <c r="T197" s="112"/>
      <c r="U197" s="112"/>
      <c r="V197" s="112"/>
      <c r="W197" s="112"/>
      <c r="X197" s="112"/>
      <c r="Y197" s="112"/>
      <c r="Z197" s="112"/>
      <c r="AA197" s="112"/>
      <c r="AB197" s="112"/>
      <c r="AC197" s="112"/>
      <c r="AD197" s="112"/>
      <c r="AE197" s="112"/>
      <c r="AF197" s="112"/>
      <c r="AG197" s="112"/>
      <c r="AH197" s="112"/>
      <c r="AI197" s="112"/>
      <c r="AJ197" s="112"/>
      <c r="AK197" s="112"/>
      <c r="AL197" s="112"/>
      <c r="AP197" s="112"/>
      <c r="AQ197" s="112"/>
      <c r="AR197" s="112"/>
      <c r="AS197" s="112"/>
      <c r="AT197" s="112"/>
      <c r="AU197" s="112"/>
      <c r="AV197" s="112"/>
      <c r="AW197" s="112"/>
      <c r="AX197" s="112"/>
      <c r="AY197" s="112"/>
      <c r="BA197" s="112"/>
      <c r="BB197" s="112"/>
      <c r="BC197" s="112"/>
      <c r="BD197" s="112"/>
      <c r="BE197" s="112"/>
      <c r="BF197" s="112"/>
      <c r="BG197" s="112"/>
      <c r="BH197" s="112"/>
      <c r="BI197" s="112"/>
      <c r="BK197" s="112"/>
      <c r="BL197" s="112"/>
      <c r="BM197" s="112"/>
      <c r="BN197" s="112"/>
    </row>
    <row r="198" spans="17:66" x14ac:dyDescent="0.25">
      <c r="Q198" s="112"/>
      <c r="R198" s="112"/>
      <c r="S198" s="112"/>
      <c r="T198" s="112"/>
      <c r="U198" s="112"/>
      <c r="V198" s="112"/>
      <c r="W198" s="112"/>
      <c r="X198" s="112"/>
      <c r="Y198" s="112"/>
      <c r="Z198" s="112"/>
      <c r="AA198" s="112"/>
      <c r="AB198" s="112"/>
      <c r="AC198" s="112"/>
      <c r="AD198" s="112"/>
      <c r="AE198" s="112"/>
      <c r="AF198" s="112"/>
      <c r="AG198" s="112"/>
      <c r="AH198" s="112"/>
      <c r="AI198" s="112"/>
      <c r="AJ198" s="112"/>
      <c r="AK198" s="112"/>
      <c r="AL198" s="112"/>
      <c r="AP198" s="112"/>
      <c r="AQ198" s="112"/>
      <c r="AR198" s="112"/>
      <c r="AS198" s="112"/>
      <c r="AT198" s="112"/>
      <c r="AU198" s="112"/>
      <c r="AV198" s="112"/>
      <c r="AW198" s="112"/>
      <c r="AX198" s="112"/>
      <c r="AY198" s="112"/>
      <c r="BA198" s="112"/>
      <c r="BB198" s="112"/>
      <c r="BC198" s="112"/>
      <c r="BD198" s="112"/>
      <c r="BE198" s="112"/>
      <c r="BF198" s="112"/>
      <c r="BG198" s="112"/>
      <c r="BH198" s="112"/>
      <c r="BI198" s="112"/>
      <c r="BK198" s="112"/>
      <c r="BL198" s="112"/>
      <c r="BM198" s="112"/>
      <c r="BN198" s="112"/>
    </row>
    <row r="199" spans="17:66" x14ac:dyDescent="0.25">
      <c r="Q199" s="112"/>
      <c r="R199" s="112"/>
      <c r="S199" s="112"/>
      <c r="T199" s="112"/>
      <c r="U199" s="112"/>
      <c r="V199" s="112"/>
      <c r="W199" s="112"/>
      <c r="X199" s="112"/>
      <c r="Y199" s="112"/>
      <c r="Z199" s="112"/>
      <c r="AA199" s="112"/>
      <c r="AB199" s="112"/>
      <c r="AC199" s="112"/>
      <c r="AD199" s="112"/>
      <c r="AE199" s="112"/>
      <c r="AF199" s="112"/>
      <c r="AG199" s="112"/>
      <c r="AH199" s="112"/>
      <c r="AI199" s="112"/>
      <c r="AJ199" s="112"/>
      <c r="AK199" s="112"/>
      <c r="AL199" s="112"/>
      <c r="AP199" s="112"/>
      <c r="AQ199" s="112"/>
      <c r="AR199" s="112"/>
      <c r="AS199" s="112"/>
      <c r="AT199" s="112"/>
      <c r="AU199" s="112"/>
      <c r="AV199" s="112"/>
      <c r="AW199" s="112"/>
      <c r="AX199" s="112"/>
      <c r="AY199" s="112"/>
      <c r="BA199" s="112"/>
      <c r="BB199" s="112"/>
      <c r="BC199" s="112"/>
      <c r="BD199" s="112"/>
      <c r="BE199" s="112"/>
      <c r="BF199" s="112"/>
      <c r="BG199" s="112"/>
      <c r="BH199" s="112"/>
      <c r="BI199" s="112"/>
      <c r="BK199" s="112"/>
      <c r="BL199" s="112"/>
      <c r="BM199" s="112"/>
      <c r="BN199" s="112"/>
    </row>
    <row r="200" spans="17:66" x14ac:dyDescent="0.25">
      <c r="Q200" s="112"/>
      <c r="R200" s="112"/>
      <c r="S200" s="112"/>
      <c r="T200" s="112"/>
      <c r="U200" s="112"/>
      <c r="V200" s="112"/>
      <c r="W200" s="112"/>
      <c r="X200" s="112"/>
      <c r="Y200" s="112"/>
      <c r="Z200" s="112"/>
      <c r="AA200" s="112"/>
      <c r="AB200" s="112"/>
      <c r="AC200" s="112"/>
      <c r="AD200" s="112"/>
      <c r="AE200" s="112"/>
      <c r="AF200" s="112"/>
      <c r="AG200" s="112"/>
      <c r="AH200" s="112"/>
      <c r="AI200" s="112"/>
      <c r="AJ200" s="112"/>
      <c r="AK200" s="112"/>
      <c r="AL200" s="112"/>
      <c r="AP200" s="112"/>
      <c r="AQ200" s="112"/>
      <c r="AR200" s="112"/>
      <c r="AS200" s="112"/>
      <c r="AT200" s="112"/>
      <c r="AU200" s="112"/>
      <c r="AV200" s="112"/>
      <c r="AW200" s="112"/>
      <c r="AX200" s="112"/>
      <c r="AY200" s="112"/>
      <c r="BA200" s="112"/>
      <c r="BB200" s="112"/>
      <c r="BC200" s="112"/>
      <c r="BD200" s="112"/>
      <c r="BE200" s="112"/>
      <c r="BF200" s="112"/>
      <c r="BG200" s="112"/>
      <c r="BH200" s="112"/>
      <c r="BI200" s="112"/>
      <c r="BK200" s="112"/>
      <c r="BL200" s="112"/>
      <c r="BM200" s="112"/>
      <c r="BN200" s="112"/>
    </row>
    <row r="201" spans="17:66" x14ac:dyDescent="0.25">
      <c r="Q201" s="112"/>
      <c r="R201" s="112"/>
      <c r="S201" s="112"/>
      <c r="T201" s="112"/>
      <c r="U201" s="112"/>
      <c r="V201" s="112"/>
      <c r="W201" s="112"/>
      <c r="X201" s="112"/>
      <c r="Y201" s="112"/>
      <c r="Z201" s="112"/>
      <c r="AA201" s="112"/>
      <c r="AB201" s="112"/>
      <c r="AC201" s="112"/>
      <c r="AD201" s="112"/>
      <c r="AE201" s="112"/>
      <c r="AF201" s="112"/>
      <c r="AG201" s="112"/>
      <c r="AH201" s="112"/>
      <c r="AI201" s="112"/>
      <c r="AJ201" s="112"/>
      <c r="AK201" s="112"/>
      <c r="AL201" s="112"/>
      <c r="AP201" s="112"/>
      <c r="AQ201" s="112"/>
      <c r="AR201" s="112"/>
      <c r="AS201" s="112"/>
      <c r="AT201" s="112"/>
      <c r="AU201" s="112"/>
      <c r="AV201" s="112"/>
      <c r="AW201" s="112"/>
      <c r="AX201" s="112"/>
      <c r="AY201" s="112"/>
      <c r="BA201" s="112"/>
      <c r="BB201" s="112"/>
      <c r="BC201" s="112"/>
      <c r="BD201" s="112"/>
      <c r="BE201" s="112"/>
      <c r="BF201" s="112"/>
      <c r="BG201" s="112"/>
      <c r="BH201" s="112"/>
      <c r="BI201" s="112"/>
      <c r="BK201" s="112"/>
      <c r="BL201" s="112"/>
      <c r="BM201" s="112"/>
      <c r="BN201" s="112"/>
    </row>
    <row r="202" spans="17:66" x14ac:dyDescent="0.25">
      <c r="Q202" s="112"/>
      <c r="R202" s="112"/>
      <c r="S202" s="112"/>
      <c r="T202" s="112"/>
      <c r="U202" s="112"/>
      <c r="V202" s="112"/>
      <c r="W202" s="112"/>
      <c r="X202" s="112"/>
      <c r="Y202" s="112"/>
      <c r="Z202" s="112"/>
      <c r="AA202" s="112"/>
      <c r="AB202" s="112"/>
      <c r="AC202" s="112"/>
      <c r="AD202" s="112"/>
      <c r="AE202" s="112"/>
      <c r="AF202" s="112"/>
      <c r="AG202" s="112"/>
      <c r="AH202" s="112"/>
      <c r="AI202" s="112"/>
      <c r="AJ202" s="112"/>
      <c r="AK202" s="112"/>
      <c r="AL202" s="112"/>
      <c r="AP202" s="112"/>
      <c r="AQ202" s="112"/>
      <c r="AR202" s="112"/>
      <c r="AS202" s="112"/>
      <c r="AT202" s="112"/>
      <c r="AU202" s="112"/>
      <c r="AV202" s="112"/>
      <c r="AW202" s="112"/>
      <c r="AX202" s="112"/>
      <c r="AY202" s="112"/>
      <c r="BA202" s="112"/>
      <c r="BB202" s="112"/>
      <c r="BC202" s="112"/>
      <c r="BD202" s="112"/>
      <c r="BE202" s="112"/>
      <c r="BF202" s="112"/>
      <c r="BG202" s="112"/>
      <c r="BH202" s="112"/>
      <c r="BI202" s="112"/>
      <c r="BK202" s="112"/>
      <c r="BL202" s="112"/>
      <c r="BM202" s="112"/>
      <c r="BN202" s="112"/>
    </row>
    <row r="203" spans="17:66" x14ac:dyDescent="0.25">
      <c r="Q203" s="112"/>
      <c r="R203" s="112"/>
      <c r="S203" s="112"/>
      <c r="T203" s="112"/>
      <c r="U203" s="112"/>
      <c r="V203" s="112"/>
      <c r="W203" s="112"/>
      <c r="X203" s="112"/>
      <c r="Y203" s="112"/>
      <c r="Z203" s="112"/>
      <c r="AA203" s="112"/>
      <c r="AB203" s="112"/>
      <c r="AC203" s="112"/>
      <c r="AD203" s="112"/>
      <c r="AE203" s="112"/>
      <c r="AF203" s="112"/>
      <c r="AG203" s="112"/>
      <c r="AH203" s="112"/>
      <c r="AI203" s="112"/>
      <c r="AJ203" s="112"/>
      <c r="AK203" s="112"/>
      <c r="AL203" s="112"/>
      <c r="AP203" s="112"/>
      <c r="AQ203" s="112"/>
      <c r="AR203" s="112"/>
      <c r="AS203" s="112"/>
      <c r="AT203" s="112"/>
      <c r="AU203" s="112"/>
      <c r="AV203" s="112"/>
      <c r="AW203" s="112"/>
      <c r="AX203" s="112"/>
      <c r="AY203" s="112"/>
      <c r="BA203" s="112"/>
      <c r="BB203" s="112"/>
      <c r="BC203" s="112"/>
      <c r="BD203" s="112"/>
      <c r="BE203" s="112"/>
      <c r="BF203" s="112"/>
      <c r="BG203" s="112"/>
      <c r="BH203" s="112"/>
      <c r="BI203" s="112"/>
      <c r="BK203" s="112"/>
      <c r="BL203" s="112"/>
      <c r="BM203" s="112"/>
      <c r="BN203" s="112"/>
    </row>
    <row r="204" spans="17:66" x14ac:dyDescent="0.25">
      <c r="Q204" s="112"/>
      <c r="R204" s="112"/>
      <c r="S204" s="112"/>
      <c r="T204" s="112"/>
      <c r="U204" s="112"/>
      <c r="V204" s="112"/>
      <c r="W204" s="112"/>
      <c r="X204" s="112"/>
      <c r="Y204" s="112"/>
      <c r="Z204" s="112"/>
      <c r="AA204" s="112"/>
      <c r="AB204" s="112"/>
      <c r="AC204" s="112"/>
      <c r="AD204" s="112"/>
      <c r="AE204" s="112"/>
      <c r="AF204" s="112"/>
      <c r="AG204" s="112"/>
      <c r="AH204" s="112"/>
      <c r="AI204" s="112"/>
      <c r="AJ204" s="112"/>
      <c r="AK204" s="112"/>
      <c r="AL204" s="112"/>
      <c r="AP204" s="112"/>
      <c r="AQ204" s="112"/>
      <c r="AR204" s="112"/>
      <c r="AS204" s="112"/>
      <c r="AT204" s="112"/>
      <c r="AU204" s="112"/>
      <c r="AV204" s="112"/>
      <c r="AW204" s="112"/>
      <c r="AX204" s="112"/>
      <c r="AY204" s="112"/>
      <c r="BA204" s="112"/>
      <c r="BB204" s="112"/>
      <c r="BC204" s="112"/>
      <c r="BD204" s="112"/>
      <c r="BE204" s="112"/>
      <c r="BF204" s="112"/>
      <c r="BG204" s="112"/>
      <c r="BH204" s="112"/>
      <c r="BI204" s="112"/>
      <c r="BK204" s="112"/>
      <c r="BL204" s="112"/>
      <c r="BM204" s="112"/>
      <c r="BN204" s="112"/>
    </row>
    <row r="205" spans="17:66" x14ac:dyDescent="0.25">
      <c r="Q205" s="112"/>
      <c r="R205" s="112"/>
      <c r="S205" s="112"/>
      <c r="T205" s="112"/>
      <c r="U205" s="112"/>
      <c r="V205" s="112"/>
      <c r="W205" s="112"/>
      <c r="X205" s="112"/>
      <c r="Y205" s="112"/>
      <c r="Z205" s="112"/>
      <c r="AA205" s="112"/>
      <c r="AB205" s="112"/>
      <c r="AC205" s="112"/>
      <c r="AD205" s="112"/>
      <c r="AE205" s="112"/>
      <c r="AF205" s="112"/>
      <c r="AG205" s="112"/>
      <c r="AH205" s="112"/>
      <c r="AI205" s="112"/>
      <c r="AJ205" s="112"/>
      <c r="AK205" s="112"/>
      <c r="AL205" s="112"/>
      <c r="AP205" s="112"/>
      <c r="AQ205" s="112"/>
      <c r="AR205" s="112"/>
      <c r="AS205" s="112"/>
      <c r="AT205" s="112"/>
      <c r="AU205" s="112"/>
      <c r="AV205" s="112"/>
      <c r="AW205" s="112"/>
      <c r="AX205" s="112"/>
      <c r="AY205" s="112"/>
      <c r="BA205" s="112"/>
      <c r="BB205" s="112"/>
      <c r="BC205" s="112"/>
      <c r="BD205" s="112"/>
      <c r="BE205" s="112"/>
      <c r="BF205" s="112"/>
      <c r="BG205" s="112"/>
      <c r="BH205" s="112"/>
      <c r="BI205" s="112"/>
      <c r="BK205" s="112"/>
      <c r="BL205" s="112"/>
      <c r="BM205" s="112"/>
      <c r="BN205" s="112"/>
    </row>
    <row r="206" spans="17:66" x14ac:dyDescent="0.25">
      <c r="Q206" s="112"/>
      <c r="R206" s="112"/>
      <c r="S206" s="112"/>
      <c r="T206" s="112"/>
      <c r="U206" s="112"/>
      <c r="V206" s="112"/>
      <c r="W206" s="112"/>
      <c r="X206" s="112"/>
      <c r="Y206" s="112"/>
      <c r="Z206" s="112"/>
      <c r="AA206" s="112"/>
      <c r="AB206" s="112"/>
      <c r="AC206" s="112"/>
      <c r="AD206" s="112"/>
      <c r="AE206" s="112"/>
      <c r="AF206" s="112"/>
      <c r="AG206" s="112"/>
      <c r="AH206" s="112"/>
      <c r="AI206" s="112"/>
      <c r="AJ206" s="112"/>
      <c r="AK206" s="112"/>
      <c r="AL206" s="112"/>
      <c r="AP206" s="112"/>
      <c r="AQ206" s="112"/>
      <c r="AR206" s="112"/>
      <c r="AS206" s="112"/>
      <c r="AT206" s="112"/>
      <c r="AU206" s="112"/>
      <c r="AV206" s="112"/>
      <c r="AW206" s="112"/>
      <c r="AX206" s="112"/>
      <c r="AY206" s="112"/>
      <c r="BA206" s="112"/>
      <c r="BB206" s="112"/>
      <c r="BC206" s="112"/>
      <c r="BD206" s="112"/>
      <c r="BE206" s="112"/>
      <c r="BF206" s="112"/>
      <c r="BG206" s="112"/>
      <c r="BH206" s="112"/>
      <c r="BI206" s="112"/>
      <c r="BK206" s="112"/>
      <c r="BL206" s="112"/>
      <c r="BM206" s="112"/>
      <c r="BN206" s="112"/>
    </row>
    <row r="207" spans="17:66" x14ac:dyDescent="0.25">
      <c r="Q207" s="112"/>
      <c r="R207" s="112"/>
      <c r="S207" s="112"/>
      <c r="T207" s="112"/>
      <c r="U207" s="112"/>
      <c r="V207" s="112"/>
      <c r="W207" s="112"/>
      <c r="X207" s="112"/>
      <c r="Y207" s="112"/>
      <c r="Z207" s="112"/>
      <c r="AA207" s="112"/>
      <c r="AB207" s="112"/>
      <c r="AC207" s="112"/>
      <c r="AD207" s="112"/>
      <c r="AE207" s="112"/>
      <c r="AF207" s="112"/>
      <c r="AG207" s="112"/>
      <c r="AH207" s="112"/>
      <c r="AI207" s="112"/>
      <c r="AJ207" s="112"/>
      <c r="AK207" s="112"/>
      <c r="AL207" s="112"/>
      <c r="AP207" s="112"/>
      <c r="AQ207" s="112"/>
      <c r="AR207" s="112"/>
      <c r="AS207" s="112"/>
      <c r="AT207" s="112"/>
      <c r="AU207" s="112"/>
      <c r="AV207" s="112"/>
      <c r="AW207" s="112"/>
      <c r="AX207" s="112"/>
      <c r="AY207" s="112"/>
      <c r="BA207" s="112"/>
      <c r="BB207" s="112"/>
      <c r="BC207" s="112"/>
      <c r="BD207" s="112"/>
      <c r="BE207" s="112"/>
      <c r="BF207" s="112"/>
      <c r="BG207" s="112"/>
      <c r="BH207" s="112"/>
      <c r="BI207" s="112"/>
      <c r="BK207" s="112"/>
      <c r="BL207" s="112"/>
      <c r="BM207" s="112"/>
      <c r="BN207" s="112"/>
    </row>
    <row r="208" spans="17:66" x14ac:dyDescent="0.25">
      <c r="Q208" s="112"/>
      <c r="R208" s="112"/>
      <c r="S208" s="112"/>
      <c r="T208" s="112"/>
      <c r="U208" s="112"/>
      <c r="V208" s="112"/>
      <c r="W208" s="112"/>
      <c r="X208" s="112"/>
      <c r="Y208" s="112"/>
      <c r="Z208" s="112"/>
      <c r="AA208" s="112"/>
      <c r="AB208" s="112"/>
      <c r="AC208" s="112"/>
      <c r="AD208" s="112"/>
      <c r="AE208" s="112"/>
      <c r="AF208" s="112"/>
      <c r="AG208" s="112"/>
      <c r="AH208" s="112"/>
      <c r="AI208" s="112"/>
      <c r="AJ208" s="112"/>
      <c r="AK208" s="112"/>
      <c r="AL208" s="112"/>
      <c r="AP208" s="112"/>
      <c r="AQ208" s="112"/>
      <c r="AR208" s="112"/>
      <c r="AS208" s="112"/>
      <c r="AT208" s="112"/>
      <c r="AU208" s="112"/>
      <c r="AV208" s="112"/>
      <c r="AW208" s="112"/>
      <c r="AX208" s="112"/>
      <c r="AY208" s="112"/>
      <c r="BA208" s="112"/>
      <c r="BB208" s="112"/>
      <c r="BC208" s="112"/>
      <c r="BD208" s="112"/>
      <c r="BE208" s="112"/>
      <c r="BF208" s="112"/>
      <c r="BG208" s="112"/>
      <c r="BH208" s="112"/>
      <c r="BI208" s="112"/>
      <c r="BK208" s="112"/>
      <c r="BL208" s="112"/>
      <c r="BM208" s="112"/>
      <c r="BN208" s="112"/>
    </row>
    <row r="209" spans="17:66" x14ac:dyDescent="0.25">
      <c r="Q209" s="112"/>
      <c r="R209" s="112"/>
      <c r="S209" s="112"/>
      <c r="T209" s="112"/>
      <c r="U209" s="112"/>
      <c r="V209" s="112"/>
      <c r="W209" s="112"/>
      <c r="X209" s="112"/>
      <c r="Y209" s="112"/>
      <c r="Z209" s="112"/>
      <c r="AA209" s="112"/>
      <c r="AB209" s="112"/>
      <c r="AC209" s="112"/>
      <c r="AD209" s="112"/>
      <c r="AE209" s="112"/>
      <c r="AF209" s="112"/>
      <c r="AG209" s="112"/>
      <c r="AH209" s="112"/>
      <c r="AI209" s="112"/>
      <c r="AJ209" s="112"/>
      <c r="AK209" s="112"/>
      <c r="AL209" s="112"/>
      <c r="AP209" s="112"/>
      <c r="AQ209" s="112"/>
      <c r="AR209" s="112"/>
      <c r="AS209" s="112"/>
      <c r="AT209" s="112"/>
      <c r="AU209" s="112"/>
      <c r="AV209" s="112"/>
      <c r="AW209" s="112"/>
      <c r="AX209" s="112"/>
      <c r="AY209" s="112"/>
      <c r="BA209" s="112"/>
      <c r="BB209" s="112"/>
      <c r="BC209" s="112"/>
      <c r="BD209" s="112"/>
      <c r="BE209" s="112"/>
      <c r="BF209" s="112"/>
      <c r="BG209" s="112"/>
      <c r="BH209" s="112"/>
      <c r="BI209" s="112"/>
      <c r="BK209" s="112"/>
      <c r="BL209" s="112"/>
      <c r="BM209" s="112"/>
      <c r="BN209" s="112"/>
    </row>
    <row r="210" spans="17:66" x14ac:dyDescent="0.25">
      <c r="Q210" s="112"/>
      <c r="R210" s="112"/>
      <c r="S210" s="112"/>
      <c r="T210" s="112"/>
      <c r="U210" s="112"/>
      <c r="V210" s="112"/>
      <c r="W210" s="112"/>
      <c r="X210" s="112"/>
      <c r="Y210" s="112"/>
      <c r="Z210" s="112"/>
      <c r="AA210" s="112"/>
      <c r="AB210" s="112"/>
      <c r="AC210" s="112"/>
      <c r="AD210" s="112"/>
      <c r="AE210" s="112"/>
      <c r="AF210" s="112"/>
      <c r="AG210" s="112"/>
      <c r="AH210" s="112"/>
      <c r="AI210" s="112"/>
      <c r="AJ210" s="112"/>
      <c r="AK210" s="112"/>
      <c r="AL210" s="112"/>
      <c r="AP210" s="112"/>
      <c r="AQ210" s="112"/>
      <c r="AR210" s="112"/>
      <c r="AS210" s="112"/>
      <c r="AT210" s="112"/>
      <c r="AU210" s="112"/>
      <c r="AV210" s="112"/>
      <c r="AW210" s="112"/>
      <c r="AX210" s="112"/>
      <c r="AY210" s="112"/>
      <c r="BA210" s="112"/>
      <c r="BB210" s="112"/>
      <c r="BC210" s="112"/>
      <c r="BD210" s="112"/>
      <c r="BE210" s="112"/>
      <c r="BF210" s="112"/>
      <c r="BG210" s="112"/>
      <c r="BH210" s="112"/>
      <c r="BI210" s="112"/>
      <c r="BK210" s="112"/>
      <c r="BL210" s="112"/>
      <c r="BM210" s="112"/>
      <c r="BN210" s="112"/>
    </row>
    <row r="211" spans="17:66" x14ac:dyDescent="0.25">
      <c r="Q211" s="112"/>
      <c r="R211" s="112"/>
      <c r="S211" s="112"/>
      <c r="T211" s="112"/>
      <c r="U211" s="112"/>
      <c r="V211" s="112"/>
      <c r="W211" s="112"/>
      <c r="X211" s="112"/>
      <c r="Y211" s="112"/>
      <c r="Z211" s="112"/>
      <c r="AA211" s="112"/>
      <c r="AB211" s="112"/>
      <c r="AC211" s="112"/>
      <c r="AD211" s="112"/>
      <c r="AE211" s="112"/>
      <c r="AF211" s="112"/>
      <c r="AG211" s="112"/>
      <c r="AH211" s="112"/>
      <c r="AI211" s="112"/>
      <c r="AJ211" s="112"/>
      <c r="AK211" s="112"/>
      <c r="AL211" s="112"/>
      <c r="AP211" s="112"/>
      <c r="AQ211" s="112"/>
      <c r="AR211" s="112"/>
      <c r="AS211" s="112"/>
      <c r="AT211" s="112"/>
      <c r="AU211" s="112"/>
      <c r="AV211" s="112"/>
      <c r="AW211" s="112"/>
      <c r="AX211" s="112"/>
      <c r="AY211" s="112"/>
      <c r="BA211" s="112"/>
      <c r="BB211" s="112"/>
      <c r="BC211" s="112"/>
      <c r="BD211" s="112"/>
      <c r="BE211" s="112"/>
      <c r="BF211" s="112"/>
      <c r="BG211" s="112"/>
      <c r="BH211" s="112"/>
      <c r="BI211" s="112"/>
      <c r="BK211" s="112"/>
      <c r="BL211" s="112"/>
      <c r="BM211" s="112"/>
      <c r="BN211" s="112"/>
    </row>
    <row r="212" spans="17:66" x14ac:dyDescent="0.25">
      <c r="Q212" s="112"/>
      <c r="R212" s="112"/>
      <c r="S212" s="112"/>
      <c r="T212" s="112"/>
      <c r="U212" s="112"/>
      <c r="V212" s="112"/>
      <c r="W212" s="112"/>
      <c r="X212" s="112"/>
      <c r="Y212" s="112"/>
      <c r="Z212" s="112"/>
      <c r="AA212" s="112"/>
      <c r="AB212" s="112"/>
      <c r="AC212" s="112"/>
      <c r="AD212" s="112"/>
      <c r="AE212" s="112"/>
      <c r="AF212" s="112"/>
      <c r="AG212" s="112"/>
      <c r="AH212" s="112"/>
      <c r="AI212" s="112"/>
      <c r="AJ212" s="112"/>
      <c r="AK212" s="112"/>
      <c r="AL212" s="112"/>
      <c r="AP212" s="112"/>
      <c r="AQ212" s="112"/>
      <c r="AR212" s="112"/>
      <c r="AS212" s="112"/>
      <c r="AT212" s="112"/>
      <c r="AU212" s="112"/>
      <c r="AV212" s="112"/>
      <c r="AW212" s="112"/>
      <c r="AX212" s="112"/>
      <c r="AY212" s="112"/>
      <c r="BA212" s="112"/>
      <c r="BB212" s="112"/>
      <c r="BC212" s="112"/>
      <c r="BD212" s="112"/>
      <c r="BE212" s="112"/>
      <c r="BF212" s="112"/>
      <c r="BG212" s="112"/>
      <c r="BH212" s="112"/>
      <c r="BI212" s="112"/>
      <c r="BK212" s="112"/>
      <c r="BL212" s="112"/>
      <c r="BM212" s="112"/>
      <c r="BN212" s="112"/>
    </row>
    <row r="213" spans="17:66" x14ac:dyDescent="0.25">
      <c r="Q213" s="112"/>
      <c r="R213" s="112"/>
      <c r="S213" s="112"/>
      <c r="T213" s="112"/>
      <c r="U213" s="112"/>
      <c r="V213" s="112"/>
      <c r="W213" s="112"/>
      <c r="X213" s="112"/>
      <c r="Y213" s="112"/>
      <c r="Z213" s="112"/>
      <c r="AA213" s="112"/>
      <c r="AB213" s="112"/>
      <c r="AC213" s="112"/>
      <c r="AD213" s="112"/>
      <c r="AE213" s="112"/>
      <c r="AF213" s="112"/>
      <c r="AG213" s="112"/>
      <c r="AH213" s="112"/>
      <c r="AI213" s="112"/>
      <c r="AJ213" s="112"/>
      <c r="AK213" s="112"/>
      <c r="AL213" s="112"/>
      <c r="AP213" s="112"/>
      <c r="AQ213" s="112"/>
      <c r="AR213" s="112"/>
      <c r="AS213" s="112"/>
      <c r="AT213" s="112"/>
      <c r="AU213" s="112"/>
      <c r="AV213" s="112"/>
      <c r="AW213" s="112"/>
      <c r="AX213" s="112"/>
      <c r="AY213" s="112"/>
      <c r="BA213" s="112"/>
      <c r="BB213" s="112"/>
      <c r="BC213" s="112"/>
      <c r="BD213" s="112"/>
      <c r="BE213" s="112"/>
      <c r="BF213" s="112"/>
      <c r="BG213" s="112"/>
      <c r="BH213" s="112"/>
      <c r="BI213" s="112"/>
      <c r="BK213" s="112"/>
      <c r="BL213" s="112"/>
      <c r="BM213" s="112"/>
      <c r="BN213" s="112"/>
    </row>
    <row r="214" spans="17:66" x14ac:dyDescent="0.25">
      <c r="Q214" s="112"/>
      <c r="R214" s="112"/>
      <c r="S214" s="112"/>
      <c r="T214" s="112"/>
      <c r="U214" s="112"/>
      <c r="V214" s="112"/>
      <c r="W214" s="112"/>
      <c r="X214" s="112"/>
      <c r="Y214" s="112"/>
      <c r="Z214" s="112"/>
      <c r="AA214" s="112"/>
      <c r="AB214" s="112"/>
      <c r="AC214" s="112"/>
      <c r="AD214" s="112"/>
      <c r="AE214" s="112"/>
      <c r="AF214" s="112"/>
      <c r="AG214" s="112"/>
      <c r="AH214" s="112"/>
      <c r="AI214" s="112"/>
      <c r="AJ214" s="112"/>
      <c r="AK214" s="112"/>
      <c r="AL214" s="112"/>
      <c r="AP214" s="112"/>
      <c r="AQ214" s="112"/>
      <c r="AR214" s="112"/>
      <c r="AS214" s="112"/>
      <c r="AT214" s="112"/>
      <c r="AU214" s="112"/>
      <c r="AV214" s="112"/>
      <c r="AW214" s="112"/>
      <c r="AX214" s="112"/>
      <c r="AY214" s="112"/>
      <c r="BA214" s="112"/>
      <c r="BB214" s="112"/>
      <c r="BC214" s="112"/>
      <c r="BD214" s="112"/>
      <c r="BE214" s="112"/>
      <c r="BF214" s="112"/>
      <c r="BG214" s="112"/>
      <c r="BH214" s="112"/>
      <c r="BI214" s="112"/>
      <c r="BK214" s="112"/>
      <c r="BL214" s="112"/>
      <c r="BM214" s="112"/>
      <c r="BN214" s="112"/>
    </row>
    <row r="215" spans="17:66" x14ac:dyDescent="0.25">
      <c r="Q215" s="112"/>
      <c r="R215" s="112"/>
      <c r="S215" s="112"/>
      <c r="T215" s="112"/>
      <c r="U215" s="112"/>
      <c r="V215" s="112"/>
      <c r="W215" s="112"/>
      <c r="X215" s="112"/>
      <c r="Y215" s="112"/>
      <c r="Z215" s="112"/>
      <c r="AA215" s="112"/>
      <c r="AB215" s="112"/>
      <c r="AC215" s="112"/>
      <c r="AD215" s="112"/>
      <c r="AE215" s="112"/>
      <c r="AF215" s="112"/>
      <c r="AG215" s="112"/>
      <c r="AH215" s="112"/>
      <c r="AI215" s="112"/>
      <c r="AJ215" s="112"/>
      <c r="AK215" s="112"/>
      <c r="AL215" s="112"/>
      <c r="AP215" s="112"/>
      <c r="AQ215" s="112"/>
      <c r="AR215" s="112"/>
      <c r="AS215" s="112"/>
      <c r="AT215" s="112"/>
      <c r="AU215" s="112"/>
      <c r="AV215" s="112"/>
      <c r="AW215" s="112"/>
      <c r="AX215" s="112"/>
      <c r="AY215" s="112"/>
      <c r="BA215" s="112"/>
      <c r="BB215" s="112"/>
      <c r="BC215" s="112"/>
      <c r="BD215" s="112"/>
      <c r="BE215" s="112"/>
      <c r="BF215" s="112"/>
      <c r="BG215" s="112"/>
      <c r="BH215" s="112"/>
      <c r="BI215" s="112"/>
      <c r="BK215" s="112"/>
      <c r="BL215" s="112"/>
      <c r="BM215" s="112"/>
      <c r="BN215" s="112"/>
    </row>
    <row r="216" spans="17:66" x14ac:dyDescent="0.25">
      <c r="Q216" s="112"/>
      <c r="R216" s="112"/>
      <c r="S216" s="112"/>
      <c r="T216" s="112"/>
      <c r="U216" s="112"/>
      <c r="V216" s="112"/>
      <c r="W216" s="112"/>
      <c r="X216" s="112"/>
      <c r="Y216" s="112"/>
      <c r="Z216" s="112"/>
      <c r="AA216" s="112"/>
      <c r="AB216" s="112"/>
      <c r="AC216" s="112"/>
      <c r="AD216" s="112"/>
      <c r="AE216" s="112"/>
      <c r="AF216" s="112"/>
      <c r="AG216" s="112"/>
      <c r="AH216" s="112"/>
      <c r="AI216" s="112"/>
      <c r="AJ216" s="112"/>
      <c r="AK216" s="112"/>
      <c r="AL216" s="112"/>
      <c r="AP216" s="112"/>
      <c r="AQ216" s="112"/>
      <c r="AR216" s="112"/>
      <c r="AS216" s="112"/>
      <c r="AT216" s="112"/>
      <c r="AU216" s="112"/>
      <c r="AV216" s="112"/>
      <c r="AW216" s="112"/>
      <c r="AX216" s="112"/>
      <c r="AY216" s="112"/>
      <c r="BA216" s="112"/>
      <c r="BB216" s="112"/>
      <c r="BC216" s="112"/>
      <c r="BD216" s="112"/>
      <c r="BE216" s="112"/>
      <c r="BF216" s="112"/>
      <c r="BG216" s="112"/>
      <c r="BH216" s="112"/>
      <c r="BI216" s="112"/>
      <c r="BK216" s="112"/>
      <c r="BL216" s="112"/>
      <c r="BM216" s="112"/>
      <c r="BN216" s="112"/>
    </row>
    <row r="217" spans="17:66" x14ac:dyDescent="0.25">
      <c r="Q217" s="112"/>
      <c r="R217" s="112"/>
      <c r="S217" s="112"/>
      <c r="T217" s="112"/>
      <c r="U217" s="112"/>
      <c r="V217" s="112"/>
      <c r="W217" s="112"/>
      <c r="X217" s="112"/>
      <c r="Y217" s="112"/>
      <c r="Z217" s="112"/>
      <c r="AA217" s="112"/>
      <c r="AB217" s="112"/>
      <c r="AC217" s="112"/>
      <c r="AD217" s="112"/>
      <c r="AE217" s="112"/>
      <c r="AF217" s="112"/>
      <c r="AG217" s="112"/>
      <c r="AH217" s="112"/>
      <c r="AI217" s="112"/>
      <c r="AJ217" s="112"/>
      <c r="AK217" s="112"/>
      <c r="AL217" s="112"/>
      <c r="AP217" s="112"/>
      <c r="AQ217" s="112"/>
      <c r="AR217" s="112"/>
      <c r="AS217" s="112"/>
      <c r="AT217" s="112"/>
      <c r="AU217" s="112"/>
      <c r="AV217" s="112"/>
      <c r="AW217" s="112"/>
      <c r="AX217" s="112"/>
      <c r="AY217" s="112"/>
      <c r="BA217" s="112"/>
      <c r="BB217" s="112"/>
      <c r="BC217" s="112"/>
      <c r="BD217" s="112"/>
      <c r="BE217" s="112"/>
      <c r="BF217" s="112"/>
      <c r="BG217" s="112"/>
      <c r="BH217" s="112"/>
      <c r="BI217" s="112"/>
      <c r="BK217" s="112"/>
      <c r="BL217" s="112"/>
      <c r="BM217" s="112"/>
      <c r="BN217" s="112"/>
    </row>
    <row r="218" spans="17:66" x14ac:dyDescent="0.25">
      <c r="Q218" s="112"/>
      <c r="R218" s="112"/>
      <c r="S218" s="112"/>
      <c r="T218" s="112"/>
      <c r="U218" s="112"/>
      <c r="V218" s="112"/>
      <c r="W218" s="112"/>
      <c r="X218" s="112"/>
      <c r="Y218" s="112"/>
      <c r="Z218" s="112"/>
      <c r="AA218" s="112"/>
      <c r="AB218" s="112"/>
      <c r="AC218" s="112"/>
      <c r="AD218" s="112"/>
      <c r="AE218" s="112"/>
      <c r="AF218" s="112"/>
      <c r="AG218" s="112"/>
      <c r="AH218" s="112"/>
      <c r="AI218" s="112"/>
      <c r="AJ218" s="112"/>
      <c r="AK218" s="112"/>
      <c r="AL218" s="112"/>
      <c r="AP218" s="112"/>
      <c r="AQ218" s="112"/>
      <c r="AR218" s="112"/>
      <c r="AS218" s="112"/>
      <c r="AT218" s="112"/>
      <c r="AU218" s="112"/>
      <c r="AV218" s="112"/>
      <c r="AW218" s="112"/>
      <c r="AX218" s="112"/>
      <c r="AY218" s="112"/>
      <c r="BA218" s="112"/>
      <c r="BB218" s="112"/>
      <c r="BC218" s="112"/>
      <c r="BD218" s="112"/>
      <c r="BE218" s="112"/>
      <c r="BF218" s="112"/>
      <c r="BG218" s="112"/>
      <c r="BH218" s="112"/>
      <c r="BI218" s="112"/>
      <c r="BK218" s="112"/>
      <c r="BL218" s="112"/>
      <c r="BM218" s="112"/>
      <c r="BN218" s="112"/>
    </row>
    <row r="219" spans="17:66" x14ac:dyDescent="0.25">
      <c r="Q219" s="112"/>
      <c r="R219" s="112"/>
      <c r="S219" s="112"/>
      <c r="T219" s="112"/>
      <c r="U219" s="112"/>
      <c r="V219" s="112"/>
      <c r="W219" s="112"/>
      <c r="X219" s="112"/>
      <c r="Y219" s="112"/>
      <c r="Z219" s="112"/>
      <c r="AA219" s="112"/>
      <c r="AB219" s="112"/>
      <c r="AC219" s="112"/>
      <c r="AD219" s="112"/>
      <c r="AE219" s="112"/>
      <c r="AF219" s="112"/>
      <c r="AG219" s="112"/>
      <c r="AH219" s="112"/>
      <c r="AI219" s="112"/>
      <c r="AJ219" s="112"/>
      <c r="AK219" s="112"/>
      <c r="AL219" s="112"/>
      <c r="AP219" s="112"/>
      <c r="AQ219" s="112"/>
      <c r="AR219" s="112"/>
      <c r="AS219" s="112"/>
      <c r="AT219" s="112"/>
      <c r="AU219" s="112"/>
      <c r="AV219" s="112"/>
      <c r="AW219" s="112"/>
      <c r="AX219" s="112"/>
      <c r="AY219" s="112"/>
      <c r="BA219" s="112"/>
      <c r="BB219" s="112"/>
      <c r="BC219" s="112"/>
      <c r="BD219" s="112"/>
      <c r="BE219" s="112"/>
      <c r="BF219" s="112"/>
      <c r="BG219" s="112"/>
      <c r="BH219" s="112"/>
      <c r="BI219" s="112"/>
      <c r="BK219" s="112"/>
      <c r="BL219" s="112"/>
      <c r="BM219" s="112"/>
      <c r="BN219" s="112"/>
    </row>
    <row r="220" spans="17:66" x14ac:dyDescent="0.25">
      <c r="Q220" s="112"/>
      <c r="R220" s="112"/>
      <c r="S220" s="112"/>
      <c r="T220" s="112"/>
      <c r="U220" s="112"/>
      <c r="V220" s="112"/>
      <c r="W220" s="112"/>
      <c r="X220" s="112"/>
      <c r="Y220" s="112"/>
      <c r="Z220" s="112"/>
      <c r="AA220" s="112"/>
      <c r="AB220" s="112"/>
      <c r="AC220" s="112"/>
      <c r="AD220" s="112"/>
      <c r="AE220" s="112"/>
      <c r="AF220" s="112"/>
      <c r="AG220" s="112"/>
      <c r="AH220" s="112"/>
      <c r="AI220" s="112"/>
      <c r="AJ220" s="112"/>
      <c r="AK220" s="112"/>
      <c r="AL220" s="112"/>
      <c r="AP220" s="112"/>
      <c r="AQ220" s="112"/>
      <c r="AR220" s="112"/>
      <c r="AS220" s="112"/>
      <c r="AT220" s="112"/>
      <c r="AU220" s="112"/>
      <c r="AV220" s="112"/>
      <c r="AW220" s="112"/>
      <c r="AX220" s="112"/>
      <c r="AY220" s="112"/>
      <c r="BA220" s="112"/>
      <c r="BB220" s="112"/>
      <c r="BC220" s="112"/>
      <c r="BD220" s="112"/>
      <c r="BE220" s="112"/>
      <c r="BF220" s="112"/>
      <c r="BG220" s="112"/>
      <c r="BH220" s="112"/>
      <c r="BI220" s="112"/>
      <c r="BK220" s="112"/>
      <c r="BL220" s="112"/>
      <c r="BM220" s="112"/>
      <c r="BN220" s="112"/>
    </row>
    <row r="221" spans="17:66" x14ac:dyDescent="0.25">
      <c r="Q221" s="112"/>
      <c r="R221" s="112"/>
      <c r="S221" s="112"/>
      <c r="T221" s="112"/>
      <c r="U221" s="112"/>
      <c r="V221" s="112"/>
      <c r="W221" s="112"/>
      <c r="X221" s="112"/>
      <c r="Y221" s="112"/>
      <c r="Z221" s="112"/>
      <c r="AA221" s="112"/>
      <c r="AB221" s="112"/>
      <c r="AC221" s="112"/>
      <c r="AD221" s="112"/>
      <c r="AE221" s="112"/>
      <c r="AF221" s="112"/>
      <c r="AG221" s="112"/>
      <c r="AH221" s="112"/>
      <c r="AI221" s="112"/>
      <c r="AJ221" s="112"/>
      <c r="AK221" s="112"/>
      <c r="AL221" s="112"/>
      <c r="AP221" s="112"/>
      <c r="AQ221" s="112"/>
      <c r="AR221" s="112"/>
      <c r="AS221" s="112"/>
      <c r="AT221" s="112"/>
      <c r="AU221" s="112"/>
      <c r="AV221" s="112"/>
      <c r="AW221" s="112"/>
      <c r="AX221" s="112"/>
      <c r="AY221" s="112"/>
      <c r="BA221" s="112"/>
      <c r="BB221" s="112"/>
      <c r="BC221" s="112"/>
      <c r="BD221" s="112"/>
      <c r="BE221" s="112"/>
      <c r="BF221" s="112"/>
      <c r="BG221" s="112"/>
      <c r="BH221" s="112"/>
      <c r="BI221" s="112"/>
      <c r="BK221" s="112"/>
      <c r="BL221" s="112"/>
      <c r="BM221" s="112"/>
      <c r="BN221" s="112"/>
    </row>
    <row r="222" spans="17:66" x14ac:dyDescent="0.25">
      <c r="Q222" s="112"/>
      <c r="R222" s="112"/>
      <c r="S222" s="112"/>
      <c r="T222" s="112"/>
      <c r="U222" s="112"/>
      <c r="V222" s="112"/>
      <c r="W222" s="112"/>
      <c r="X222" s="112"/>
      <c r="Y222" s="112"/>
      <c r="Z222" s="112"/>
      <c r="AA222" s="112"/>
      <c r="AB222" s="112"/>
      <c r="AC222" s="112"/>
      <c r="AD222" s="112"/>
      <c r="AE222" s="112"/>
      <c r="AF222" s="112"/>
      <c r="AG222" s="112"/>
      <c r="AH222" s="112"/>
      <c r="AI222" s="112"/>
      <c r="AJ222" s="112"/>
      <c r="AK222" s="112"/>
      <c r="AL222" s="112"/>
      <c r="AP222" s="112"/>
      <c r="AQ222" s="112"/>
      <c r="AR222" s="112"/>
      <c r="AS222" s="112"/>
      <c r="AT222" s="112"/>
      <c r="AU222" s="112"/>
      <c r="AV222" s="112"/>
      <c r="AW222" s="112"/>
      <c r="AX222" s="112"/>
      <c r="AY222" s="112"/>
      <c r="BA222" s="112"/>
      <c r="BB222" s="112"/>
      <c r="BC222" s="112"/>
      <c r="BD222" s="112"/>
      <c r="BE222" s="112"/>
      <c r="BF222" s="112"/>
      <c r="BG222" s="112"/>
      <c r="BH222" s="112"/>
      <c r="BI222" s="112"/>
      <c r="BK222" s="112"/>
      <c r="BL222" s="112"/>
      <c r="BM222" s="112"/>
      <c r="BN222" s="112"/>
    </row>
    <row r="223" spans="17:66" x14ac:dyDescent="0.25">
      <c r="Q223" s="112"/>
      <c r="R223" s="112"/>
      <c r="S223" s="112"/>
      <c r="T223" s="112"/>
      <c r="U223" s="112"/>
      <c r="V223" s="112"/>
      <c r="W223" s="112"/>
      <c r="X223" s="112"/>
      <c r="Y223" s="112"/>
      <c r="Z223" s="112"/>
      <c r="AA223" s="112"/>
      <c r="AB223" s="112"/>
      <c r="AC223" s="112"/>
      <c r="AD223" s="112"/>
      <c r="AE223" s="112"/>
      <c r="AF223" s="112"/>
      <c r="AG223" s="112"/>
      <c r="AH223" s="112"/>
      <c r="AI223" s="112"/>
      <c r="AJ223" s="112"/>
      <c r="AK223" s="112"/>
      <c r="AL223" s="112"/>
      <c r="AP223" s="112"/>
      <c r="AQ223" s="112"/>
      <c r="AR223" s="112"/>
      <c r="AS223" s="112"/>
      <c r="AT223" s="112"/>
      <c r="AU223" s="112"/>
      <c r="AV223" s="112"/>
      <c r="AW223" s="112"/>
      <c r="AX223" s="112"/>
      <c r="AY223" s="112"/>
      <c r="BA223" s="112"/>
      <c r="BB223" s="112"/>
      <c r="BC223" s="112"/>
      <c r="BD223" s="112"/>
      <c r="BE223" s="112"/>
      <c r="BF223" s="112"/>
      <c r="BG223" s="112"/>
      <c r="BH223" s="112"/>
      <c r="BI223" s="112"/>
      <c r="BK223" s="112"/>
      <c r="BL223" s="112"/>
      <c r="BM223" s="112"/>
      <c r="BN223" s="112"/>
    </row>
    <row r="224" spans="17:66" x14ac:dyDescent="0.25">
      <c r="Q224" s="112"/>
      <c r="R224" s="112"/>
      <c r="S224" s="112"/>
      <c r="T224" s="112"/>
      <c r="U224" s="112"/>
      <c r="V224" s="112"/>
      <c r="W224" s="112"/>
      <c r="X224" s="112"/>
      <c r="Y224" s="112"/>
      <c r="Z224" s="112"/>
      <c r="AA224" s="112"/>
      <c r="AB224" s="112"/>
      <c r="AC224" s="112"/>
      <c r="AD224" s="112"/>
      <c r="AE224" s="112"/>
      <c r="AF224" s="112"/>
      <c r="AG224" s="112"/>
      <c r="AH224" s="112"/>
      <c r="AI224" s="112"/>
      <c r="AJ224" s="112"/>
      <c r="AK224" s="112"/>
      <c r="AL224" s="112"/>
      <c r="AP224" s="112"/>
      <c r="AQ224" s="112"/>
      <c r="AR224" s="112"/>
      <c r="AS224" s="112"/>
      <c r="AT224" s="112"/>
      <c r="AU224" s="112"/>
      <c r="AV224" s="112"/>
      <c r="AW224" s="112"/>
      <c r="AX224" s="112"/>
      <c r="AY224" s="112"/>
      <c r="BA224" s="112"/>
      <c r="BB224" s="112"/>
      <c r="BC224" s="112"/>
      <c r="BD224" s="112"/>
      <c r="BE224" s="112"/>
      <c r="BF224" s="112"/>
      <c r="BG224" s="112"/>
      <c r="BH224" s="112"/>
      <c r="BI224" s="112"/>
      <c r="BK224" s="112"/>
      <c r="BL224" s="112"/>
      <c r="BM224" s="112"/>
      <c r="BN224" s="112"/>
    </row>
    <row r="225" spans="17:66" x14ac:dyDescent="0.25">
      <c r="Q225" s="112"/>
      <c r="R225" s="112"/>
      <c r="S225" s="112"/>
      <c r="T225" s="112"/>
      <c r="U225" s="112"/>
      <c r="V225" s="112"/>
      <c r="W225" s="112"/>
      <c r="X225" s="112"/>
      <c r="Y225" s="112"/>
      <c r="Z225" s="112"/>
      <c r="AA225" s="112"/>
      <c r="AB225" s="112"/>
      <c r="AC225" s="112"/>
      <c r="AD225" s="112"/>
      <c r="AE225" s="112"/>
      <c r="AF225" s="112"/>
      <c r="AG225" s="112"/>
      <c r="AH225" s="112"/>
      <c r="AI225" s="112"/>
      <c r="AJ225" s="112"/>
      <c r="AK225" s="112"/>
      <c r="AL225" s="112"/>
      <c r="AP225" s="112"/>
      <c r="AQ225" s="112"/>
      <c r="AR225" s="112"/>
      <c r="AS225" s="112"/>
      <c r="AT225" s="112"/>
      <c r="AU225" s="112"/>
      <c r="AV225" s="112"/>
      <c r="AW225" s="112"/>
      <c r="AX225" s="112"/>
      <c r="AY225" s="112"/>
      <c r="BA225" s="112"/>
      <c r="BB225" s="112"/>
      <c r="BC225" s="112"/>
      <c r="BD225" s="112"/>
      <c r="BE225" s="112"/>
      <c r="BF225" s="112"/>
      <c r="BG225" s="112"/>
      <c r="BH225" s="112"/>
      <c r="BI225" s="112"/>
      <c r="BK225" s="112"/>
      <c r="BL225" s="112"/>
      <c r="BM225" s="112"/>
      <c r="BN225" s="112"/>
    </row>
    <row r="226" spans="17:66" x14ac:dyDescent="0.25">
      <c r="Q226" s="112"/>
      <c r="R226" s="112"/>
      <c r="S226" s="112"/>
      <c r="T226" s="112"/>
      <c r="U226" s="112"/>
      <c r="V226" s="112"/>
      <c r="W226" s="112"/>
      <c r="X226" s="112"/>
      <c r="Y226" s="112"/>
      <c r="Z226" s="112"/>
      <c r="AA226" s="112"/>
      <c r="AB226" s="112"/>
      <c r="AC226" s="112"/>
      <c r="AD226" s="112"/>
      <c r="AE226" s="112"/>
      <c r="AF226" s="112"/>
      <c r="AG226" s="112"/>
      <c r="AH226" s="112"/>
      <c r="AI226" s="112"/>
      <c r="AJ226" s="112"/>
      <c r="AK226" s="112"/>
      <c r="AL226" s="112"/>
      <c r="AP226" s="112"/>
      <c r="AQ226" s="112"/>
      <c r="AR226" s="112"/>
      <c r="AS226" s="112"/>
      <c r="AT226" s="112"/>
      <c r="AU226" s="112"/>
      <c r="AV226" s="112"/>
      <c r="AW226" s="112"/>
      <c r="AX226" s="112"/>
      <c r="AY226" s="112"/>
      <c r="BA226" s="112"/>
      <c r="BB226" s="112"/>
      <c r="BC226" s="112"/>
      <c r="BD226" s="112"/>
      <c r="BE226" s="112"/>
      <c r="BF226" s="112"/>
      <c r="BG226" s="112"/>
      <c r="BH226" s="112"/>
      <c r="BI226" s="112"/>
      <c r="BK226" s="112"/>
      <c r="BL226" s="112"/>
      <c r="BM226" s="112"/>
      <c r="BN226" s="112"/>
    </row>
    <row r="227" spans="17:66" x14ac:dyDescent="0.25">
      <c r="Q227" s="112"/>
      <c r="R227" s="112"/>
      <c r="S227" s="112"/>
      <c r="T227" s="112"/>
      <c r="U227" s="112"/>
      <c r="V227" s="112"/>
      <c r="W227" s="112"/>
      <c r="X227" s="112"/>
      <c r="Y227" s="112"/>
      <c r="Z227" s="112"/>
      <c r="AA227" s="112"/>
      <c r="AB227" s="112"/>
      <c r="AC227" s="112"/>
      <c r="AD227" s="112"/>
      <c r="AE227" s="112"/>
      <c r="AF227" s="112"/>
      <c r="AG227" s="112"/>
      <c r="AH227" s="112"/>
      <c r="AI227" s="112"/>
      <c r="AJ227" s="112"/>
      <c r="AK227" s="112"/>
      <c r="AL227" s="112"/>
      <c r="AP227" s="112"/>
      <c r="AQ227" s="112"/>
      <c r="AR227" s="112"/>
      <c r="AS227" s="112"/>
      <c r="AT227" s="112"/>
      <c r="AU227" s="112"/>
      <c r="AV227" s="112"/>
      <c r="AW227" s="112"/>
      <c r="AX227" s="112"/>
      <c r="AY227" s="112"/>
      <c r="BA227" s="112"/>
      <c r="BB227" s="112"/>
      <c r="BC227" s="112"/>
      <c r="BD227" s="112"/>
      <c r="BE227" s="112"/>
      <c r="BF227" s="112"/>
      <c r="BG227" s="112"/>
      <c r="BH227" s="112"/>
      <c r="BI227" s="112"/>
      <c r="BK227" s="112"/>
      <c r="BL227" s="112"/>
      <c r="BM227" s="112"/>
      <c r="BN227" s="112"/>
    </row>
    <row r="228" spans="17:66" x14ac:dyDescent="0.25">
      <c r="Q228" s="112"/>
      <c r="R228" s="112"/>
      <c r="S228" s="112"/>
      <c r="T228" s="112"/>
      <c r="U228" s="112"/>
      <c r="V228" s="112"/>
      <c r="W228" s="112"/>
      <c r="X228" s="112"/>
      <c r="Y228" s="112"/>
      <c r="Z228" s="112"/>
      <c r="AA228" s="112"/>
      <c r="AB228" s="112"/>
      <c r="AC228" s="112"/>
      <c r="AD228" s="112"/>
      <c r="AE228" s="112"/>
      <c r="AF228" s="112"/>
      <c r="AG228" s="112"/>
      <c r="AH228" s="112"/>
      <c r="AI228" s="112"/>
      <c r="AJ228" s="112"/>
      <c r="AK228" s="112"/>
      <c r="AL228" s="112"/>
      <c r="AP228" s="112"/>
      <c r="AQ228" s="112"/>
      <c r="AR228" s="112"/>
      <c r="AS228" s="112"/>
      <c r="AT228" s="112"/>
      <c r="AU228" s="112"/>
      <c r="AV228" s="112"/>
      <c r="AW228" s="112"/>
      <c r="AX228" s="112"/>
      <c r="AY228" s="112"/>
      <c r="BA228" s="112"/>
      <c r="BB228" s="112"/>
      <c r="BC228" s="112"/>
      <c r="BD228" s="112"/>
      <c r="BE228" s="112"/>
      <c r="BF228" s="112"/>
      <c r="BG228" s="112"/>
      <c r="BH228" s="112"/>
      <c r="BI228" s="112"/>
      <c r="BK228" s="112"/>
      <c r="BL228" s="112"/>
      <c r="BM228" s="112"/>
      <c r="BN228" s="112"/>
    </row>
    <row r="229" spans="17:66" x14ac:dyDescent="0.25">
      <c r="Q229" s="112"/>
      <c r="R229" s="112"/>
      <c r="S229" s="112"/>
      <c r="T229" s="112"/>
      <c r="U229" s="112"/>
      <c r="V229" s="112"/>
      <c r="W229" s="112"/>
      <c r="X229" s="112"/>
      <c r="Y229" s="112"/>
      <c r="Z229" s="112"/>
      <c r="AA229" s="112"/>
      <c r="AB229" s="112"/>
      <c r="AC229" s="112"/>
      <c r="AD229" s="112"/>
      <c r="AE229" s="112"/>
      <c r="AF229" s="112"/>
      <c r="AG229" s="112"/>
      <c r="AH229" s="112"/>
      <c r="AI229" s="112"/>
      <c r="AJ229" s="112"/>
      <c r="AK229" s="112"/>
      <c r="AL229" s="112"/>
      <c r="AP229" s="112"/>
      <c r="AQ229" s="112"/>
      <c r="AR229" s="112"/>
      <c r="AS229" s="112"/>
      <c r="AT229" s="112"/>
      <c r="AU229" s="112"/>
      <c r="AV229" s="112"/>
      <c r="AW229" s="112"/>
      <c r="AX229" s="112"/>
      <c r="AY229" s="112"/>
      <c r="BA229" s="112"/>
      <c r="BB229" s="112"/>
      <c r="BC229" s="112"/>
      <c r="BD229" s="112"/>
      <c r="BE229" s="112"/>
      <c r="BF229" s="112"/>
      <c r="BG229" s="112"/>
      <c r="BH229" s="112"/>
      <c r="BI229" s="112"/>
      <c r="BK229" s="112"/>
      <c r="BL229" s="112"/>
      <c r="BM229" s="112"/>
      <c r="BN229" s="112"/>
    </row>
    <row r="230" spans="17:66" x14ac:dyDescent="0.25">
      <c r="Q230" s="112"/>
      <c r="R230" s="112"/>
      <c r="S230" s="112"/>
      <c r="T230" s="112"/>
      <c r="U230" s="112"/>
      <c r="V230" s="112"/>
      <c r="W230" s="112"/>
      <c r="X230" s="112"/>
      <c r="Y230" s="112"/>
      <c r="Z230" s="112"/>
      <c r="AA230" s="112"/>
      <c r="AB230" s="112"/>
      <c r="AC230" s="112"/>
      <c r="AD230" s="112"/>
      <c r="AE230" s="112"/>
      <c r="AF230" s="112"/>
      <c r="AG230" s="112"/>
      <c r="AH230" s="112"/>
      <c r="AI230" s="112"/>
      <c r="AJ230" s="112"/>
      <c r="AK230" s="112"/>
      <c r="AL230" s="112"/>
      <c r="AP230" s="112"/>
      <c r="AQ230" s="112"/>
      <c r="AR230" s="112"/>
      <c r="AS230" s="112"/>
      <c r="AT230" s="112"/>
      <c r="AU230" s="112"/>
      <c r="AV230" s="112"/>
      <c r="AW230" s="112"/>
      <c r="AX230" s="112"/>
      <c r="AY230" s="112"/>
      <c r="BA230" s="112"/>
      <c r="BB230" s="112"/>
      <c r="BC230" s="112"/>
      <c r="BD230" s="112"/>
      <c r="BE230" s="112"/>
      <c r="BF230" s="112"/>
      <c r="BG230" s="112"/>
      <c r="BH230" s="112"/>
      <c r="BI230" s="112"/>
      <c r="BK230" s="112"/>
      <c r="BL230" s="112"/>
      <c r="BM230" s="112"/>
      <c r="BN230" s="112"/>
    </row>
    <row r="231" spans="17:66" x14ac:dyDescent="0.25">
      <c r="Q231" s="112"/>
      <c r="R231" s="112"/>
      <c r="S231" s="112"/>
      <c r="T231" s="112"/>
      <c r="U231" s="112"/>
      <c r="V231" s="112"/>
      <c r="W231" s="112"/>
      <c r="X231" s="112"/>
      <c r="Y231" s="112"/>
      <c r="Z231" s="112"/>
      <c r="AA231" s="112"/>
      <c r="AB231" s="112"/>
      <c r="AC231" s="112"/>
      <c r="AD231" s="112"/>
      <c r="AE231" s="112"/>
      <c r="AF231" s="112"/>
      <c r="AG231" s="112"/>
      <c r="AH231" s="112"/>
      <c r="AI231" s="112"/>
      <c r="AJ231" s="112"/>
      <c r="AK231" s="112"/>
      <c r="AL231" s="112"/>
      <c r="AP231" s="112"/>
      <c r="AQ231" s="112"/>
      <c r="AR231" s="112"/>
      <c r="AS231" s="112"/>
      <c r="AT231" s="112"/>
      <c r="AU231" s="112"/>
      <c r="AV231" s="112"/>
      <c r="AW231" s="112"/>
      <c r="AX231" s="112"/>
      <c r="AY231" s="112"/>
      <c r="BA231" s="112"/>
      <c r="BB231" s="112"/>
      <c r="BC231" s="112"/>
      <c r="BD231" s="112"/>
      <c r="BE231" s="112"/>
      <c r="BF231" s="112"/>
      <c r="BG231" s="112"/>
      <c r="BH231" s="112"/>
      <c r="BI231" s="112"/>
      <c r="BK231" s="112"/>
      <c r="BL231" s="112"/>
      <c r="BM231" s="112"/>
      <c r="BN231" s="112"/>
    </row>
    <row r="232" spans="17:66" x14ac:dyDescent="0.25">
      <c r="Q232" s="112"/>
      <c r="R232" s="112"/>
      <c r="S232" s="112"/>
      <c r="T232" s="112"/>
      <c r="U232" s="112"/>
      <c r="V232" s="112"/>
      <c r="W232" s="112"/>
      <c r="X232" s="112"/>
      <c r="Y232" s="112"/>
      <c r="Z232" s="112"/>
      <c r="AA232" s="112"/>
      <c r="AB232" s="112"/>
      <c r="AC232" s="112"/>
      <c r="AD232" s="112"/>
      <c r="AE232" s="112"/>
      <c r="AF232" s="112"/>
      <c r="AG232" s="112"/>
      <c r="AH232" s="112"/>
      <c r="AI232" s="112"/>
      <c r="AJ232" s="112"/>
      <c r="AK232" s="112"/>
      <c r="AL232" s="112"/>
      <c r="AP232" s="112"/>
      <c r="AQ232" s="112"/>
      <c r="AR232" s="112"/>
      <c r="AS232" s="112"/>
      <c r="AT232" s="112"/>
      <c r="AU232" s="112"/>
      <c r="AV232" s="112"/>
      <c r="AW232" s="112"/>
      <c r="AX232" s="112"/>
      <c r="AY232" s="112"/>
      <c r="BA232" s="112"/>
      <c r="BB232" s="112"/>
      <c r="BC232" s="112"/>
      <c r="BD232" s="112"/>
      <c r="BE232" s="112"/>
      <c r="BF232" s="112"/>
      <c r="BG232" s="112"/>
      <c r="BH232" s="112"/>
      <c r="BI232" s="112"/>
      <c r="BK232" s="112"/>
      <c r="BL232" s="112"/>
      <c r="BM232" s="112"/>
      <c r="BN232" s="112"/>
    </row>
    <row r="233" spans="17:66" x14ac:dyDescent="0.25">
      <c r="Q233" s="112"/>
      <c r="R233" s="112"/>
      <c r="S233" s="112"/>
      <c r="T233" s="112"/>
      <c r="U233" s="112"/>
      <c r="V233" s="112"/>
      <c r="W233" s="112"/>
      <c r="X233" s="112"/>
      <c r="Y233" s="112"/>
      <c r="Z233" s="112"/>
      <c r="AA233" s="112"/>
      <c r="AB233" s="112"/>
      <c r="AC233" s="112"/>
      <c r="AD233" s="112"/>
      <c r="AE233" s="112"/>
      <c r="AF233" s="112"/>
      <c r="AG233" s="112"/>
      <c r="AH233" s="112"/>
      <c r="AI233" s="112"/>
      <c r="AJ233" s="112"/>
      <c r="AK233" s="112"/>
      <c r="AL233" s="112"/>
      <c r="AP233" s="112"/>
      <c r="AQ233" s="112"/>
      <c r="AR233" s="112"/>
      <c r="AS233" s="112"/>
      <c r="AT233" s="112"/>
      <c r="AU233" s="112"/>
      <c r="AV233" s="112"/>
      <c r="AW233" s="112"/>
      <c r="AX233" s="112"/>
      <c r="AY233" s="112"/>
      <c r="BA233" s="112"/>
      <c r="BB233" s="112"/>
      <c r="BC233" s="112"/>
      <c r="BD233" s="112"/>
      <c r="BE233" s="112"/>
      <c r="BF233" s="112"/>
      <c r="BG233" s="112"/>
      <c r="BH233" s="112"/>
      <c r="BI233" s="112"/>
      <c r="BK233" s="112"/>
      <c r="BL233" s="112"/>
      <c r="BM233" s="112"/>
      <c r="BN233" s="112"/>
    </row>
    <row r="234" spans="17:66" x14ac:dyDescent="0.25">
      <c r="Q234" s="112"/>
      <c r="R234" s="112"/>
      <c r="S234" s="112"/>
      <c r="T234" s="112"/>
      <c r="U234" s="112"/>
      <c r="V234" s="112"/>
      <c r="W234" s="112"/>
      <c r="X234" s="112"/>
      <c r="Y234" s="112"/>
      <c r="Z234" s="112"/>
      <c r="AA234" s="112"/>
      <c r="AB234" s="112"/>
      <c r="AC234" s="112"/>
      <c r="AD234" s="112"/>
      <c r="AE234" s="112"/>
      <c r="AF234" s="112"/>
      <c r="AG234" s="112"/>
      <c r="AH234" s="112"/>
      <c r="AI234" s="112"/>
      <c r="AJ234" s="112"/>
      <c r="AK234" s="112"/>
      <c r="AL234" s="112"/>
      <c r="AP234" s="112"/>
      <c r="AQ234" s="112"/>
      <c r="AR234" s="112"/>
      <c r="AS234" s="112"/>
      <c r="AT234" s="112"/>
      <c r="AU234" s="112"/>
      <c r="AV234" s="112"/>
      <c r="AW234" s="112"/>
      <c r="AX234" s="112"/>
      <c r="AY234" s="112"/>
      <c r="BA234" s="112"/>
      <c r="BB234" s="112"/>
      <c r="BC234" s="112"/>
      <c r="BD234" s="112"/>
      <c r="BE234" s="112"/>
      <c r="BF234" s="112"/>
      <c r="BG234" s="112"/>
      <c r="BH234" s="112"/>
      <c r="BI234" s="112"/>
      <c r="BK234" s="112"/>
      <c r="BL234" s="112"/>
      <c r="BM234" s="112"/>
      <c r="BN234" s="112"/>
    </row>
    <row r="235" spans="17:66" x14ac:dyDescent="0.25">
      <c r="Q235" s="112"/>
      <c r="R235" s="112"/>
      <c r="S235" s="112"/>
      <c r="T235" s="112"/>
      <c r="U235" s="112"/>
      <c r="V235" s="112"/>
      <c r="W235" s="112"/>
      <c r="X235" s="112"/>
      <c r="Y235" s="112"/>
      <c r="Z235" s="112"/>
      <c r="AA235" s="112"/>
      <c r="AB235" s="112"/>
      <c r="AC235" s="112"/>
      <c r="AD235" s="112"/>
      <c r="AE235" s="112"/>
      <c r="AF235" s="112"/>
      <c r="AG235" s="112"/>
      <c r="AH235" s="112"/>
      <c r="AI235" s="112"/>
      <c r="AJ235" s="112"/>
      <c r="AK235" s="112"/>
      <c r="AL235" s="112"/>
      <c r="AP235" s="112"/>
      <c r="AQ235" s="112"/>
      <c r="AR235" s="112"/>
      <c r="AS235" s="112"/>
      <c r="AT235" s="112"/>
      <c r="AU235" s="112"/>
      <c r="AV235" s="112"/>
      <c r="AW235" s="112"/>
      <c r="AX235" s="112"/>
      <c r="AY235" s="112"/>
      <c r="BA235" s="112"/>
      <c r="BB235" s="112"/>
      <c r="BC235" s="112"/>
      <c r="BD235" s="112"/>
      <c r="BE235" s="112"/>
      <c r="BF235" s="112"/>
      <c r="BG235" s="112"/>
      <c r="BH235" s="112"/>
      <c r="BI235" s="112"/>
      <c r="BK235" s="112"/>
      <c r="BL235" s="112"/>
      <c r="BM235" s="112"/>
      <c r="BN235" s="112"/>
    </row>
    <row r="236" spans="17:66" x14ac:dyDescent="0.25">
      <c r="Q236" s="112"/>
      <c r="R236" s="112"/>
      <c r="S236" s="112"/>
      <c r="T236" s="112"/>
      <c r="U236" s="112"/>
      <c r="V236" s="112"/>
      <c r="W236" s="112"/>
      <c r="X236" s="112"/>
      <c r="Y236" s="112"/>
      <c r="Z236" s="112"/>
      <c r="AA236" s="112"/>
      <c r="AB236" s="112"/>
      <c r="AC236" s="112"/>
      <c r="AD236" s="112"/>
      <c r="AE236" s="112"/>
      <c r="AF236" s="112"/>
      <c r="AG236" s="112"/>
      <c r="AH236" s="112"/>
      <c r="AI236" s="112"/>
      <c r="AJ236" s="112"/>
      <c r="AK236" s="112"/>
      <c r="AL236" s="112"/>
      <c r="AP236" s="112"/>
      <c r="AQ236" s="112"/>
      <c r="AR236" s="112"/>
      <c r="AS236" s="112"/>
      <c r="AT236" s="112"/>
      <c r="AU236" s="112"/>
      <c r="AV236" s="112"/>
      <c r="AW236" s="112"/>
      <c r="AX236" s="112"/>
      <c r="AY236" s="112"/>
      <c r="BA236" s="112"/>
      <c r="BB236" s="112"/>
      <c r="BC236" s="112"/>
      <c r="BD236" s="112"/>
      <c r="BE236" s="112"/>
      <c r="BF236" s="112"/>
      <c r="BG236" s="112"/>
      <c r="BH236" s="112"/>
      <c r="BI236" s="112"/>
      <c r="BK236" s="112"/>
      <c r="BL236" s="112"/>
      <c r="BM236" s="112"/>
      <c r="BN236" s="112"/>
    </row>
    <row r="237" spans="17:66" x14ac:dyDescent="0.25">
      <c r="Q237" s="112"/>
      <c r="R237" s="112"/>
      <c r="S237" s="112"/>
      <c r="T237" s="112"/>
      <c r="U237" s="112"/>
      <c r="V237" s="112"/>
      <c r="W237" s="112"/>
      <c r="X237" s="112"/>
      <c r="Y237" s="112"/>
      <c r="Z237" s="112"/>
      <c r="AA237" s="112"/>
      <c r="AB237" s="112"/>
      <c r="AC237" s="112"/>
      <c r="AD237" s="112"/>
      <c r="AE237" s="112"/>
      <c r="AF237" s="112"/>
      <c r="AG237" s="112"/>
      <c r="AH237" s="112"/>
      <c r="AI237" s="112"/>
      <c r="AJ237" s="112"/>
      <c r="AK237" s="112"/>
      <c r="AL237" s="112"/>
      <c r="AP237" s="112"/>
      <c r="AQ237" s="112"/>
      <c r="AR237" s="112"/>
      <c r="AS237" s="112"/>
      <c r="AT237" s="112"/>
      <c r="AU237" s="112"/>
      <c r="AV237" s="112"/>
      <c r="AW237" s="112"/>
      <c r="AX237" s="112"/>
      <c r="AY237" s="112"/>
      <c r="BA237" s="112"/>
      <c r="BB237" s="112"/>
      <c r="BC237" s="112"/>
      <c r="BD237" s="112"/>
      <c r="BE237" s="112"/>
      <c r="BF237" s="112"/>
      <c r="BG237" s="112"/>
      <c r="BH237" s="112"/>
      <c r="BI237" s="112"/>
      <c r="BK237" s="112"/>
      <c r="BL237" s="112"/>
      <c r="BM237" s="112"/>
      <c r="BN237" s="112"/>
    </row>
    <row r="238" spans="17:66" x14ac:dyDescent="0.25">
      <c r="Q238" s="112"/>
      <c r="R238" s="112"/>
      <c r="S238" s="112"/>
      <c r="T238" s="112"/>
      <c r="U238" s="112"/>
      <c r="V238" s="112"/>
      <c r="W238" s="112"/>
      <c r="X238" s="112"/>
      <c r="Y238" s="112"/>
      <c r="Z238" s="112"/>
      <c r="AA238" s="112"/>
      <c r="AB238" s="112"/>
      <c r="AC238" s="112"/>
      <c r="AD238" s="112"/>
      <c r="AE238" s="112"/>
      <c r="AF238" s="112"/>
      <c r="AG238" s="112"/>
      <c r="AH238" s="112"/>
      <c r="AI238" s="112"/>
      <c r="AJ238" s="112"/>
      <c r="AK238" s="112"/>
      <c r="AL238" s="112"/>
      <c r="AP238" s="112"/>
      <c r="AQ238" s="112"/>
      <c r="AR238" s="112"/>
      <c r="AS238" s="112"/>
      <c r="AT238" s="112"/>
      <c r="AU238" s="112"/>
      <c r="AV238" s="112"/>
      <c r="AW238" s="112"/>
      <c r="AX238" s="112"/>
      <c r="AY238" s="112"/>
      <c r="BA238" s="112"/>
      <c r="BB238" s="112"/>
      <c r="BC238" s="112"/>
      <c r="BD238" s="112"/>
      <c r="BE238" s="112"/>
      <c r="BF238" s="112"/>
      <c r="BG238" s="112"/>
      <c r="BH238" s="112"/>
      <c r="BI238" s="112"/>
      <c r="BK238" s="112"/>
      <c r="BL238" s="112"/>
      <c r="BM238" s="112"/>
      <c r="BN238" s="112"/>
    </row>
    <row r="239" spans="17:66" x14ac:dyDescent="0.25">
      <c r="Q239" s="112"/>
      <c r="R239" s="112"/>
      <c r="S239" s="112"/>
      <c r="T239" s="112"/>
      <c r="U239" s="112"/>
      <c r="V239" s="112"/>
      <c r="W239" s="112"/>
      <c r="X239" s="112"/>
      <c r="Y239" s="112"/>
      <c r="Z239" s="112"/>
      <c r="AA239" s="112"/>
      <c r="AB239" s="112"/>
      <c r="AC239" s="112"/>
      <c r="AD239" s="112"/>
      <c r="AE239" s="112"/>
      <c r="AF239" s="112"/>
      <c r="AG239" s="112"/>
      <c r="AH239" s="112"/>
      <c r="AI239" s="112"/>
      <c r="AJ239" s="112"/>
      <c r="AK239" s="112"/>
      <c r="AL239" s="112"/>
      <c r="AP239" s="112"/>
      <c r="AQ239" s="112"/>
      <c r="AR239" s="112"/>
      <c r="AS239" s="112"/>
      <c r="AT239" s="112"/>
      <c r="AU239" s="112"/>
      <c r="AV239" s="112"/>
      <c r="AW239" s="112"/>
      <c r="AX239" s="112"/>
      <c r="AY239" s="112"/>
      <c r="BA239" s="112"/>
      <c r="BB239" s="112"/>
      <c r="BC239" s="112"/>
      <c r="BD239" s="112"/>
      <c r="BE239" s="112"/>
      <c r="BF239" s="112"/>
      <c r="BG239" s="112"/>
      <c r="BH239" s="112"/>
      <c r="BI239" s="112"/>
      <c r="BK239" s="112"/>
      <c r="BL239" s="112"/>
      <c r="BM239" s="112"/>
      <c r="BN239" s="112"/>
    </row>
    <row r="240" spans="17:66" x14ac:dyDescent="0.25">
      <c r="Q240" s="112"/>
      <c r="R240" s="112"/>
      <c r="S240" s="112"/>
      <c r="T240" s="112"/>
      <c r="U240" s="112"/>
      <c r="V240" s="112"/>
      <c r="W240" s="112"/>
      <c r="X240" s="112"/>
      <c r="Y240" s="112"/>
      <c r="Z240" s="112"/>
      <c r="AA240" s="112"/>
      <c r="AB240" s="112"/>
      <c r="AC240" s="112"/>
      <c r="AD240" s="112"/>
      <c r="AE240" s="112"/>
      <c r="AF240" s="112"/>
      <c r="AG240" s="112"/>
      <c r="AH240" s="112"/>
      <c r="AI240" s="112"/>
      <c r="AJ240" s="112"/>
      <c r="AK240" s="112"/>
      <c r="AL240" s="112"/>
      <c r="AP240" s="112"/>
      <c r="AQ240" s="112"/>
      <c r="AR240" s="112"/>
      <c r="AS240" s="112"/>
      <c r="AT240" s="112"/>
      <c r="AU240" s="112"/>
      <c r="AV240" s="112"/>
      <c r="AW240" s="112"/>
      <c r="AX240" s="112"/>
      <c r="AY240" s="112"/>
      <c r="BA240" s="112"/>
      <c r="BB240" s="112"/>
      <c r="BC240" s="112"/>
      <c r="BD240" s="112"/>
      <c r="BE240" s="112"/>
      <c r="BF240" s="112"/>
      <c r="BG240" s="112"/>
      <c r="BH240" s="112"/>
      <c r="BI240" s="112"/>
      <c r="BK240" s="112"/>
      <c r="BL240" s="112"/>
      <c r="BM240" s="112"/>
      <c r="BN240" s="112"/>
    </row>
    <row r="241" spans="17:66" x14ac:dyDescent="0.25">
      <c r="Q241" s="112"/>
      <c r="R241" s="112"/>
      <c r="S241" s="112"/>
      <c r="T241" s="112"/>
      <c r="U241" s="112"/>
      <c r="V241" s="112"/>
      <c r="W241" s="112"/>
      <c r="X241" s="112"/>
      <c r="Y241" s="112"/>
      <c r="Z241" s="112"/>
      <c r="AA241" s="112"/>
      <c r="AB241" s="112"/>
      <c r="AC241" s="112"/>
      <c r="AD241" s="112"/>
      <c r="AE241" s="112"/>
      <c r="AF241" s="112"/>
      <c r="AG241" s="112"/>
      <c r="AH241" s="112"/>
      <c r="AI241" s="112"/>
      <c r="AJ241" s="112"/>
      <c r="AK241" s="112"/>
      <c r="AL241" s="112"/>
      <c r="AP241" s="112"/>
      <c r="AQ241" s="112"/>
      <c r="AR241" s="112"/>
      <c r="AS241" s="112"/>
      <c r="AT241" s="112"/>
      <c r="AU241" s="112"/>
      <c r="AV241" s="112"/>
      <c r="AW241" s="112"/>
      <c r="AX241" s="112"/>
      <c r="AY241" s="112"/>
      <c r="BA241" s="112"/>
      <c r="BB241" s="112"/>
      <c r="BC241" s="112"/>
      <c r="BD241" s="112"/>
      <c r="BE241" s="112"/>
      <c r="BF241" s="112"/>
      <c r="BG241" s="112"/>
      <c r="BH241" s="112"/>
      <c r="BI241" s="112"/>
      <c r="BK241" s="112"/>
      <c r="BL241" s="112"/>
      <c r="BM241" s="112"/>
      <c r="BN241" s="112"/>
    </row>
    <row r="242" spans="17:66" x14ac:dyDescent="0.25">
      <c r="Q242" s="112"/>
      <c r="R242" s="112"/>
      <c r="S242" s="112"/>
      <c r="T242" s="112"/>
      <c r="U242" s="112"/>
      <c r="V242" s="112"/>
      <c r="W242" s="112"/>
      <c r="X242" s="112"/>
      <c r="Y242" s="112"/>
      <c r="Z242" s="112"/>
      <c r="AA242" s="112"/>
      <c r="AB242" s="112"/>
      <c r="AC242" s="112"/>
      <c r="AD242" s="112"/>
      <c r="AE242" s="112"/>
      <c r="AF242" s="112"/>
      <c r="AG242" s="112"/>
      <c r="AH242" s="112"/>
      <c r="AI242" s="112"/>
      <c r="AJ242" s="112"/>
      <c r="AK242" s="112"/>
      <c r="AL242" s="112"/>
      <c r="AP242" s="112"/>
      <c r="AQ242" s="112"/>
      <c r="AR242" s="112"/>
      <c r="AS242" s="112"/>
      <c r="AT242" s="112"/>
      <c r="AU242" s="112"/>
      <c r="AV242" s="112"/>
      <c r="AW242" s="112"/>
      <c r="AX242" s="112"/>
      <c r="AY242" s="112"/>
      <c r="BA242" s="112"/>
      <c r="BB242" s="112"/>
      <c r="BC242" s="112"/>
      <c r="BD242" s="112"/>
      <c r="BE242" s="112"/>
      <c r="BF242" s="112"/>
      <c r="BG242" s="112"/>
      <c r="BH242" s="112"/>
      <c r="BI242" s="112"/>
      <c r="BK242" s="112"/>
      <c r="BL242" s="112"/>
      <c r="BM242" s="112"/>
      <c r="BN242" s="112"/>
    </row>
    <row r="243" spans="17:66" x14ac:dyDescent="0.25">
      <c r="Q243" s="112"/>
      <c r="R243" s="112"/>
      <c r="S243" s="112"/>
      <c r="T243" s="112"/>
      <c r="U243" s="112"/>
      <c r="V243" s="112"/>
      <c r="W243" s="112"/>
      <c r="X243" s="112"/>
      <c r="Y243" s="112"/>
      <c r="Z243" s="112"/>
      <c r="AA243" s="112"/>
      <c r="AB243" s="112"/>
      <c r="AC243" s="112"/>
      <c r="AD243" s="112"/>
      <c r="AE243" s="112"/>
      <c r="AF243" s="112"/>
      <c r="AG243" s="112"/>
      <c r="AH243" s="112"/>
      <c r="AI243" s="112"/>
      <c r="AJ243" s="112"/>
      <c r="AK243" s="112"/>
      <c r="AL243" s="112"/>
      <c r="AP243" s="112"/>
      <c r="AQ243" s="112"/>
      <c r="AR243" s="112"/>
      <c r="AS243" s="112"/>
      <c r="AT243" s="112"/>
      <c r="AU243" s="112"/>
      <c r="AV243" s="112"/>
      <c r="AW243" s="112"/>
      <c r="AX243" s="112"/>
      <c r="AY243" s="112"/>
      <c r="BA243" s="112"/>
      <c r="BB243" s="112"/>
      <c r="BC243" s="112"/>
      <c r="BD243" s="112"/>
      <c r="BE243" s="112"/>
      <c r="BF243" s="112"/>
      <c r="BG243" s="112"/>
      <c r="BH243" s="112"/>
      <c r="BI243" s="112"/>
      <c r="BK243" s="112"/>
      <c r="BL243" s="112"/>
      <c r="BM243" s="112"/>
      <c r="BN243" s="112"/>
    </row>
    <row r="244" spans="17:66" x14ac:dyDescent="0.25">
      <c r="Q244" s="112"/>
      <c r="R244" s="112"/>
      <c r="S244" s="112"/>
      <c r="T244" s="112"/>
      <c r="U244" s="112"/>
      <c r="V244" s="112"/>
      <c r="W244" s="112"/>
      <c r="X244" s="112"/>
      <c r="Y244" s="112"/>
      <c r="Z244" s="112"/>
      <c r="AA244" s="112"/>
      <c r="AB244" s="112"/>
      <c r="AC244" s="112"/>
      <c r="AD244" s="112"/>
      <c r="AE244" s="112"/>
      <c r="AF244" s="112"/>
      <c r="AG244" s="112"/>
      <c r="AH244" s="112"/>
      <c r="AI244" s="112"/>
      <c r="AJ244" s="112"/>
      <c r="AK244" s="112"/>
      <c r="AL244" s="112"/>
      <c r="AP244" s="112"/>
      <c r="AQ244" s="112"/>
      <c r="AR244" s="112"/>
      <c r="AS244" s="112"/>
      <c r="AT244" s="112"/>
      <c r="AU244" s="112"/>
      <c r="AV244" s="112"/>
      <c r="AW244" s="112"/>
      <c r="AX244" s="112"/>
      <c r="AY244" s="112"/>
      <c r="BA244" s="112"/>
      <c r="BB244" s="112"/>
      <c r="BC244" s="112"/>
      <c r="BD244" s="112"/>
      <c r="BE244" s="112"/>
      <c r="BF244" s="112"/>
      <c r="BG244" s="112"/>
      <c r="BH244" s="112"/>
      <c r="BI244" s="112"/>
      <c r="BK244" s="112"/>
      <c r="BL244" s="112"/>
      <c r="BM244" s="112"/>
      <c r="BN244" s="112"/>
    </row>
    <row r="245" spans="17:66" x14ac:dyDescent="0.25">
      <c r="Q245" s="112"/>
      <c r="R245" s="112"/>
      <c r="S245" s="112"/>
      <c r="T245" s="112"/>
      <c r="U245" s="112"/>
      <c r="V245" s="112"/>
      <c r="W245" s="112"/>
      <c r="X245" s="112"/>
      <c r="Y245" s="112"/>
      <c r="Z245" s="112"/>
      <c r="AA245" s="112"/>
      <c r="AB245" s="112"/>
      <c r="AC245" s="112"/>
      <c r="AD245" s="112"/>
      <c r="AE245" s="112"/>
      <c r="AF245" s="112"/>
      <c r="AG245" s="112"/>
      <c r="AH245" s="112"/>
      <c r="AI245" s="112"/>
      <c r="AJ245" s="112"/>
      <c r="AK245" s="112"/>
      <c r="AL245" s="112"/>
      <c r="AP245" s="112"/>
      <c r="AQ245" s="112"/>
      <c r="AR245" s="112"/>
      <c r="AS245" s="112"/>
      <c r="AT245" s="112"/>
      <c r="AU245" s="112"/>
      <c r="AV245" s="112"/>
      <c r="AW245" s="112"/>
      <c r="AX245" s="112"/>
      <c r="AY245" s="112"/>
      <c r="BA245" s="112"/>
      <c r="BB245" s="112"/>
      <c r="BC245" s="112"/>
      <c r="BD245" s="112"/>
      <c r="BE245" s="112"/>
      <c r="BF245" s="112"/>
      <c r="BG245" s="112"/>
      <c r="BH245" s="112"/>
      <c r="BI245" s="112"/>
      <c r="BK245" s="112"/>
      <c r="BL245" s="112"/>
      <c r="BM245" s="112"/>
      <c r="BN245" s="112"/>
    </row>
    <row r="246" spans="17:66" x14ac:dyDescent="0.25">
      <c r="Q246" s="112"/>
      <c r="R246" s="112"/>
      <c r="S246" s="112"/>
      <c r="T246" s="112"/>
      <c r="U246" s="112"/>
      <c r="V246" s="112"/>
      <c r="W246" s="112"/>
      <c r="X246" s="112"/>
      <c r="Y246" s="112"/>
      <c r="Z246" s="112"/>
      <c r="AA246" s="112"/>
      <c r="AB246" s="112"/>
      <c r="AC246" s="112"/>
      <c r="AD246" s="112"/>
      <c r="AE246" s="112"/>
      <c r="AF246" s="112"/>
      <c r="AG246" s="112"/>
      <c r="AH246" s="112"/>
      <c r="AI246" s="112"/>
      <c r="AJ246" s="112"/>
      <c r="AK246" s="112"/>
      <c r="AL246" s="112"/>
      <c r="AP246" s="112"/>
      <c r="AQ246" s="112"/>
      <c r="AR246" s="112"/>
      <c r="AS246" s="112"/>
      <c r="AT246" s="112"/>
      <c r="AU246" s="112"/>
      <c r="AV246" s="112"/>
      <c r="AW246" s="112"/>
      <c r="AX246" s="112"/>
      <c r="AY246" s="112"/>
      <c r="BA246" s="112"/>
      <c r="BB246" s="112"/>
      <c r="BC246" s="112"/>
      <c r="BD246" s="112"/>
      <c r="BE246" s="112"/>
      <c r="BF246" s="112"/>
      <c r="BG246" s="112"/>
      <c r="BH246" s="112"/>
      <c r="BI246" s="112"/>
      <c r="BK246" s="112"/>
      <c r="BL246" s="112"/>
      <c r="BM246" s="112"/>
      <c r="BN246" s="112"/>
    </row>
    <row r="247" spans="17:66" x14ac:dyDescent="0.25">
      <c r="Q247" s="112"/>
      <c r="R247" s="112"/>
      <c r="S247" s="112"/>
      <c r="T247" s="112"/>
      <c r="U247" s="112"/>
      <c r="V247" s="112"/>
      <c r="W247" s="112"/>
      <c r="X247" s="112"/>
      <c r="Y247" s="112"/>
      <c r="Z247" s="112"/>
      <c r="AA247" s="112"/>
      <c r="AB247" s="112"/>
      <c r="AC247" s="112"/>
      <c r="AD247" s="112"/>
      <c r="AE247" s="112"/>
      <c r="AF247" s="112"/>
      <c r="AG247" s="112"/>
      <c r="AH247" s="112"/>
      <c r="AI247" s="112"/>
      <c r="AJ247" s="112"/>
      <c r="AK247" s="112"/>
      <c r="AL247" s="112"/>
      <c r="AP247" s="112"/>
      <c r="AQ247" s="112"/>
      <c r="AR247" s="112"/>
      <c r="AS247" s="112"/>
      <c r="AT247" s="112"/>
      <c r="AU247" s="112"/>
      <c r="AV247" s="112"/>
      <c r="AW247" s="112"/>
      <c r="AX247" s="112"/>
      <c r="AY247" s="112"/>
      <c r="BA247" s="112"/>
      <c r="BB247" s="112"/>
      <c r="BC247" s="112"/>
      <c r="BD247" s="112"/>
      <c r="BE247" s="112"/>
      <c r="BF247" s="112"/>
      <c r="BG247" s="112"/>
      <c r="BH247" s="112"/>
      <c r="BI247" s="112"/>
      <c r="BK247" s="112"/>
      <c r="BL247" s="112"/>
      <c r="BM247" s="112"/>
      <c r="BN247" s="112"/>
    </row>
    <row r="248" spans="17:66" x14ac:dyDescent="0.25">
      <c r="Q248" s="112"/>
      <c r="R248" s="112"/>
      <c r="S248" s="112"/>
      <c r="T248" s="112"/>
      <c r="U248" s="112"/>
      <c r="V248" s="112"/>
      <c r="W248" s="112"/>
      <c r="X248" s="112"/>
      <c r="Y248" s="112"/>
      <c r="Z248" s="112"/>
      <c r="AA248" s="112"/>
      <c r="AB248" s="112"/>
      <c r="AC248" s="112"/>
      <c r="AD248" s="112"/>
      <c r="AE248" s="112"/>
      <c r="AF248" s="112"/>
      <c r="AG248" s="112"/>
      <c r="AH248" s="112"/>
      <c r="AI248" s="112"/>
      <c r="AJ248" s="112"/>
      <c r="AK248" s="112"/>
      <c r="AL248" s="112"/>
      <c r="AP248" s="112"/>
      <c r="AQ248" s="112"/>
      <c r="AR248" s="112"/>
      <c r="AS248" s="112"/>
      <c r="AT248" s="112"/>
      <c r="AU248" s="112"/>
      <c r="AV248" s="112"/>
      <c r="AW248" s="112"/>
      <c r="AX248" s="112"/>
      <c r="AY248" s="112"/>
      <c r="BA248" s="112"/>
      <c r="BB248" s="112"/>
      <c r="BC248" s="112"/>
      <c r="BD248" s="112"/>
      <c r="BE248" s="112"/>
      <c r="BF248" s="112"/>
      <c r="BG248" s="112"/>
      <c r="BH248" s="112"/>
      <c r="BI248" s="112"/>
      <c r="BK248" s="112"/>
      <c r="BL248" s="112"/>
      <c r="BM248" s="112"/>
      <c r="BN248" s="112"/>
    </row>
    <row r="249" spans="17:66" x14ac:dyDescent="0.25">
      <c r="Q249" s="112"/>
      <c r="R249" s="112"/>
      <c r="S249" s="112"/>
      <c r="T249" s="112"/>
      <c r="U249" s="112"/>
      <c r="V249" s="112"/>
      <c r="W249" s="112"/>
      <c r="X249" s="112"/>
      <c r="Y249" s="112"/>
      <c r="Z249" s="112"/>
      <c r="AA249" s="112"/>
      <c r="AB249" s="112"/>
      <c r="AC249" s="112"/>
      <c r="AD249" s="112"/>
      <c r="AE249" s="112"/>
      <c r="AF249" s="112"/>
      <c r="AG249" s="112"/>
      <c r="AH249" s="112"/>
      <c r="AI249" s="112"/>
      <c r="AJ249" s="112"/>
      <c r="AK249" s="112"/>
      <c r="AL249" s="112"/>
      <c r="AP249" s="112"/>
      <c r="AQ249" s="112"/>
      <c r="AR249" s="112"/>
      <c r="AS249" s="112"/>
      <c r="AT249" s="112"/>
      <c r="AU249" s="112"/>
      <c r="AV249" s="112"/>
      <c r="AW249" s="112"/>
      <c r="AX249" s="112"/>
      <c r="AY249" s="112"/>
      <c r="BA249" s="112"/>
      <c r="BB249" s="112"/>
      <c r="BC249" s="112"/>
      <c r="BD249" s="112"/>
      <c r="BE249" s="112"/>
      <c r="BF249" s="112"/>
      <c r="BG249" s="112"/>
      <c r="BH249" s="112"/>
      <c r="BI249" s="112"/>
      <c r="BK249" s="112"/>
      <c r="BL249" s="112"/>
      <c r="BM249" s="112"/>
      <c r="BN249" s="112"/>
    </row>
    <row r="250" spans="17:66" x14ac:dyDescent="0.25">
      <c r="Q250" s="112"/>
      <c r="R250" s="112"/>
      <c r="S250" s="112"/>
      <c r="T250" s="112"/>
      <c r="U250" s="112"/>
      <c r="V250" s="112"/>
      <c r="W250" s="112"/>
      <c r="X250" s="112"/>
      <c r="Y250" s="112"/>
      <c r="Z250" s="112"/>
      <c r="AA250" s="112"/>
      <c r="AB250" s="112"/>
      <c r="AC250" s="112"/>
      <c r="AD250" s="112"/>
      <c r="AE250" s="112"/>
      <c r="AF250" s="112"/>
      <c r="AG250" s="112"/>
      <c r="AH250" s="112"/>
      <c r="AI250" s="112"/>
      <c r="AJ250" s="112"/>
      <c r="AK250" s="112"/>
      <c r="AL250" s="112"/>
      <c r="AP250" s="112"/>
      <c r="AQ250" s="112"/>
      <c r="AR250" s="112"/>
      <c r="AS250" s="112"/>
      <c r="AT250" s="112"/>
      <c r="AU250" s="112"/>
      <c r="AV250" s="112"/>
      <c r="AW250" s="112"/>
      <c r="AX250" s="112"/>
      <c r="AY250" s="112"/>
      <c r="BA250" s="112"/>
      <c r="BB250" s="112"/>
      <c r="BC250" s="112"/>
      <c r="BD250" s="112"/>
      <c r="BE250" s="112"/>
      <c r="BF250" s="112"/>
      <c r="BG250" s="112"/>
      <c r="BH250" s="112"/>
      <c r="BI250" s="112"/>
      <c r="BK250" s="112"/>
      <c r="BL250" s="112"/>
      <c r="BM250" s="112"/>
      <c r="BN250" s="112"/>
    </row>
    <row r="251" spans="17:66" x14ac:dyDescent="0.25">
      <c r="Q251" s="112"/>
      <c r="R251" s="112"/>
      <c r="S251" s="112"/>
      <c r="T251" s="112"/>
      <c r="U251" s="112"/>
      <c r="V251" s="112"/>
      <c r="W251" s="112"/>
      <c r="X251" s="112"/>
      <c r="Y251" s="112"/>
      <c r="Z251" s="112"/>
      <c r="AA251" s="112"/>
      <c r="AB251" s="112"/>
      <c r="AC251" s="112"/>
      <c r="AD251" s="112"/>
      <c r="AE251" s="112"/>
      <c r="AF251" s="112"/>
      <c r="AG251" s="112"/>
      <c r="AH251" s="112"/>
      <c r="AI251" s="112"/>
      <c r="AJ251" s="112"/>
      <c r="AK251" s="112"/>
      <c r="AL251" s="112"/>
      <c r="AP251" s="112"/>
      <c r="AQ251" s="112"/>
      <c r="AR251" s="112"/>
      <c r="AS251" s="112"/>
      <c r="AT251" s="112"/>
      <c r="AU251" s="112"/>
      <c r="AV251" s="112"/>
      <c r="AW251" s="112"/>
      <c r="AX251" s="112"/>
      <c r="AY251" s="112"/>
      <c r="BA251" s="112"/>
      <c r="BB251" s="112"/>
      <c r="BC251" s="112"/>
      <c r="BD251" s="112"/>
      <c r="BE251" s="112"/>
      <c r="BF251" s="112"/>
      <c r="BG251" s="112"/>
      <c r="BH251" s="112"/>
      <c r="BI251" s="112"/>
      <c r="BK251" s="112"/>
      <c r="BL251" s="112"/>
      <c r="BM251" s="112"/>
      <c r="BN251" s="112"/>
    </row>
    <row r="252" spans="17:66" x14ac:dyDescent="0.25">
      <c r="Q252" s="112"/>
      <c r="R252" s="112"/>
      <c r="S252" s="112"/>
      <c r="T252" s="112"/>
      <c r="U252" s="112"/>
      <c r="V252" s="112"/>
      <c r="W252" s="112"/>
      <c r="X252" s="112"/>
      <c r="Y252" s="112"/>
      <c r="Z252" s="112"/>
      <c r="AA252" s="112"/>
      <c r="AB252" s="112"/>
      <c r="AC252" s="112"/>
      <c r="AD252" s="112"/>
      <c r="AE252" s="112"/>
      <c r="AF252" s="112"/>
      <c r="AG252" s="112"/>
      <c r="AH252" s="112"/>
      <c r="AI252" s="112"/>
      <c r="AJ252" s="112"/>
      <c r="AK252" s="112"/>
      <c r="AL252" s="112"/>
      <c r="AP252" s="112"/>
      <c r="AQ252" s="112"/>
      <c r="AR252" s="112"/>
      <c r="AS252" s="112"/>
      <c r="AT252" s="112"/>
      <c r="AU252" s="112"/>
      <c r="AV252" s="112"/>
      <c r="AW252" s="112"/>
      <c r="AX252" s="112"/>
      <c r="AY252" s="112"/>
      <c r="BA252" s="112"/>
      <c r="BB252" s="112"/>
      <c r="BC252" s="112"/>
      <c r="BD252" s="112"/>
      <c r="BE252" s="112"/>
      <c r="BF252" s="112"/>
      <c r="BG252" s="112"/>
      <c r="BH252" s="112"/>
      <c r="BI252" s="112"/>
      <c r="BK252" s="112"/>
      <c r="BL252" s="112"/>
      <c r="BM252" s="112"/>
      <c r="BN252" s="112"/>
    </row>
    <row r="253" spans="17:66" x14ac:dyDescent="0.25">
      <c r="Q253" s="112"/>
      <c r="R253" s="112"/>
      <c r="S253" s="112"/>
      <c r="T253" s="112"/>
      <c r="U253" s="112"/>
      <c r="V253" s="112"/>
      <c r="W253" s="112"/>
      <c r="X253" s="112"/>
      <c r="Y253" s="112"/>
      <c r="Z253" s="112"/>
      <c r="AA253" s="112"/>
      <c r="AB253" s="112"/>
      <c r="AC253" s="112"/>
      <c r="AD253" s="112"/>
      <c r="AE253" s="112"/>
      <c r="AF253" s="112"/>
      <c r="AG253" s="112"/>
      <c r="AH253" s="112"/>
      <c r="AI253" s="112"/>
      <c r="AJ253" s="112"/>
      <c r="AK253" s="112"/>
      <c r="AL253" s="112"/>
      <c r="AP253" s="112"/>
      <c r="AQ253" s="112"/>
      <c r="AR253" s="112"/>
      <c r="AS253" s="112"/>
      <c r="AT253" s="112"/>
      <c r="AU253" s="112"/>
      <c r="AV253" s="112"/>
      <c r="AW253" s="112"/>
      <c r="AX253" s="112"/>
      <c r="AY253" s="112"/>
      <c r="BA253" s="112"/>
      <c r="BB253" s="112"/>
      <c r="BC253" s="112"/>
      <c r="BD253" s="112"/>
      <c r="BE253" s="112"/>
      <c r="BF253" s="112"/>
      <c r="BG253" s="112"/>
      <c r="BH253" s="112"/>
      <c r="BI253" s="112"/>
      <c r="BK253" s="112"/>
      <c r="BL253" s="112"/>
      <c r="BM253" s="112"/>
      <c r="BN253" s="112"/>
    </row>
    <row r="254" spans="17:66" x14ac:dyDescent="0.25">
      <c r="Q254" s="112"/>
      <c r="R254" s="112"/>
      <c r="S254" s="112"/>
      <c r="T254" s="112"/>
      <c r="U254" s="112"/>
      <c r="V254" s="112"/>
      <c r="W254" s="112"/>
      <c r="X254" s="112"/>
      <c r="Y254" s="112"/>
      <c r="Z254" s="112"/>
      <c r="AA254" s="112"/>
      <c r="AB254" s="112"/>
      <c r="AC254" s="112"/>
      <c r="AD254" s="112"/>
      <c r="AE254" s="112"/>
      <c r="AF254" s="112"/>
      <c r="AG254" s="112"/>
      <c r="AH254" s="112"/>
      <c r="AI254" s="112"/>
      <c r="AJ254" s="112"/>
      <c r="AK254" s="112"/>
      <c r="AL254" s="112"/>
      <c r="AP254" s="112"/>
      <c r="AQ254" s="112"/>
      <c r="AR254" s="112"/>
      <c r="AS254" s="112"/>
      <c r="AT254" s="112"/>
      <c r="AU254" s="112"/>
      <c r="AV254" s="112"/>
      <c r="AW254" s="112"/>
      <c r="AX254" s="112"/>
      <c r="AY254" s="112"/>
      <c r="BA254" s="112"/>
      <c r="BB254" s="112"/>
      <c r="BC254" s="112"/>
      <c r="BD254" s="112"/>
      <c r="BE254" s="112"/>
      <c r="BF254" s="112"/>
      <c r="BG254" s="112"/>
      <c r="BH254" s="112"/>
      <c r="BI254" s="112"/>
      <c r="BK254" s="112"/>
      <c r="BL254" s="112"/>
      <c r="BM254" s="112"/>
      <c r="BN254" s="112"/>
    </row>
    <row r="255" spans="17:66" x14ac:dyDescent="0.25">
      <c r="Q255" s="112"/>
      <c r="R255" s="112"/>
      <c r="S255" s="112"/>
      <c r="T255" s="112"/>
      <c r="U255" s="112"/>
      <c r="V255" s="112"/>
      <c r="W255" s="112"/>
      <c r="X255" s="112"/>
      <c r="Y255" s="112"/>
      <c r="Z255" s="112"/>
      <c r="AA255" s="112"/>
      <c r="AB255" s="112"/>
      <c r="AC255" s="112"/>
      <c r="AD255" s="112"/>
      <c r="AE255" s="112"/>
      <c r="AF255" s="112"/>
      <c r="AG255" s="112"/>
      <c r="AH255" s="112"/>
      <c r="AI255" s="112"/>
      <c r="AJ255" s="112"/>
      <c r="AK255" s="112"/>
      <c r="AL255" s="112"/>
      <c r="AP255" s="112"/>
      <c r="AQ255" s="112"/>
      <c r="AR255" s="112"/>
      <c r="AS255" s="112"/>
      <c r="AT255" s="112"/>
      <c r="AU255" s="112"/>
      <c r="AV255" s="112"/>
      <c r="AW255" s="112"/>
      <c r="AX255" s="112"/>
      <c r="AY255" s="112"/>
      <c r="BA255" s="112"/>
      <c r="BB255" s="112"/>
      <c r="BC255" s="112"/>
      <c r="BD255" s="112"/>
      <c r="BE255" s="112"/>
      <c r="BF255" s="112"/>
      <c r="BG255" s="112"/>
      <c r="BH255" s="112"/>
      <c r="BI255" s="112"/>
      <c r="BK255" s="112"/>
      <c r="BL255" s="112"/>
      <c r="BM255" s="112"/>
      <c r="BN255" s="112"/>
    </row>
    <row r="256" spans="17:66" x14ac:dyDescent="0.25">
      <c r="Q256" s="112"/>
      <c r="R256" s="112"/>
      <c r="S256" s="112"/>
      <c r="T256" s="112"/>
      <c r="U256" s="112"/>
      <c r="V256" s="112"/>
      <c r="W256" s="112"/>
      <c r="X256" s="112"/>
      <c r="Y256" s="112"/>
      <c r="Z256" s="112"/>
      <c r="AA256" s="112"/>
      <c r="AB256" s="112"/>
      <c r="AC256" s="112"/>
      <c r="AD256" s="112"/>
      <c r="AE256" s="112"/>
      <c r="AF256" s="112"/>
      <c r="AG256" s="112"/>
      <c r="AH256" s="112"/>
      <c r="AI256" s="112"/>
      <c r="AJ256" s="112"/>
      <c r="AK256" s="112"/>
      <c r="AL256" s="112"/>
      <c r="AP256" s="112"/>
      <c r="AQ256" s="112"/>
      <c r="AR256" s="112"/>
      <c r="AS256" s="112"/>
      <c r="AT256" s="112"/>
      <c r="AU256" s="112"/>
      <c r="AV256" s="112"/>
      <c r="AW256" s="112"/>
      <c r="AX256" s="112"/>
      <c r="AY256" s="112"/>
      <c r="BA256" s="112"/>
      <c r="BB256" s="112"/>
      <c r="BC256" s="112"/>
      <c r="BD256" s="112"/>
      <c r="BE256" s="112"/>
      <c r="BF256" s="112"/>
      <c r="BG256" s="112"/>
      <c r="BH256" s="112"/>
      <c r="BI256" s="112"/>
      <c r="BK256" s="112"/>
      <c r="BL256" s="112"/>
      <c r="BM256" s="112"/>
      <c r="BN256" s="112"/>
    </row>
    <row r="257" spans="17:66" x14ac:dyDescent="0.25">
      <c r="Q257" s="112"/>
      <c r="R257" s="112"/>
      <c r="S257" s="112"/>
      <c r="T257" s="112"/>
      <c r="U257" s="112"/>
      <c r="V257" s="112"/>
      <c r="W257" s="112"/>
      <c r="X257" s="112"/>
      <c r="Y257" s="112"/>
      <c r="Z257" s="112"/>
      <c r="AA257" s="112"/>
      <c r="AB257" s="112"/>
      <c r="AC257" s="112"/>
      <c r="AD257" s="112"/>
      <c r="AE257" s="112"/>
      <c r="AF257" s="112"/>
      <c r="AG257" s="112"/>
      <c r="AH257" s="112"/>
      <c r="AI257" s="112"/>
      <c r="AJ257" s="112"/>
      <c r="AK257" s="112"/>
      <c r="AL257" s="112"/>
      <c r="AP257" s="112"/>
      <c r="AQ257" s="112"/>
      <c r="AR257" s="112"/>
      <c r="AS257" s="112"/>
      <c r="AT257" s="112"/>
      <c r="AU257" s="112"/>
      <c r="AV257" s="112"/>
      <c r="AW257" s="112"/>
      <c r="AX257" s="112"/>
      <c r="AY257" s="112"/>
      <c r="BA257" s="112"/>
      <c r="BB257" s="112"/>
      <c r="BC257" s="112"/>
      <c r="BD257" s="112"/>
      <c r="BE257" s="112"/>
      <c r="BF257" s="112"/>
      <c r="BG257" s="112"/>
      <c r="BH257" s="112"/>
      <c r="BI257" s="112"/>
      <c r="BK257" s="112"/>
      <c r="BL257" s="112"/>
      <c r="BM257" s="112"/>
      <c r="BN257" s="112"/>
    </row>
    <row r="258" spans="17:66" x14ac:dyDescent="0.25">
      <c r="Q258" s="112"/>
      <c r="R258" s="112"/>
      <c r="S258" s="112"/>
      <c r="T258" s="112"/>
      <c r="U258" s="112"/>
      <c r="V258" s="112"/>
      <c r="W258" s="112"/>
      <c r="X258" s="112"/>
      <c r="Y258" s="112"/>
      <c r="Z258" s="112"/>
      <c r="AA258" s="112"/>
      <c r="AB258" s="112"/>
      <c r="AC258" s="112"/>
      <c r="AD258" s="112"/>
      <c r="AE258" s="112"/>
      <c r="AF258" s="112"/>
      <c r="AG258" s="112"/>
      <c r="AH258" s="112"/>
      <c r="AI258" s="112"/>
      <c r="AJ258" s="112"/>
      <c r="AK258" s="112"/>
      <c r="AL258" s="112"/>
      <c r="AP258" s="112"/>
      <c r="AQ258" s="112"/>
      <c r="AR258" s="112"/>
      <c r="AS258" s="112"/>
      <c r="AT258" s="112"/>
      <c r="AU258" s="112"/>
      <c r="AV258" s="112"/>
      <c r="AW258" s="112"/>
      <c r="AX258" s="112"/>
      <c r="AY258" s="112"/>
      <c r="BA258" s="112"/>
      <c r="BB258" s="112"/>
      <c r="BC258" s="112"/>
      <c r="BD258" s="112"/>
      <c r="BE258" s="112"/>
      <c r="BF258" s="112"/>
      <c r="BG258" s="112"/>
      <c r="BH258" s="112"/>
      <c r="BI258" s="112"/>
      <c r="BK258" s="112"/>
      <c r="BL258" s="112"/>
      <c r="BM258" s="112"/>
      <c r="BN258" s="112"/>
    </row>
    <row r="259" spans="17:66" x14ac:dyDescent="0.25">
      <c r="Q259" s="112"/>
      <c r="R259" s="112"/>
      <c r="S259" s="112"/>
      <c r="T259" s="112"/>
      <c r="U259" s="112"/>
      <c r="V259" s="112"/>
      <c r="W259" s="112"/>
      <c r="X259" s="112"/>
      <c r="Y259" s="112"/>
      <c r="Z259" s="112"/>
      <c r="AA259" s="112"/>
      <c r="AB259" s="112"/>
      <c r="AC259" s="112"/>
      <c r="AD259" s="112"/>
      <c r="AE259" s="112"/>
      <c r="AF259" s="112"/>
      <c r="AG259" s="112"/>
      <c r="AH259" s="112"/>
      <c r="AI259" s="112"/>
      <c r="AJ259" s="112"/>
      <c r="AK259" s="112"/>
      <c r="AL259" s="112"/>
      <c r="AP259" s="112"/>
      <c r="AQ259" s="112"/>
      <c r="AR259" s="112"/>
      <c r="AS259" s="112"/>
      <c r="AT259" s="112"/>
      <c r="AU259" s="112"/>
      <c r="AV259" s="112"/>
      <c r="AW259" s="112"/>
      <c r="AX259" s="112"/>
      <c r="AY259" s="112"/>
      <c r="BA259" s="112"/>
      <c r="BB259" s="112"/>
      <c r="BC259" s="112"/>
      <c r="BD259" s="112"/>
      <c r="BE259" s="112"/>
      <c r="BF259" s="112"/>
      <c r="BG259" s="112"/>
      <c r="BH259" s="112"/>
      <c r="BI259" s="112"/>
      <c r="BK259" s="112"/>
      <c r="BL259" s="112"/>
      <c r="BM259" s="112"/>
      <c r="BN259" s="112"/>
    </row>
    <row r="260" spans="17:66" x14ac:dyDescent="0.25">
      <c r="Q260" s="112"/>
      <c r="R260" s="112"/>
      <c r="S260" s="112"/>
      <c r="T260" s="112"/>
      <c r="U260" s="112"/>
      <c r="V260" s="112"/>
      <c r="W260" s="112"/>
      <c r="X260" s="112"/>
      <c r="Y260" s="112"/>
      <c r="Z260" s="112"/>
      <c r="AA260" s="112"/>
      <c r="AB260" s="112"/>
      <c r="AC260" s="112"/>
      <c r="AD260" s="112"/>
      <c r="AE260" s="112"/>
      <c r="AF260" s="112"/>
      <c r="AG260" s="112"/>
      <c r="AH260" s="112"/>
      <c r="AI260" s="112"/>
      <c r="AJ260" s="112"/>
      <c r="AK260" s="112"/>
      <c r="AL260" s="112"/>
      <c r="AP260" s="112"/>
      <c r="AQ260" s="112"/>
      <c r="AR260" s="112"/>
      <c r="AS260" s="112"/>
      <c r="AT260" s="112"/>
      <c r="AU260" s="112"/>
      <c r="AV260" s="112"/>
      <c r="AW260" s="112"/>
      <c r="AX260" s="112"/>
      <c r="AY260" s="112"/>
      <c r="BA260" s="112"/>
      <c r="BB260" s="112"/>
      <c r="BC260" s="112"/>
      <c r="BD260" s="112"/>
      <c r="BE260" s="112"/>
      <c r="BF260" s="112"/>
      <c r="BG260" s="112"/>
      <c r="BH260" s="112"/>
      <c r="BI260" s="112"/>
      <c r="BK260" s="112"/>
      <c r="BL260" s="112"/>
      <c r="BM260" s="112"/>
      <c r="BN260" s="112"/>
    </row>
    <row r="261" spans="17:66" x14ac:dyDescent="0.25">
      <c r="Q261" s="112"/>
      <c r="R261" s="112"/>
      <c r="S261" s="112"/>
      <c r="T261" s="112"/>
      <c r="U261" s="112"/>
      <c r="V261" s="112"/>
      <c r="W261" s="112"/>
      <c r="X261" s="112"/>
      <c r="Y261" s="112"/>
      <c r="Z261" s="112"/>
      <c r="AA261" s="112"/>
      <c r="AB261" s="112"/>
      <c r="AC261" s="112"/>
      <c r="AD261" s="112"/>
      <c r="AE261" s="112"/>
      <c r="AF261" s="112"/>
      <c r="AG261" s="112"/>
      <c r="AH261" s="112"/>
      <c r="AI261" s="112"/>
      <c r="AJ261" s="112"/>
      <c r="AK261" s="112"/>
      <c r="AL261" s="112"/>
      <c r="AP261" s="112"/>
      <c r="AQ261" s="112"/>
      <c r="AR261" s="112"/>
      <c r="AS261" s="112"/>
      <c r="AT261" s="112"/>
      <c r="AU261" s="112"/>
      <c r="AV261" s="112"/>
      <c r="AW261" s="112"/>
      <c r="AX261" s="112"/>
      <c r="AY261" s="112"/>
      <c r="BA261" s="112"/>
      <c r="BB261" s="112"/>
      <c r="BC261" s="112"/>
      <c r="BD261" s="112"/>
      <c r="BE261" s="112"/>
      <c r="BF261" s="112"/>
      <c r="BG261" s="112"/>
      <c r="BH261" s="112"/>
      <c r="BI261" s="112"/>
      <c r="BK261" s="112"/>
      <c r="BL261" s="112"/>
      <c r="BM261" s="112"/>
      <c r="BN261" s="112"/>
    </row>
    <row r="262" spans="17:66" x14ac:dyDescent="0.25">
      <c r="Q262" s="112"/>
      <c r="R262" s="112"/>
      <c r="S262" s="112"/>
      <c r="T262" s="112"/>
      <c r="U262" s="112"/>
      <c r="V262" s="112"/>
      <c r="W262" s="112"/>
      <c r="X262" s="112"/>
      <c r="Y262" s="112"/>
      <c r="Z262" s="112"/>
      <c r="AA262" s="112"/>
      <c r="AB262" s="112"/>
      <c r="AC262" s="112"/>
      <c r="AD262" s="112"/>
      <c r="AE262" s="112"/>
      <c r="AF262" s="112"/>
      <c r="AG262" s="112"/>
      <c r="AH262" s="112"/>
      <c r="AI262" s="112"/>
      <c r="AJ262" s="112"/>
      <c r="AK262" s="112"/>
      <c r="AL262" s="112"/>
      <c r="AP262" s="112"/>
      <c r="AQ262" s="112"/>
      <c r="AR262" s="112"/>
      <c r="AS262" s="112"/>
      <c r="AT262" s="112"/>
      <c r="AU262" s="112"/>
      <c r="AV262" s="112"/>
      <c r="AW262" s="112"/>
      <c r="AX262" s="112"/>
      <c r="AY262" s="112"/>
      <c r="BA262" s="112"/>
      <c r="BB262" s="112"/>
      <c r="BC262" s="112"/>
      <c r="BD262" s="112"/>
      <c r="BE262" s="112"/>
      <c r="BF262" s="112"/>
      <c r="BG262" s="112"/>
      <c r="BH262" s="112"/>
      <c r="BI262" s="112"/>
      <c r="BK262" s="112"/>
      <c r="BL262" s="112"/>
      <c r="BM262" s="112"/>
      <c r="BN262" s="112"/>
    </row>
    <row r="263" spans="17:66" x14ac:dyDescent="0.25">
      <c r="Q263" s="112"/>
      <c r="R263" s="112"/>
      <c r="S263" s="112"/>
      <c r="T263" s="112"/>
      <c r="U263" s="112"/>
      <c r="V263" s="112"/>
      <c r="W263" s="112"/>
      <c r="X263" s="112"/>
      <c r="Y263" s="112"/>
      <c r="Z263" s="112"/>
      <c r="AA263" s="112"/>
      <c r="AB263" s="112"/>
      <c r="AC263" s="112"/>
      <c r="AD263" s="112"/>
      <c r="AE263" s="112"/>
      <c r="AF263" s="112"/>
      <c r="AG263" s="112"/>
      <c r="AH263" s="112"/>
      <c r="AI263" s="112"/>
      <c r="AJ263" s="112"/>
      <c r="AK263" s="112"/>
      <c r="AL263" s="112"/>
      <c r="AP263" s="112"/>
      <c r="AQ263" s="112"/>
      <c r="AR263" s="112"/>
      <c r="AS263" s="112"/>
      <c r="AT263" s="112"/>
      <c r="AU263" s="112"/>
      <c r="AV263" s="112"/>
      <c r="AW263" s="112"/>
      <c r="AX263" s="112"/>
      <c r="AY263" s="112"/>
      <c r="BA263" s="112"/>
      <c r="BB263" s="112"/>
      <c r="BC263" s="112"/>
      <c r="BD263" s="112"/>
      <c r="BE263" s="112"/>
      <c r="BF263" s="112"/>
      <c r="BG263" s="112"/>
      <c r="BH263" s="112"/>
      <c r="BI263" s="112"/>
      <c r="BK263" s="112"/>
      <c r="BL263" s="112"/>
      <c r="BM263" s="112"/>
      <c r="BN263" s="112"/>
    </row>
    <row r="264" spans="17:66" x14ac:dyDescent="0.25">
      <c r="Q264" s="112"/>
      <c r="R264" s="112"/>
      <c r="S264" s="112"/>
      <c r="T264" s="112"/>
      <c r="U264" s="112"/>
      <c r="V264" s="112"/>
      <c r="W264" s="112"/>
      <c r="X264" s="112"/>
      <c r="Y264" s="112"/>
      <c r="Z264" s="112"/>
      <c r="AA264" s="112"/>
      <c r="AB264" s="112"/>
      <c r="AC264" s="112"/>
      <c r="AD264" s="112"/>
      <c r="AE264" s="112"/>
      <c r="AF264" s="112"/>
      <c r="AG264" s="112"/>
      <c r="AH264" s="112"/>
      <c r="AI264" s="112"/>
      <c r="AJ264" s="112"/>
      <c r="AK264" s="112"/>
      <c r="AL264" s="112"/>
      <c r="AP264" s="112"/>
      <c r="AQ264" s="112"/>
      <c r="AR264" s="112"/>
      <c r="AS264" s="112"/>
      <c r="AT264" s="112"/>
      <c r="AU264" s="112"/>
      <c r="AV264" s="112"/>
      <c r="AW264" s="112"/>
      <c r="AX264" s="112"/>
      <c r="AY264" s="112"/>
      <c r="BA264" s="112"/>
      <c r="BB264" s="112"/>
      <c r="BC264" s="112"/>
      <c r="BD264" s="112"/>
      <c r="BE264" s="112"/>
      <c r="BF264" s="112"/>
      <c r="BG264" s="112"/>
      <c r="BH264" s="112"/>
      <c r="BI264" s="112"/>
      <c r="BK264" s="112"/>
      <c r="BL264" s="112"/>
      <c r="BM264" s="112"/>
      <c r="BN264" s="112"/>
    </row>
    <row r="265" spans="17:66" x14ac:dyDescent="0.25">
      <c r="Q265" s="112"/>
      <c r="R265" s="112"/>
      <c r="S265" s="112"/>
      <c r="T265" s="112"/>
      <c r="U265" s="112"/>
      <c r="V265" s="112"/>
      <c r="W265" s="112"/>
      <c r="X265" s="112"/>
      <c r="Y265" s="112"/>
      <c r="Z265" s="112"/>
      <c r="AA265" s="112"/>
      <c r="AB265" s="112"/>
      <c r="AC265" s="112"/>
      <c r="AD265" s="112"/>
      <c r="AE265" s="112"/>
      <c r="AF265" s="112"/>
      <c r="AG265" s="112"/>
      <c r="AH265" s="112"/>
      <c r="AI265" s="112"/>
      <c r="AJ265" s="112"/>
      <c r="AK265" s="112"/>
      <c r="AL265" s="112"/>
      <c r="AP265" s="112"/>
      <c r="AQ265" s="112"/>
      <c r="AR265" s="112"/>
      <c r="AS265" s="112"/>
      <c r="AT265" s="112"/>
      <c r="AU265" s="112"/>
      <c r="AV265" s="112"/>
      <c r="AW265" s="112"/>
      <c r="AX265" s="112"/>
      <c r="AY265" s="112"/>
      <c r="BA265" s="112"/>
      <c r="BB265" s="112"/>
      <c r="BC265" s="112"/>
      <c r="BD265" s="112"/>
      <c r="BE265" s="112"/>
      <c r="BF265" s="112"/>
      <c r="BG265" s="112"/>
      <c r="BH265" s="112"/>
      <c r="BI265" s="112"/>
      <c r="BK265" s="112"/>
      <c r="BL265" s="112"/>
      <c r="BM265" s="112"/>
      <c r="BN265" s="112"/>
    </row>
    <row r="266" spans="17:66" x14ac:dyDescent="0.25">
      <c r="Q266" s="112"/>
      <c r="R266" s="112"/>
      <c r="S266" s="112"/>
      <c r="T266" s="112"/>
      <c r="U266" s="112"/>
      <c r="V266" s="112"/>
      <c r="W266" s="112"/>
      <c r="X266" s="112"/>
      <c r="Y266" s="112"/>
      <c r="Z266" s="112"/>
      <c r="AA266" s="112"/>
      <c r="AB266" s="112"/>
      <c r="AC266" s="112"/>
      <c r="AD266" s="112"/>
      <c r="AE266" s="112"/>
      <c r="AF266" s="112"/>
      <c r="AG266" s="112"/>
      <c r="AH266" s="112"/>
      <c r="AI266" s="112"/>
      <c r="AJ266" s="112"/>
      <c r="AK266" s="112"/>
      <c r="AL266" s="112"/>
      <c r="AP266" s="112"/>
      <c r="AQ266" s="112"/>
      <c r="AR266" s="112"/>
      <c r="AS266" s="112"/>
      <c r="AT266" s="112"/>
      <c r="AU266" s="112"/>
      <c r="AV266" s="112"/>
      <c r="AW266" s="112"/>
      <c r="AX266" s="112"/>
      <c r="AY266" s="112"/>
      <c r="BA266" s="112"/>
      <c r="BB266" s="112"/>
      <c r="BC266" s="112"/>
      <c r="BD266" s="112"/>
      <c r="BE266" s="112"/>
      <c r="BF266" s="112"/>
      <c r="BG266" s="112"/>
      <c r="BH266" s="112"/>
      <c r="BI266" s="112"/>
      <c r="BK266" s="112"/>
      <c r="BL266" s="112"/>
      <c r="BM266" s="112"/>
      <c r="BN266" s="112"/>
    </row>
    <row r="267" spans="17:66" x14ac:dyDescent="0.25">
      <c r="Q267" s="112"/>
      <c r="R267" s="112"/>
      <c r="S267" s="112"/>
      <c r="T267" s="112"/>
      <c r="U267" s="112"/>
      <c r="V267" s="112"/>
      <c r="W267" s="112"/>
      <c r="X267" s="112"/>
      <c r="Y267" s="112"/>
      <c r="Z267" s="112"/>
      <c r="AA267" s="112"/>
      <c r="AB267" s="112"/>
      <c r="AC267" s="112"/>
      <c r="AD267" s="112"/>
      <c r="AE267" s="112"/>
      <c r="AF267" s="112"/>
      <c r="AG267" s="112"/>
      <c r="AH267" s="112"/>
      <c r="AI267" s="112"/>
      <c r="AJ267" s="112"/>
      <c r="AK267" s="112"/>
      <c r="AL267" s="112"/>
      <c r="AP267" s="112"/>
      <c r="AQ267" s="112"/>
      <c r="AR267" s="112"/>
      <c r="AS267" s="112"/>
      <c r="AT267" s="112"/>
      <c r="AU267" s="112"/>
      <c r="AV267" s="112"/>
      <c r="AW267" s="112"/>
      <c r="AX267" s="112"/>
      <c r="AY267" s="112"/>
      <c r="BA267" s="112"/>
      <c r="BB267" s="112"/>
      <c r="BC267" s="112"/>
      <c r="BD267" s="112"/>
      <c r="BE267" s="112"/>
      <c r="BF267" s="112"/>
      <c r="BG267" s="112"/>
      <c r="BH267" s="112"/>
      <c r="BI267" s="112"/>
      <c r="BK267" s="112"/>
      <c r="BL267" s="112"/>
      <c r="BM267" s="112"/>
      <c r="BN267" s="112"/>
    </row>
    <row r="268" spans="17:66" x14ac:dyDescent="0.25">
      <c r="Q268" s="112"/>
      <c r="R268" s="112"/>
      <c r="S268" s="112"/>
      <c r="T268" s="112"/>
      <c r="U268" s="112"/>
      <c r="V268" s="112"/>
      <c r="W268" s="112"/>
      <c r="X268" s="112"/>
      <c r="Y268" s="112"/>
      <c r="Z268" s="112"/>
      <c r="AA268" s="112"/>
      <c r="AB268" s="112"/>
      <c r="AC268" s="112"/>
      <c r="AD268" s="112"/>
      <c r="AE268" s="112"/>
      <c r="AF268" s="112"/>
      <c r="AG268" s="112"/>
      <c r="AH268" s="112"/>
      <c r="AI268" s="112"/>
      <c r="AJ268" s="112"/>
      <c r="AK268" s="112"/>
      <c r="AL268" s="112"/>
      <c r="AP268" s="112"/>
      <c r="AQ268" s="112"/>
      <c r="AR268" s="112"/>
      <c r="AS268" s="112"/>
      <c r="AT268" s="112"/>
      <c r="AU268" s="112"/>
      <c r="AV268" s="112"/>
      <c r="AW268" s="112"/>
      <c r="AX268" s="112"/>
      <c r="AY268" s="112"/>
      <c r="BA268" s="112"/>
      <c r="BB268" s="112"/>
      <c r="BC268" s="112"/>
      <c r="BD268" s="112"/>
      <c r="BE268" s="112"/>
      <c r="BF268" s="112"/>
      <c r="BG268" s="112"/>
      <c r="BH268" s="112"/>
      <c r="BI268" s="112"/>
      <c r="BK268" s="112"/>
      <c r="BL268" s="112"/>
      <c r="BM268" s="112"/>
      <c r="BN268" s="112"/>
    </row>
    <row r="269" spans="17:66" x14ac:dyDescent="0.25">
      <c r="Q269" s="112"/>
      <c r="R269" s="112"/>
      <c r="S269" s="112"/>
      <c r="T269" s="112"/>
      <c r="U269" s="112"/>
      <c r="V269" s="112"/>
      <c r="W269" s="112"/>
      <c r="X269" s="112"/>
      <c r="Y269" s="112"/>
      <c r="Z269" s="112"/>
      <c r="AA269" s="112"/>
      <c r="AB269" s="112"/>
      <c r="AC269" s="112"/>
      <c r="AD269" s="112"/>
      <c r="AE269" s="112"/>
      <c r="AF269" s="112"/>
      <c r="AG269" s="112"/>
      <c r="AH269" s="112"/>
      <c r="AI269" s="112"/>
      <c r="AJ269" s="112"/>
      <c r="AK269" s="112"/>
      <c r="AL269" s="112"/>
      <c r="AP269" s="112"/>
      <c r="AQ269" s="112"/>
      <c r="AR269" s="112"/>
      <c r="AS269" s="112"/>
      <c r="AT269" s="112"/>
      <c r="AU269" s="112"/>
      <c r="AV269" s="112"/>
      <c r="AW269" s="112"/>
      <c r="AX269" s="112"/>
      <c r="AY269" s="112"/>
      <c r="BA269" s="112"/>
      <c r="BB269" s="112"/>
      <c r="BC269" s="112"/>
      <c r="BD269" s="112"/>
      <c r="BE269" s="112"/>
      <c r="BF269" s="112"/>
      <c r="BG269" s="112"/>
      <c r="BH269" s="112"/>
      <c r="BI269" s="112"/>
      <c r="BK269" s="112"/>
      <c r="BL269" s="112"/>
      <c r="BM269" s="112"/>
      <c r="BN269" s="112"/>
    </row>
    <row r="270" spans="17:66" x14ac:dyDescent="0.25">
      <c r="Q270" s="112"/>
      <c r="R270" s="112"/>
      <c r="S270" s="112"/>
      <c r="T270" s="112"/>
      <c r="U270" s="112"/>
      <c r="V270" s="112"/>
      <c r="W270" s="112"/>
      <c r="X270" s="112"/>
      <c r="Y270" s="112"/>
      <c r="Z270" s="112"/>
      <c r="AA270" s="112"/>
      <c r="AB270" s="112"/>
      <c r="AC270" s="112"/>
      <c r="AD270" s="112"/>
      <c r="AE270" s="112"/>
      <c r="AF270" s="112"/>
      <c r="AG270" s="112"/>
      <c r="AH270" s="112"/>
      <c r="AI270" s="112"/>
      <c r="AJ270" s="112"/>
      <c r="AK270" s="112"/>
      <c r="AL270" s="112"/>
      <c r="AP270" s="112"/>
      <c r="AQ270" s="112"/>
      <c r="AR270" s="112"/>
      <c r="AS270" s="112"/>
      <c r="AT270" s="112"/>
      <c r="AU270" s="112"/>
      <c r="AV270" s="112"/>
      <c r="AW270" s="112"/>
      <c r="AX270" s="112"/>
      <c r="AY270" s="112"/>
      <c r="BA270" s="112"/>
      <c r="BB270" s="112"/>
      <c r="BC270" s="112"/>
      <c r="BD270" s="112"/>
      <c r="BE270" s="112"/>
      <c r="BF270" s="112"/>
      <c r="BG270" s="112"/>
      <c r="BH270" s="112"/>
      <c r="BI270" s="112"/>
      <c r="BK270" s="112"/>
      <c r="BL270" s="112"/>
      <c r="BM270" s="112"/>
      <c r="BN270" s="112"/>
    </row>
    <row r="271" spans="17:66" x14ac:dyDescent="0.25">
      <c r="Q271" s="112"/>
      <c r="R271" s="112"/>
      <c r="S271" s="112"/>
      <c r="T271" s="112"/>
      <c r="U271" s="112"/>
      <c r="V271" s="112"/>
      <c r="W271" s="112"/>
      <c r="X271" s="112"/>
      <c r="Y271" s="112"/>
      <c r="Z271" s="112"/>
      <c r="AA271" s="112"/>
      <c r="AB271" s="112"/>
      <c r="AC271" s="112"/>
      <c r="AD271" s="112"/>
      <c r="AE271" s="112"/>
      <c r="AF271" s="112"/>
      <c r="AG271" s="112"/>
      <c r="AH271" s="112"/>
      <c r="AI271" s="112"/>
      <c r="AJ271" s="112"/>
      <c r="AK271" s="112"/>
      <c r="AL271" s="112"/>
      <c r="AP271" s="112"/>
      <c r="AQ271" s="112"/>
      <c r="AR271" s="112"/>
      <c r="AS271" s="112"/>
      <c r="AT271" s="112"/>
      <c r="AU271" s="112"/>
      <c r="AV271" s="112"/>
      <c r="AW271" s="112"/>
      <c r="AX271" s="112"/>
      <c r="AY271" s="112"/>
      <c r="BA271" s="112"/>
      <c r="BB271" s="112"/>
      <c r="BC271" s="112"/>
      <c r="BD271" s="112"/>
      <c r="BE271" s="112"/>
      <c r="BF271" s="112"/>
      <c r="BG271" s="112"/>
      <c r="BH271" s="112"/>
      <c r="BI271" s="112"/>
      <c r="BK271" s="112"/>
      <c r="BL271" s="112"/>
      <c r="BM271" s="112"/>
      <c r="BN271" s="112"/>
    </row>
    <row r="272" spans="17:66" x14ac:dyDescent="0.25">
      <c r="Q272" s="112"/>
      <c r="R272" s="112"/>
      <c r="S272" s="112"/>
      <c r="T272" s="112"/>
      <c r="U272" s="112"/>
      <c r="V272" s="112"/>
      <c r="W272" s="112"/>
      <c r="X272" s="112"/>
      <c r="Y272" s="112"/>
      <c r="Z272" s="112"/>
      <c r="AA272" s="112"/>
      <c r="AB272" s="112"/>
      <c r="AC272" s="112"/>
      <c r="AD272" s="112"/>
      <c r="AE272" s="112"/>
      <c r="AF272" s="112"/>
      <c r="AG272" s="112"/>
      <c r="AH272" s="112"/>
      <c r="AI272" s="112"/>
      <c r="AJ272" s="112"/>
      <c r="AK272" s="112"/>
      <c r="AL272" s="112"/>
      <c r="AP272" s="112"/>
      <c r="AQ272" s="112"/>
      <c r="AR272" s="112"/>
      <c r="AS272" s="112"/>
      <c r="AT272" s="112"/>
      <c r="AU272" s="112"/>
      <c r="AV272" s="112"/>
      <c r="AW272" s="112"/>
      <c r="AX272" s="112"/>
      <c r="AY272" s="112"/>
      <c r="BA272" s="112"/>
      <c r="BB272" s="112"/>
      <c r="BC272" s="112"/>
      <c r="BD272" s="112"/>
      <c r="BE272" s="112"/>
      <c r="BF272" s="112"/>
      <c r="BG272" s="112"/>
      <c r="BH272" s="112"/>
      <c r="BI272" s="112"/>
      <c r="BK272" s="112"/>
      <c r="BL272" s="112"/>
      <c r="BM272" s="112"/>
      <c r="BN272" s="112"/>
    </row>
    <row r="273" spans="17:66" x14ac:dyDescent="0.25">
      <c r="Q273" s="112"/>
      <c r="R273" s="112"/>
      <c r="S273" s="112"/>
      <c r="T273" s="112"/>
      <c r="U273" s="112"/>
      <c r="V273" s="112"/>
      <c r="W273" s="112"/>
      <c r="X273" s="112"/>
      <c r="Y273" s="112"/>
      <c r="Z273" s="112"/>
      <c r="AA273" s="112"/>
      <c r="AB273" s="112"/>
      <c r="AC273" s="112"/>
      <c r="AD273" s="112"/>
      <c r="AE273" s="112"/>
      <c r="AF273" s="112"/>
      <c r="AG273" s="112"/>
      <c r="AH273" s="112"/>
      <c r="AI273" s="112"/>
      <c r="AJ273" s="112"/>
      <c r="AK273" s="112"/>
      <c r="AL273" s="112"/>
      <c r="AP273" s="112"/>
      <c r="AQ273" s="112"/>
      <c r="AR273" s="112"/>
      <c r="AS273" s="112"/>
      <c r="AT273" s="112"/>
      <c r="AU273" s="112"/>
      <c r="AV273" s="112"/>
      <c r="AW273" s="112"/>
      <c r="AX273" s="112"/>
      <c r="AY273" s="112"/>
      <c r="BA273" s="112"/>
      <c r="BB273" s="112"/>
      <c r="BC273" s="112"/>
      <c r="BD273" s="112"/>
      <c r="BE273" s="112"/>
      <c r="BF273" s="112"/>
      <c r="BG273" s="112"/>
      <c r="BH273" s="112"/>
      <c r="BI273" s="112"/>
      <c r="BK273" s="112"/>
      <c r="BL273" s="112"/>
      <c r="BM273" s="112"/>
      <c r="BN273" s="112"/>
    </row>
    <row r="274" spans="17:66" x14ac:dyDescent="0.25">
      <c r="Q274" s="112"/>
      <c r="R274" s="112"/>
      <c r="S274" s="112"/>
      <c r="T274" s="112"/>
      <c r="U274" s="112"/>
      <c r="V274" s="112"/>
      <c r="W274" s="112"/>
      <c r="X274" s="112"/>
      <c r="Y274" s="112"/>
      <c r="Z274" s="112"/>
      <c r="AA274" s="112"/>
      <c r="AB274" s="112"/>
      <c r="AC274" s="112"/>
      <c r="AD274" s="112"/>
      <c r="AE274" s="112"/>
      <c r="AF274" s="112"/>
      <c r="AG274" s="112"/>
      <c r="AH274" s="112"/>
      <c r="AI274" s="112"/>
      <c r="AJ274" s="112"/>
      <c r="AK274" s="112"/>
      <c r="AL274" s="112"/>
      <c r="AP274" s="112"/>
      <c r="AQ274" s="112"/>
      <c r="AR274" s="112"/>
      <c r="AS274" s="112"/>
      <c r="AT274" s="112"/>
      <c r="AU274" s="112"/>
      <c r="AV274" s="112"/>
      <c r="AW274" s="112"/>
      <c r="AX274" s="112"/>
      <c r="AY274" s="112"/>
      <c r="BA274" s="112"/>
      <c r="BB274" s="112"/>
      <c r="BC274" s="112"/>
      <c r="BD274" s="112"/>
      <c r="BE274" s="112"/>
      <c r="BF274" s="112"/>
      <c r="BG274" s="112"/>
      <c r="BH274" s="112"/>
      <c r="BI274" s="112"/>
      <c r="BK274" s="112"/>
      <c r="BL274" s="112"/>
      <c r="BM274" s="112"/>
      <c r="BN274" s="112"/>
    </row>
    <row r="275" spans="17:66" x14ac:dyDescent="0.25">
      <c r="Q275" s="112"/>
      <c r="R275" s="112"/>
      <c r="S275" s="112"/>
      <c r="T275" s="112"/>
      <c r="U275" s="112"/>
      <c r="V275" s="112"/>
      <c r="W275" s="112"/>
      <c r="X275" s="112"/>
      <c r="Y275" s="112"/>
      <c r="Z275" s="112"/>
      <c r="AA275" s="112"/>
      <c r="AB275" s="112"/>
      <c r="AC275" s="112"/>
      <c r="AD275" s="112"/>
      <c r="AE275" s="112"/>
      <c r="AF275" s="112"/>
      <c r="AG275" s="112"/>
      <c r="AH275" s="112"/>
      <c r="AI275" s="112"/>
      <c r="AJ275" s="112"/>
      <c r="AK275" s="112"/>
      <c r="AL275" s="112"/>
      <c r="AP275" s="112"/>
      <c r="AQ275" s="112"/>
      <c r="AR275" s="112"/>
      <c r="AS275" s="112"/>
      <c r="AT275" s="112"/>
      <c r="AU275" s="112"/>
      <c r="AV275" s="112"/>
      <c r="AW275" s="112"/>
      <c r="AX275" s="112"/>
      <c r="AY275" s="112"/>
      <c r="BA275" s="112"/>
      <c r="BB275" s="112"/>
      <c r="BC275" s="112"/>
      <c r="BD275" s="112"/>
      <c r="BE275" s="112"/>
      <c r="BF275" s="112"/>
      <c r="BG275" s="112"/>
      <c r="BH275" s="112"/>
      <c r="BI275" s="112"/>
      <c r="BK275" s="112"/>
      <c r="BL275" s="112"/>
      <c r="BM275" s="112"/>
      <c r="BN275" s="112"/>
    </row>
    <row r="276" spans="17:66" x14ac:dyDescent="0.25">
      <c r="Q276" s="112"/>
      <c r="R276" s="112"/>
      <c r="S276" s="112"/>
      <c r="T276" s="112"/>
      <c r="U276" s="112"/>
      <c r="V276" s="112"/>
      <c r="W276" s="112"/>
      <c r="X276" s="112"/>
      <c r="Y276" s="112"/>
      <c r="Z276" s="112"/>
      <c r="AA276" s="112"/>
      <c r="AB276" s="112"/>
      <c r="AC276" s="112"/>
      <c r="AD276" s="112"/>
      <c r="AE276" s="112"/>
      <c r="AF276" s="112"/>
      <c r="AG276" s="112"/>
      <c r="AH276" s="112"/>
      <c r="AI276" s="112"/>
      <c r="AJ276" s="112"/>
      <c r="AK276" s="112"/>
      <c r="AL276" s="112"/>
      <c r="AP276" s="112"/>
      <c r="AQ276" s="112"/>
      <c r="AR276" s="112"/>
      <c r="AS276" s="112"/>
      <c r="AT276" s="112"/>
      <c r="AU276" s="112"/>
      <c r="AV276" s="112"/>
      <c r="AW276" s="112"/>
      <c r="AX276" s="112"/>
      <c r="AY276" s="112"/>
      <c r="BA276" s="112"/>
      <c r="BB276" s="112"/>
      <c r="BC276" s="112"/>
      <c r="BD276" s="112"/>
      <c r="BE276" s="112"/>
      <c r="BF276" s="112"/>
      <c r="BG276" s="112"/>
      <c r="BH276" s="112"/>
      <c r="BI276" s="112"/>
      <c r="BK276" s="112"/>
      <c r="BL276" s="112"/>
      <c r="BM276" s="112"/>
      <c r="BN276" s="112"/>
    </row>
    <row r="277" spans="17:66" x14ac:dyDescent="0.25">
      <c r="Q277" s="112"/>
      <c r="R277" s="112"/>
      <c r="S277" s="112"/>
      <c r="T277" s="112"/>
      <c r="U277" s="112"/>
      <c r="V277" s="112"/>
      <c r="W277" s="112"/>
      <c r="X277" s="112"/>
      <c r="Y277" s="112"/>
      <c r="Z277" s="112"/>
      <c r="AA277" s="112"/>
      <c r="AB277" s="112"/>
      <c r="AC277" s="112"/>
      <c r="AD277" s="112"/>
      <c r="AE277" s="112"/>
      <c r="AF277" s="112"/>
      <c r="AG277" s="112"/>
      <c r="AH277" s="112"/>
      <c r="AI277" s="112"/>
      <c r="AJ277" s="112"/>
      <c r="AK277" s="112"/>
      <c r="AL277" s="112"/>
      <c r="AP277" s="112"/>
      <c r="AQ277" s="112"/>
      <c r="AR277" s="112"/>
      <c r="AS277" s="112"/>
      <c r="AT277" s="112"/>
      <c r="AU277" s="112"/>
      <c r="AV277" s="112"/>
      <c r="AW277" s="112"/>
      <c r="AX277" s="112"/>
      <c r="AY277" s="112"/>
      <c r="BA277" s="112"/>
      <c r="BB277" s="112"/>
      <c r="BC277" s="112"/>
      <c r="BD277" s="112"/>
      <c r="BE277" s="112"/>
      <c r="BF277" s="112"/>
      <c r="BG277" s="112"/>
      <c r="BH277" s="112"/>
      <c r="BI277" s="112"/>
      <c r="BK277" s="112"/>
      <c r="BL277" s="112"/>
      <c r="BM277" s="112"/>
      <c r="BN277" s="112"/>
    </row>
    <row r="278" spans="17:66" x14ac:dyDescent="0.25">
      <c r="Q278" s="112"/>
      <c r="R278" s="112"/>
      <c r="S278" s="112"/>
      <c r="T278" s="112"/>
      <c r="U278" s="112"/>
      <c r="V278" s="112"/>
      <c r="W278" s="112"/>
      <c r="X278" s="112"/>
      <c r="Y278" s="112"/>
      <c r="Z278" s="112"/>
      <c r="AA278" s="112"/>
      <c r="AB278" s="112"/>
      <c r="AC278" s="112"/>
      <c r="AD278" s="112"/>
      <c r="AE278" s="112"/>
      <c r="AF278" s="112"/>
      <c r="AG278" s="112"/>
      <c r="AH278" s="112"/>
      <c r="AI278" s="112"/>
      <c r="AJ278" s="112"/>
      <c r="AK278" s="112"/>
      <c r="AL278" s="112"/>
      <c r="AP278" s="112"/>
      <c r="AQ278" s="112"/>
      <c r="AR278" s="112"/>
      <c r="AS278" s="112"/>
      <c r="AT278" s="112"/>
      <c r="AU278" s="112"/>
      <c r="AV278" s="112"/>
      <c r="AW278" s="112"/>
      <c r="AX278" s="112"/>
      <c r="AY278" s="112"/>
      <c r="BA278" s="112"/>
      <c r="BB278" s="112"/>
      <c r="BC278" s="112"/>
      <c r="BD278" s="112"/>
      <c r="BE278" s="112"/>
      <c r="BF278" s="112"/>
      <c r="BG278" s="112"/>
      <c r="BH278" s="112"/>
      <c r="BI278" s="112"/>
      <c r="BK278" s="112"/>
      <c r="BL278" s="112"/>
      <c r="BM278" s="112"/>
      <c r="BN278" s="112"/>
    </row>
    <row r="279" spans="17:66" x14ac:dyDescent="0.25">
      <c r="Q279" s="112"/>
      <c r="R279" s="112"/>
      <c r="S279" s="112"/>
      <c r="T279" s="112"/>
      <c r="U279" s="112"/>
      <c r="V279" s="112"/>
      <c r="W279" s="112"/>
      <c r="X279" s="112"/>
      <c r="Y279" s="112"/>
      <c r="Z279" s="112"/>
      <c r="AA279" s="112"/>
      <c r="AB279" s="112"/>
      <c r="AC279" s="112"/>
      <c r="AD279" s="112"/>
      <c r="AE279" s="112"/>
      <c r="AF279" s="112"/>
      <c r="AG279" s="112"/>
      <c r="AH279" s="112"/>
      <c r="AI279" s="112"/>
      <c r="AJ279" s="112"/>
      <c r="AK279" s="112"/>
      <c r="AL279" s="112"/>
      <c r="AP279" s="112"/>
      <c r="AQ279" s="112"/>
      <c r="AR279" s="112"/>
      <c r="AS279" s="112"/>
      <c r="AT279" s="112"/>
      <c r="AU279" s="112"/>
      <c r="AV279" s="112"/>
      <c r="AW279" s="112"/>
      <c r="AX279" s="112"/>
      <c r="AY279" s="112"/>
      <c r="BA279" s="112"/>
      <c r="BB279" s="112"/>
      <c r="BC279" s="112"/>
      <c r="BD279" s="112"/>
      <c r="BE279" s="112"/>
      <c r="BF279" s="112"/>
      <c r="BG279" s="112"/>
      <c r="BH279" s="112"/>
      <c r="BI279" s="112"/>
      <c r="BK279" s="112"/>
      <c r="BL279" s="112"/>
      <c r="BM279" s="112"/>
      <c r="BN279" s="112"/>
    </row>
    <row r="280" spans="17:66" x14ac:dyDescent="0.25">
      <c r="Q280" s="112"/>
      <c r="R280" s="112"/>
      <c r="S280" s="112"/>
      <c r="T280" s="112"/>
      <c r="U280" s="112"/>
      <c r="V280" s="112"/>
      <c r="W280" s="112"/>
      <c r="X280" s="112"/>
      <c r="Y280" s="112"/>
      <c r="Z280" s="112"/>
      <c r="AA280" s="112"/>
      <c r="AB280" s="112"/>
      <c r="AC280" s="112"/>
      <c r="AD280" s="112"/>
      <c r="AE280" s="112"/>
      <c r="AF280" s="112"/>
      <c r="AG280" s="112"/>
      <c r="AH280" s="112"/>
      <c r="AI280" s="112"/>
      <c r="AJ280" s="112"/>
      <c r="AK280" s="112"/>
      <c r="AL280" s="112"/>
      <c r="AP280" s="112"/>
      <c r="AQ280" s="112"/>
      <c r="AR280" s="112"/>
      <c r="AS280" s="112"/>
      <c r="AT280" s="112"/>
      <c r="AU280" s="112"/>
      <c r="AV280" s="112"/>
      <c r="AW280" s="112"/>
      <c r="AX280" s="112"/>
      <c r="AY280" s="112"/>
      <c r="BA280" s="112"/>
      <c r="BB280" s="112"/>
      <c r="BC280" s="112"/>
      <c r="BD280" s="112"/>
      <c r="BE280" s="112"/>
      <c r="BF280" s="112"/>
      <c r="BG280" s="112"/>
      <c r="BH280" s="112"/>
      <c r="BI280" s="112"/>
      <c r="BK280" s="112"/>
      <c r="BL280" s="112"/>
      <c r="BM280" s="112"/>
      <c r="BN280" s="112"/>
    </row>
    <row r="281" spans="17:66" x14ac:dyDescent="0.25">
      <c r="Q281" s="112"/>
      <c r="R281" s="112"/>
      <c r="S281" s="112"/>
      <c r="T281" s="112"/>
      <c r="U281" s="112"/>
      <c r="V281" s="112"/>
      <c r="W281" s="112"/>
      <c r="X281" s="112"/>
      <c r="Y281" s="112"/>
      <c r="Z281" s="112"/>
      <c r="AA281" s="112"/>
      <c r="AB281" s="112"/>
      <c r="AC281" s="112"/>
      <c r="AD281" s="112"/>
      <c r="AE281" s="112"/>
      <c r="AF281" s="112"/>
      <c r="AG281" s="112"/>
      <c r="AH281" s="112"/>
      <c r="AI281" s="112"/>
      <c r="AJ281" s="112"/>
      <c r="AK281" s="112"/>
      <c r="AL281" s="112"/>
      <c r="AP281" s="112"/>
      <c r="AQ281" s="112"/>
      <c r="AR281" s="112"/>
      <c r="AS281" s="112"/>
      <c r="AT281" s="112"/>
      <c r="AU281" s="112"/>
      <c r="AV281" s="112"/>
      <c r="AW281" s="112"/>
      <c r="AX281" s="112"/>
      <c r="AY281" s="112"/>
      <c r="BA281" s="112"/>
      <c r="BB281" s="112"/>
      <c r="BC281" s="112"/>
      <c r="BD281" s="112"/>
      <c r="BE281" s="112"/>
      <c r="BF281" s="112"/>
      <c r="BG281" s="112"/>
      <c r="BH281" s="112"/>
      <c r="BI281" s="112"/>
      <c r="BK281" s="112"/>
      <c r="BL281" s="112"/>
      <c r="BM281" s="112"/>
      <c r="BN281" s="112"/>
    </row>
    <row r="282" spans="17:66" x14ac:dyDescent="0.25">
      <c r="Q282" s="112"/>
      <c r="R282" s="112"/>
      <c r="S282" s="112"/>
      <c r="T282" s="112"/>
      <c r="U282" s="112"/>
      <c r="V282" s="112"/>
      <c r="W282" s="112"/>
      <c r="X282" s="112"/>
      <c r="Y282" s="112"/>
      <c r="Z282" s="112"/>
      <c r="AA282" s="112"/>
      <c r="AB282" s="112"/>
      <c r="AC282" s="112"/>
      <c r="AD282" s="112"/>
      <c r="AE282" s="112"/>
      <c r="AF282" s="112"/>
      <c r="AG282" s="112"/>
      <c r="AH282" s="112"/>
      <c r="AI282" s="112"/>
      <c r="AJ282" s="112"/>
      <c r="AK282" s="112"/>
      <c r="AL282" s="112"/>
      <c r="AP282" s="112"/>
      <c r="AQ282" s="112"/>
      <c r="AR282" s="112"/>
      <c r="AS282" s="112"/>
      <c r="AT282" s="112"/>
      <c r="AU282" s="112"/>
      <c r="AV282" s="112"/>
      <c r="AW282" s="112"/>
      <c r="AX282" s="112"/>
      <c r="AY282" s="112"/>
      <c r="BA282" s="112"/>
      <c r="BB282" s="112"/>
      <c r="BC282" s="112"/>
      <c r="BD282" s="112"/>
      <c r="BE282" s="112"/>
      <c r="BF282" s="112"/>
      <c r="BG282" s="112"/>
      <c r="BH282" s="112"/>
      <c r="BI282" s="112"/>
      <c r="BK282" s="112"/>
      <c r="BL282" s="112"/>
      <c r="BM282" s="112"/>
      <c r="BN282" s="112"/>
    </row>
    <row r="283" spans="17:66" x14ac:dyDescent="0.25">
      <c r="Q283" s="112"/>
      <c r="R283" s="112"/>
      <c r="S283" s="112"/>
      <c r="T283" s="112"/>
      <c r="U283" s="112"/>
      <c r="V283" s="112"/>
      <c r="W283" s="112"/>
      <c r="X283" s="112"/>
      <c r="Y283" s="112"/>
      <c r="Z283" s="112"/>
      <c r="AA283" s="112"/>
      <c r="AB283" s="112"/>
      <c r="AC283" s="112"/>
      <c r="AD283" s="112"/>
      <c r="AE283" s="112"/>
      <c r="AF283" s="112"/>
      <c r="AG283" s="112"/>
      <c r="AH283" s="112"/>
      <c r="AI283" s="112"/>
      <c r="AJ283" s="112"/>
      <c r="AK283" s="112"/>
      <c r="AL283" s="112"/>
      <c r="AP283" s="112"/>
      <c r="AQ283" s="112"/>
      <c r="AR283" s="112"/>
      <c r="AS283" s="112"/>
      <c r="AT283" s="112"/>
      <c r="AU283" s="112"/>
      <c r="AV283" s="112"/>
      <c r="AW283" s="112"/>
      <c r="AX283" s="112"/>
      <c r="AY283" s="112"/>
      <c r="BA283" s="112"/>
      <c r="BB283" s="112"/>
      <c r="BC283" s="112"/>
      <c r="BD283" s="112"/>
      <c r="BE283" s="112"/>
      <c r="BF283" s="112"/>
      <c r="BG283" s="112"/>
      <c r="BH283" s="112"/>
      <c r="BI283" s="112"/>
      <c r="BK283" s="112"/>
      <c r="BL283" s="112"/>
      <c r="BM283" s="112"/>
      <c r="BN283" s="112"/>
    </row>
    <row r="284" spans="17:66" x14ac:dyDescent="0.25">
      <c r="Q284" s="112"/>
      <c r="R284" s="112"/>
      <c r="S284" s="112"/>
      <c r="T284" s="112"/>
      <c r="U284" s="112"/>
      <c r="V284" s="112"/>
      <c r="W284" s="112"/>
      <c r="X284" s="112"/>
      <c r="Y284" s="112"/>
      <c r="Z284" s="112"/>
      <c r="AA284" s="112"/>
      <c r="AB284" s="112"/>
      <c r="AC284" s="112"/>
      <c r="AD284" s="112"/>
      <c r="AE284" s="112"/>
      <c r="AF284" s="112"/>
      <c r="AG284" s="112"/>
      <c r="AH284" s="112"/>
      <c r="AI284" s="112"/>
      <c r="AJ284" s="112"/>
      <c r="AK284" s="112"/>
      <c r="AL284" s="112"/>
      <c r="AP284" s="112"/>
      <c r="AQ284" s="112"/>
      <c r="AR284" s="112"/>
      <c r="AS284" s="112"/>
      <c r="AT284" s="112"/>
      <c r="AU284" s="112"/>
      <c r="AV284" s="112"/>
      <c r="AW284" s="112"/>
      <c r="AX284" s="112"/>
      <c r="AY284" s="112"/>
      <c r="BA284" s="112"/>
      <c r="BB284" s="112"/>
      <c r="BC284" s="112"/>
      <c r="BD284" s="112"/>
      <c r="BE284" s="112"/>
      <c r="BF284" s="112"/>
      <c r="BG284" s="112"/>
      <c r="BH284" s="112"/>
      <c r="BI284" s="112"/>
      <c r="BK284" s="112"/>
      <c r="BL284" s="112"/>
      <c r="BM284" s="112"/>
      <c r="BN284" s="112"/>
    </row>
    <row r="285" spans="17:66" x14ac:dyDescent="0.25">
      <c r="Q285" s="112"/>
      <c r="R285" s="112"/>
      <c r="S285" s="112"/>
      <c r="T285" s="112"/>
      <c r="U285" s="112"/>
      <c r="V285" s="112"/>
      <c r="W285" s="112"/>
      <c r="X285" s="112"/>
      <c r="Y285" s="112"/>
      <c r="Z285" s="112"/>
      <c r="AA285" s="112"/>
      <c r="AB285" s="112"/>
      <c r="AC285" s="112"/>
      <c r="AD285" s="112"/>
      <c r="AE285" s="112"/>
      <c r="AF285" s="112"/>
      <c r="AG285" s="112"/>
      <c r="AH285" s="112"/>
      <c r="AI285" s="112"/>
      <c r="AJ285" s="112"/>
      <c r="AK285" s="112"/>
      <c r="AL285" s="112"/>
      <c r="AP285" s="112"/>
      <c r="AQ285" s="112"/>
      <c r="AR285" s="112"/>
      <c r="AS285" s="112"/>
      <c r="AT285" s="112"/>
      <c r="AU285" s="112"/>
      <c r="AV285" s="112"/>
      <c r="AW285" s="112"/>
      <c r="AX285" s="112"/>
      <c r="AY285" s="112"/>
      <c r="BA285" s="112"/>
      <c r="BB285" s="112"/>
      <c r="BC285" s="112"/>
      <c r="BD285" s="112"/>
      <c r="BE285" s="112"/>
      <c r="BF285" s="112"/>
      <c r="BG285" s="112"/>
      <c r="BH285" s="112"/>
      <c r="BI285" s="112"/>
      <c r="BK285" s="112"/>
      <c r="BL285" s="112"/>
      <c r="BM285" s="112"/>
      <c r="BN285" s="112"/>
    </row>
    <row r="286" spans="17:66" x14ac:dyDescent="0.25">
      <c r="Q286" s="112"/>
      <c r="R286" s="112"/>
      <c r="S286" s="112"/>
      <c r="T286" s="112"/>
      <c r="U286" s="112"/>
      <c r="V286" s="112"/>
      <c r="W286" s="112"/>
      <c r="X286" s="112"/>
      <c r="Y286" s="112"/>
      <c r="Z286" s="112"/>
      <c r="AA286" s="112"/>
      <c r="AB286" s="112"/>
      <c r="AC286" s="112"/>
      <c r="AD286" s="112"/>
      <c r="AE286" s="112"/>
      <c r="AF286" s="112"/>
      <c r="AG286" s="112"/>
      <c r="AH286" s="112"/>
      <c r="AI286" s="112"/>
      <c r="AJ286" s="112"/>
      <c r="AK286" s="112"/>
      <c r="AL286" s="112"/>
      <c r="AP286" s="112"/>
      <c r="AQ286" s="112"/>
      <c r="AR286" s="112"/>
      <c r="AS286" s="112"/>
      <c r="AT286" s="112"/>
      <c r="AU286" s="112"/>
      <c r="AV286" s="112"/>
      <c r="AW286" s="112"/>
      <c r="AX286" s="112"/>
      <c r="AY286" s="112"/>
      <c r="BA286" s="112"/>
      <c r="BB286" s="112"/>
      <c r="BC286" s="112"/>
      <c r="BD286" s="112"/>
      <c r="BE286" s="112"/>
      <c r="BF286" s="112"/>
      <c r="BG286" s="112"/>
      <c r="BH286" s="112"/>
      <c r="BI286" s="112"/>
      <c r="BK286" s="112"/>
      <c r="BL286" s="112"/>
      <c r="BM286" s="112"/>
      <c r="BN286" s="112"/>
    </row>
    <row r="287" spans="17:66" x14ac:dyDescent="0.25">
      <c r="Q287" s="112"/>
      <c r="R287" s="112"/>
      <c r="S287" s="112"/>
      <c r="T287" s="112"/>
      <c r="U287" s="112"/>
      <c r="V287" s="112"/>
      <c r="W287" s="112"/>
      <c r="X287" s="112"/>
      <c r="Y287" s="112"/>
      <c r="Z287" s="112"/>
      <c r="AA287" s="112"/>
      <c r="AB287" s="112"/>
      <c r="AC287" s="112"/>
      <c r="AD287" s="112"/>
      <c r="AE287" s="112"/>
      <c r="AF287" s="112"/>
      <c r="AG287" s="112"/>
      <c r="AH287" s="112"/>
      <c r="AI287" s="112"/>
      <c r="AJ287" s="112"/>
      <c r="AK287" s="112"/>
      <c r="AL287" s="112"/>
      <c r="AP287" s="112"/>
      <c r="AQ287" s="112"/>
      <c r="AR287" s="112"/>
      <c r="AS287" s="112"/>
      <c r="AT287" s="112"/>
      <c r="AU287" s="112"/>
      <c r="AV287" s="112"/>
      <c r="AW287" s="112"/>
      <c r="AX287" s="112"/>
      <c r="AY287" s="112"/>
      <c r="BA287" s="112"/>
      <c r="BB287" s="112"/>
      <c r="BC287" s="112"/>
      <c r="BD287" s="112"/>
      <c r="BE287" s="112"/>
      <c r="BF287" s="112"/>
      <c r="BG287" s="112"/>
      <c r="BH287" s="112"/>
      <c r="BI287" s="112"/>
      <c r="BK287" s="112"/>
      <c r="BL287" s="112"/>
      <c r="BM287" s="112"/>
      <c r="BN287" s="112"/>
    </row>
    <row r="288" spans="17:66" x14ac:dyDescent="0.25">
      <c r="Q288" s="112"/>
      <c r="R288" s="112"/>
      <c r="S288" s="112"/>
      <c r="T288" s="112"/>
      <c r="U288" s="112"/>
      <c r="V288" s="112"/>
      <c r="W288" s="112"/>
      <c r="X288" s="112"/>
      <c r="Y288" s="112"/>
      <c r="Z288" s="112"/>
      <c r="AA288" s="112"/>
      <c r="AB288" s="112"/>
      <c r="AC288" s="112"/>
      <c r="AD288" s="112"/>
      <c r="AE288" s="112"/>
      <c r="AF288" s="112"/>
      <c r="AG288" s="112"/>
      <c r="AH288" s="112"/>
      <c r="AI288" s="112"/>
      <c r="AJ288" s="112"/>
      <c r="AK288" s="112"/>
      <c r="AL288" s="112"/>
      <c r="AP288" s="112"/>
      <c r="AQ288" s="112"/>
      <c r="AR288" s="112"/>
      <c r="AS288" s="112"/>
      <c r="AT288" s="112"/>
      <c r="AU288" s="112"/>
      <c r="AV288" s="112"/>
      <c r="AW288" s="112"/>
      <c r="AX288" s="112"/>
      <c r="AY288" s="112"/>
      <c r="BA288" s="112"/>
      <c r="BB288" s="112"/>
      <c r="BC288" s="112"/>
      <c r="BD288" s="112"/>
      <c r="BE288" s="112"/>
      <c r="BF288" s="112"/>
      <c r="BG288" s="112"/>
      <c r="BH288" s="112"/>
      <c r="BI288" s="112"/>
      <c r="BK288" s="112"/>
      <c r="BL288" s="112"/>
      <c r="BM288" s="112"/>
      <c r="BN288" s="112"/>
    </row>
    <row r="289" spans="17:66" x14ac:dyDescent="0.25">
      <c r="Q289" s="112"/>
      <c r="R289" s="112"/>
      <c r="S289" s="112"/>
      <c r="T289" s="112"/>
      <c r="U289" s="112"/>
      <c r="V289" s="112"/>
      <c r="W289" s="112"/>
      <c r="X289" s="112"/>
      <c r="Y289" s="112"/>
      <c r="Z289" s="112"/>
      <c r="AA289" s="112"/>
      <c r="AB289" s="112"/>
      <c r="AC289" s="112"/>
      <c r="AD289" s="112"/>
      <c r="AE289" s="112"/>
      <c r="AF289" s="112"/>
      <c r="AG289" s="112"/>
      <c r="AH289" s="112"/>
      <c r="AI289" s="112"/>
      <c r="AJ289" s="112"/>
      <c r="AK289" s="112"/>
      <c r="AL289" s="112"/>
      <c r="AP289" s="112"/>
      <c r="AQ289" s="112"/>
      <c r="AR289" s="112"/>
      <c r="AS289" s="112"/>
      <c r="AT289" s="112"/>
      <c r="AU289" s="112"/>
      <c r="AV289" s="112"/>
      <c r="AW289" s="112"/>
      <c r="AX289" s="112"/>
      <c r="AY289" s="112"/>
      <c r="BA289" s="112"/>
      <c r="BB289" s="112"/>
      <c r="BC289" s="112"/>
      <c r="BD289" s="112"/>
      <c r="BE289" s="112"/>
      <c r="BF289" s="112"/>
      <c r="BG289" s="112"/>
      <c r="BH289" s="112"/>
      <c r="BI289" s="112"/>
      <c r="BK289" s="112"/>
      <c r="BL289" s="112"/>
      <c r="BM289" s="112"/>
      <c r="BN289" s="112"/>
    </row>
    <row r="290" spans="17:66" x14ac:dyDescent="0.25">
      <c r="Q290" s="112"/>
      <c r="R290" s="112"/>
      <c r="S290" s="112"/>
      <c r="T290" s="112"/>
      <c r="U290" s="112"/>
      <c r="V290" s="112"/>
      <c r="W290" s="112"/>
      <c r="X290" s="112"/>
      <c r="Y290" s="112"/>
      <c r="Z290" s="112"/>
      <c r="AA290" s="112"/>
      <c r="AB290" s="112"/>
      <c r="AC290" s="112"/>
      <c r="AD290" s="112"/>
      <c r="AE290" s="112"/>
      <c r="AF290" s="112"/>
      <c r="AG290" s="112"/>
      <c r="AH290" s="112"/>
      <c r="AI290" s="112"/>
      <c r="AJ290" s="112"/>
      <c r="AK290" s="112"/>
      <c r="AL290" s="112"/>
      <c r="AP290" s="112"/>
      <c r="AQ290" s="112"/>
      <c r="AR290" s="112"/>
      <c r="AS290" s="112"/>
      <c r="AT290" s="112"/>
      <c r="AU290" s="112"/>
      <c r="AV290" s="112"/>
      <c r="AW290" s="112"/>
      <c r="AX290" s="112"/>
      <c r="AY290" s="112"/>
      <c r="BA290" s="112"/>
      <c r="BB290" s="112"/>
      <c r="BC290" s="112"/>
      <c r="BD290" s="112"/>
      <c r="BE290" s="112"/>
      <c r="BF290" s="112"/>
      <c r="BG290" s="112"/>
      <c r="BH290" s="112"/>
      <c r="BI290" s="112"/>
      <c r="BK290" s="112"/>
      <c r="BL290" s="112"/>
      <c r="BM290" s="112"/>
      <c r="BN290" s="112"/>
    </row>
    <row r="291" spans="17:66" x14ac:dyDescent="0.25">
      <c r="Q291" s="112"/>
      <c r="R291" s="112"/>
      <c r="S291" s="112"/>
      <c r="T291" s="112"/>
      <c r="U291" s="112"/>
      <c r="V291" s="112"/>
      <c r="W291" s="112"/>
      <c r="X291" s="112"/>
      <c r="Y291" s="112"/>
      <c r="Z291" s="112"/>
      <c r="AA291" s="112"/>
      <c r="AB291" s="112"/>
      <c r="AC291" s="112"/>
      <c r="AD291" s="112"/>
      <c r="AE291" s="112"/>
      <c r="AF291" s="112"/>
      <c r="AG291" s="112"/>
      <c r="AH291" s="112"/>
      <c r="AI291" s="112"/>
      <c r="AJ291" s="112"/>
      <c r="AK291" s="112"/>
      <c r="AL291" s="112"/>
      <c r="AP291" s="112"/>
      <c r="AQ291" s="112"/>
      <c r="AR291" s="112"/>
      <c r="AS291" s="112"/>
      <c r="AT291" s="112"/>
      <c r="AU291" s="112"/>
      <c r="AV291" s="112"/>
      <c r="AW291" s="112"/>
      <c r="AX291" s="112"/>
      <c r="AY291" s="112"/>
      <c r="BA291" s="112"/>
      <c r="BB291" s="112"/>
      <c r="BC291" s="112"/>
      <c r="BD291" s="112"/>
      <c r="BE291" s="112"/>
      <c r="BF291" s="112"/>
      <c r="BG291" s="112"/>
      <c r="BH291" s="112"/>
      <c r="BI291" s="112"/>
      <c r="BK291" s="112"/>
      <c r="BL291" s="112"/>
      <c r="BM291" s="112"/>
      <c r="BN291" s="112"/>
    </row>
    <row r="292" spans="17:66" x14ac:dyDescent="0.25">
      <c r="Q292" s="112"/>
      <c r="R292" s="112"/>
      <c r="S292" s="112"/>
      <c r="T292" s="112"/>
      <c r="U292" s="112"/>
      <c r="V292" s="112"/>
      <c r="W292" s="112"/>
      <c r="X292" s="112"/>
      <c r="Y292" s="112"/>
      <c r="Z292" s="112"/>
      <c r="AA292" s="112"/>
      <c r="AB292" s="112"/>
      <c r="AC292" s="112"/>
      <c r="AD292" s="112"/>
      <c r="AE292" s="112"/>
      <c r="AF292" s="112"/>
      <c r="AG292" s="112"/>
      <c r="AH292" s="112"/>
      <c r="AI292" s="112"/>
      <c r="AJ292" s="112"/>
      <c r="AK292" s="112"/>
      <c r="AL292" s="112"/>
      <c r="AP292" s="112"/>
      <c r="AQ292" s="112"/>
      <c r="AR292" s="112"/>
      <c r="AS292" s="112"/>
      <c r="AT292" s="112"/>
      <c r="AU292" s="112"/>
      <c r="AV292" s="112"/>
      <c r="AW292" s="112"/>
      <c r="AX292" s="112"/>
      <c r="AY292" s="112"/>
      <c r="BA292" s="112"/>
      <c r="BB292" s="112"/>
      <c r="BC292" s="112"/>
      <c r="BD292" s="112"/>
      <c r="BE292" s="112"/>
      <c r="BF292" s="112"/>
      <c r="BG292" s="112"/>
      <c r="BH292" s="112"/>
      <c r="BI292" s="112"/>
      <c r="BK292" s="112"/>
      <c r="BL292" s="112"/>
      <c r="BM292" s="112"/>
      <c r="BN292" s="112"/>
    </row>
    <row r="293" spans="17:66" x14ac:dyDescent="0.25">
      <c r="Q293" s="112"/>
      <c r="R293" s="112"/>
      <c r="S293" s="112"/>
      <c r="T293" s="112"/>
      <c r="U293" s="112"/>
      <c r="V293" s="112"/>
      <c r="W293" s="112"/>
      <c r="X293" s="112"/>
      <c r="Y293" s="112"/>
      <c r="Z293" s="112"/>
      <c r="AA293" s="112"/>
      <c r="AB293" s="112"/>
      <c r="AC293" s="112"/>
      <c r="AD293" s="112"/>
      <c r="AE293" s="112"/>
      <c r="AF293" s="112"/>
      <c r="AG293" s="112"/>
      <c r="AH293" s="112"/>
      <c r="AI293" s="112"/>
      <c r="AJ293" s="112"/>
      <c r="AK293" s="112"/>
      <c r="AL293" s="112"/>
      <c r="AP293" s="112"/>
      <c r="AQ293" s="112"/>
      <c r="AR293" s="112"/>
      <c r="AS293" s="112"/>
      <c r="AT293" s="112"/>
      <c r="AU293" s="112"/>
      <c r="AV293" s="112"/>
      <c r="AW293" s="112"/>
      <c r="AX293" s="112"/>
      <c r="AY293" s="112"/>
      <c r="BA293" s="112"/>
      <c r="BB293" s="112"/>
      <c r="BC293" s="112"/>
      <c r="BD293" s="112"/>
      <c r="BE293" s="112"/>
      <c r="BF293" s="112"/>
      <c r="BG293" s="112"/>
      <c r="BH293" s="112"/>
      <c r="BI293" s="112"/>
      <c r="BK293" s="112"/>
      <c r="BL293" s="112"/>
      <c r="BM293" s="112"/>
      <c r="BN293" s="112"/>
    </row>
    <row r="294" spans="17:66" x14ac:dyDescent="0.25">
      <c r="Q294" s="112"/>
      <c r="R294" s="112"/>
      <c r="S294" s="112"/>
      <c r="T294" s="112"/>
      <c r="U294" s="112"/>
      <c r="V294" s="112"/>
      <c r="W294" s="112"/>
      <c r="X294" s="112"/>
      <c r="Y294" s="112"/>
      <c r="Z294" s="112"/>
      <c r="AA294" s="112"/>
      <c r="AB294" s="112"/>
      <c r="AC294" s="112"/>
      <c r="AD294" s="112"/>
      <c r="AE294" s="112"/>
      <c r="AF294" s="112"/>
      <c r="AG294" s="112"/>
      <c r="AH294" s="112"/>
      <c r="AI294" s="112"/>
      <c r="AJ294" s="112"/>
      <c r="AK294" s="112"/>
      <c r="AL294" s="112"/>
      <c r="AP294" s="112"/>
      <c r="AQ294" s="112"/>
      <c r="AR294" s="112"/>
      <c r="AS294" s="112"/>
      <c r="AT294" s="112"/>
      <c r="AU294" s="112"/>
      <c r="AV294" s="112"/>
      <c r="AW294" s="112"/>
      <c r="AX294" s="112"/>
      <c r="AY294" s="112"/>
      <c r="BA294" s="112"/>
      <c r="BB294" s="112"/>
      <c r="BC294" s="112"/>
      <c r="BD294" s="112"/>
      <c r="BE294" s="112"/>
      <c r="BF294" s="112"/>
      <c r="BG294" s="112"/>
      <c r="BH294" s="112"/>
      <c r="BI294" s="112"/>
      <c r="BK294" s="112"/>
      <c r="BL294" s="112"/>
      <c r="BM294" s="112"/>
      <c r="BN294" s="112"/>
    </row>
    <row r="295" spans="17:66" x14ac:dyDescent="0.25">
      <c r="Q295" s="112"/>
      <c r="R295" s="112"/>
      <c r="S295" s="112"/>
      <c r="T295" s="112"/>
      <c r="U295" s="112"/>
      <c r="V295" s="112"/>
      <c r="W295" s="112"/>
      <c r="X295" s="112"/>
      <c r="Y295" s="112"/>
      <c r="Z295" s="112"/>
      <c r="AA295" s="112"/>
      <c r="AB295" s="112"/>
      <c r="AC295" s="112"/>
      <c r="AD295" s="112"/>
      <c r="AE295" s="112"/>
      <c r="AF295" s="112"/>
      <c r="AG295" s="112"/>
      <c r="AH295" s="112"/>
      <c r="AI295" s="112"/>
      <c r="AJ295" s="112"/>
      <c r="AK295" s="112"/>
      <c r="AL295" s="112"/>
      <c r="AP295" s="112"/>
      <c r="AQ295" s="112"/>
      <c r="AR295" s="112"/>
      <c r="AS295" s="112"/>
      <c r="AT295" s="112"/>
      <c r="AU295" s="112"/>
      <c r="AV295" s="112"/>
      <c r="AW295" s="112"/>
      <c r="AX295" s="112"/>
      <c r="AY295" s="112"/>
      <c r="BA295" s="112"/>
      <c r="BB295" s="112"/>
      <c r="BC295" s="112"/>
      <c r="BD295" s="112"/>
      <c r="BE295" s="112"/>
      <c r="BF295" s="112"/>
      <c r="BG295" s="112"/>
      <c r="BH295" s="112"/>
      <c r="BI295" s="112"/>
      <c r="BK295" s="112"/>
      <c r="BL295" s="112"/>
      <c r="BM295" s="112"/>
      <c r="BN295" s="112"/>
    </row>
    <row r="296" spans="17:66" x14ac:dyDescent="0.25">
      <c r="Q296" s="112"/>
      <c r="R296" s="112"/>
      <c r="S296" s="112"/>
      <c r="T296" s="112"/>
      <c r="U296" s="112"/>
      <c r="V296" s="112"/>
      <c r="W296" s="112"/>
      <c r="X296" s="112"/>
      <c r="Y296" s="112"/>
      <c r="Z296" s="112"/>
      <c r="AA296" s="112"/>
      <c r="AB296" s="112"/>
      <c r="AC296" s="112"/>
      <c r="AD296" s="112"/>
      <c r="AE296" s="112"/>
      <c r="AF296" s="112"/>
      <c r="AG296" s="112"/>
      <c r="AH296" s="112"/>
      <c r="AI296" s="112"/>
      <c r="AJ296" s="112"/>
      <c r="AK296" s="112"/>
      <c r="AL296" s="112"/>
      <c r="AP296" s="112"/>
      <c r="AQ296" s="112"/>
      <c r="AR296" s="112"/>
      <c r="AS296" s="112"/>
      <c r="AT296" s="112"/>
      <c r="AU296" s="112"/>
      <c r="AV296" s="112"/>
      <c r="AW296" s="112"/>
      <c r="AX296" s="112"/>
      <c r="AY296" s="112"/>
      <c r="BA296" s="112"/>
      <c r="BB296" s="112"/>
      <c r="BC296" s="112"/>
      <c r="BD296" s="112"/>
      <c r="BE296" s="112"/>
      <c r="BF296" s="112"/>
      <c r="BG296" s="112"/>
      <c r="BH296" s="112"/>
      <c r="BI296" s="112"/>
      <c r="BK296" s="112"/>
      <c r="BL296" s="112"/>
      <c r="BM296" s="112"/>
      <c r="BN296" s="112"/>
    </row>
    <row r="297" spans="17:66" x14ac:dyDescent="0.25">
      <c r="Q297" s="112"/>
      <c r="R297" s="112"/>
      <c r="S297" s="112"/>
      <c r="T297" s="112"/>
      <c r="U297" s="112"/>
      <c r="V297" s="112"/>
      <c r="W297" s="112"/>
      <c r="X297" s="112"/>
      <c r="Y297" s="112"/>
      <c r="Z297" s="112"/>
      <c r="AA297" s="112"/>
      <c r="AB297" s="112"/>
      <c r="AC297" s="112"/>
      <c r="AD297" s="112"/>
      <c r="AE297" s="112"/>
      <c r="AF297" s="112"/>
      <c r="AG297" s="112"/>
      <c r="AH297" s="112"/>
      <c r="AI297" s="112"/>
      <c r="AJ297" s="112"/>
      <c r="AK297" s="112"/>
      <c r="AL297" s="112"/>
      <c r="AP297" s="112"/>
      <c r="AQ297" s="112"/>
      <c r="AR297" s="112"/>
      <c r="AS297" s="112"/>
      <c r="AT297" s="112"/>
      <c r="AU297" s="112"/>
      <c r="AV297" s="112"/>
      <c r="AW297" s="112"/>
      <c r="AX297" s="112"/>
      <c r="AY297" s="112"/>
      <c r="BA297" s="112"/>
      <c r="BB297" s="112"/>
      <c r="BC297" s="112"/>
      <c r="BD297" s="112"/>
      <c r="BE297" s="112"/>
      <c r="BF297" s="112"/>
      <c r="BG297" s="112"/>
      <c r="BH297" s="112"/>
      <c r="BI297" s="112"/>
      <c r="BK297" s="112"/>
      <c r="BL297" s="112"/>
      <c r="BM297" s="112"/>
      <c r="BN297" s="112"/>
    </row>
    <row r="298" spans="17:66" x14ac:dyDescent="0.25">
      <c r="Q298" s="112"/>
      <c r="R298" s="112"/>
      <c r="S298" s="112"/>
      <c r="T298" s="112"/>
      <c r="U298" s="112"/>
      <c r="V298" s="112"/>
      <c r="W298" s="112"/>
      <c r="X298" s="112"/>
      <c r="Y298" s="112"/>
      <c r="Z298" s="112"/>
      <c r="AA298" s="112"/>
      <c r="AB298" s="112"/>
      <c r="AC298" s="112"/>
      <c r="AD298" s="112"/>
      <c r="AE298" s="112"/>
      <c r="AF298" s="112"/>
      <c r="AG298" s="112"/>
      <c r="AH298" s="112"/>
      <c r="AI298" s="112"/>
      <c r="AJ298" s="112"/>
      <c r="AK298" s="112"/>
      <c r="AL298" s="112"/>
      <c r="AP298" s="112"/>
      <c r="AQ298" s="112"/>
      <c r="AR298" s="112"/>
      <c r="AS298" s="112"/>
      <c r="AT298" s="112"/>
      <c r="AU298" s="112"/>
      <c r="AV298" s="112"/>
      <c r="AW298" s="112"/>
      <c r="AX298" s="112"/>
      <c r="AY298" s="112"/>
      <c r="BA298" s="112"/>
      <c r="BB298" s="112"/>
      <c r="BC298" s="112"/>
      <c r="BD298" s="112"/>
      <c r="BE298" s="112"/>
      <c r="BF298" s="112"/>
      <c r="BG298" s="112"/>
      <c r="BH298" s="112"/>
      <c r="BI298" s="112"/>
      <c r="BK298" s="112"/>
      <c r="BL298" s="112"/>
      <c r="BM298" s="112"/>
      <c r="BN298" s="112"/>
    </row>
    <row r="299" spans="17:66" x14ac:dyDescent="0.25">
      <c r="Q299" s="112"/>
      <c r="R299" s="112"/>
      <c r="S299" s="112"/>
      <c r="T299" s="112"/>
      <c r="U299" s="112"/>
      <c r="V299" s="112"/>
      <c r="W299" s="112"/>
      <c r="X299" s="112"/>
      <c r="Y299" s="112"/>
      <c r="Z299" s="112"/>
      <c r="AA299" s="112"/>
      <c r="AB299" s="112"/>
      <c r="AC299" s="112"/>
      <c r="AD299" s="112"/>
      <c r="AE299" s="112"/>
      <c r="AF299" s="112"/>
      <c r="AG299" s="112"/>
      <c r="AH299" s="112"/>
      <c r="AI299" s="112"/>
      <c r="AJ299" s="112"/>
      <c r="AK299" s="112"/>
      <c r="AL299" s="112"/>
      <c r="AP299" s="112"/>
      <c r="AQ299" s="112"/>
      <c r="AR299" s="112"/>
      <c r="AS299" s="112"/>
      <c r="AT299" s="112"/>
      <c r="AU299" s="112"/>
      <c r="AV299" s="112"/>
      <c r="AW299" s="112"/>
      <c r="AX299" s="112"/>
      <c r="AY299" s="112"/>
      <c r="BA299" s="112"/>
      <c r="BB299" s="112"/>
      <c r="BC299" s="112"/>
      <c r="BD299" s="112"/>
      <c r="BE299" s="112"/>
      <c r="BF299" s="112"/>
      <c r="BG299" s="112"/>
      <c r="BH299" s="112"/>
      <c r="BI299" s="112"/>
      <c r="BK299" s="112"/>
      <c r="BL299" s="112"/>
      <c r="BM299" s="112"/>
      <c r="BN299" s="112"/>
    </row>
    <row r="300" spans="17:66" x14ac:dyDescent="0.25">
      <c r="Q300" s="112"/>
      <c r="R300" s="112"/>
      <c r="S300" s="112"/>
      <c r="T300" s="112"/>
      <c r="U300" s="112"/>
      <c r="V300" s="112"/>
      <c r="W300" s="112"/>
      <c r="X300" s="112"/>
      <c r="Y300" s="112"/>
      <c r="Z300" s="112"/>
      <c r="AA300" s="112"/>
      <c r="AB300" s="112"/>
      <c r="AC300" s="112"/>
      <c r="AD300" s="112"/>
      <c r="AE300" s="112"/>
      <c r="AF300" s="112"/>
      <c r="AG300" s="112"/>
      <c r="AH300" s="112"/>
      <c r="AI300" s="112"/>
      <c r="AJ300" s="112"/>
      <c r="AK300" s="112"/>
      <c r="AL300" s="112"/>
      <c r="AP300" s="112"/>
      <c r="AQ300" s="112"/>
      <c r="AR300" s="112"/>
      <c r="AS300" s="112"/>
      <c r="AT300" s="112"/>
      <c r="AU300" s="112"/>
      <c r="AV300" s="112"/>
      <c r="AW300" s="112"/>
      <c r="AX300" s="112"/>
      <c r="AY300" s="112"/>
      <c r="BA300" s="112"/>
      <c r="BB300" s="112"/>
      <c r="BC300" s="112"/>
      <c r="BD300" s="112"/>
      <c r="BE300" s="112"/>
      <c r="BF300" s="112"/>
      <c r="BG300" s="112"/>
      <c r="BH300" s="112"/>
      <c r="BI300" s="112"/>
      <c r="BK300" s="112"/>
      <c r="BL300" s="112"/>
      <c r="BM300" s="112"/>
      <c r="BN300" s="112"/>
    </row>
    <row r="301" spans="17:66" x14ac:dyDescent="0.25">
      <c r="Q301" s="112"/>
      <c r="R301" s="112"/>
      <c r="S301" s="112"/>
      <c r="T301" s="112"/>
      <c r="U301" s="112"/>
      <c r="V301" s="112"/>
      <c r="W301" s="112"/>
      <c r="X301" s="112"/>
      <c r="Y301" s="112"/>
      <c r="Z301" s="112"/>
      <c r="AA301" s="112"/>
      <c r="AB301" s="112"/>
      <c r="AC301" s="112"/>
      <c r="AD301" s="112"/>
      <c r="AE301" s="112"/>
      <c r="AF301" s="112"/>
      <c r="AG301" s="112"/>
      <c r="AH301" s="112"/>
      <c r="AI301" s="112"/>
      <c r="AJ301" s="112"/>
      <c r="AK301" s="112"/>
      <c r="AL301" s="112"/>
      <c r="AP301" s="112"/>
      <c r="AQ301" s="112"/>
      <c r="AR301" s="112"/>
      <c r="AS301" s="112"/>
      <c r="AT301" s="112"/>
      <c r="AU301" s="112"/>
      <c r="AV301" s="112"/>
      <c r="AW301" s="112"/>
      <c r="AX301" s="112"/>
      <c r="AY301" s="112"/>
      <c r="BA301" s="112"/>
      <c r="BB301" s="112"/>
      <c r="BC301" s="112"/>
      <c r="BD301" s="112"/>
      <c r="BE301" s="112"/>
      <c r="BF301" s="112"/>
      <c r="BG301" s="112"/>
      <c r="BH301" s="112"/>
      <c r="BI301" s="112"/>
      <c r="BK301" s="112"/>
      <c r="BL301" s="112"/>
      <c r="BM301" s="112"/>
      <c r="BN301" s="112"/>
    </row>
    <row r="302" spans="17:66" x14ac:dyDescent="0.25">
      <c r="Q302" s="112"/>
      <c r="R302" s="112"/>
      <c r="S302" s="112"/>
      <c r="T302" s="112"/>
      <c r="U302" s="112"/>
      <c r="V302" s="112"/>
      <c r="W302" s="112"/>
      <c r="X302" s="112"/>
      <c r="Y302" s="112"/>
      <c r="Z302" s="112"/>
      <c r="AA302" s="112"/>
      <c r="AB302" s="112"/>
      <c r="AC302" s="112"/>
      <c r="AD302" s="112"/>
      <c r="AE302" s="112"/>
      <c r="AF302" s="112"/>
      <c r="AG302" s="112"/>
      <c r="AH302" s="112"/>
      <c r="AI302" s="112"/>
      <c r="AJ302" s="112"/>
      <c r="AK302" s="112"/>
      <c r="AL302" s="112"/>
      <c r="AP302" s="112"/>
      <c r="AQ302" s="112"/>
      <c r="AR302" s="112"/>
      <c r="AS302" s="112"/>
      <c r="AT302" s="112"/>
      <c r="AU302" s="112"/>
      <c r="AV302" s="112"/>
      <c r="AW302" s="112"/>
      <c r="AX302" s="112"/>
      <c r="AY302" s="112"/>
      <c r="BA302" s="112"/>
      <c r="BB302" s="112"/>
      <c r="BC302" s="112"/>
      <c r="BD302" s="112"/>
      <c r="BE302" s="112"/>
      <c r="BF302" s="112"/>
      <c r="BG302" s="112"/>
      <c r="BH302" s="112"/>
      <c r="BI302" s="112"/>
      <c r="BK302" s="112"/>
      <c r="BL302" s="112"/>
      <c r="BM302" s="112"/>
      <c r="BN302" s="112"/>
    </row>
    <row r="303" spans="17:66" x14ac:dyDescent="0.25">
      <c r="Q303" s="112"/>
      <c r="R303" s="112"/>
      <c r="S303" s="112"/>
      <c r="T303" s="112"/>
      <c r="U303" s="112"/>
      <c r="V303" s="112"/>
      <c r="W303" s="112"/>
      <c r="X303" s="112"/>
      <c r="Y303" s="112"/>
      <c r="Z303" s="112"/>
      <c r="AA303" s="112"/>
      <c r="AB303" s="112"/>
      <c r="AC303" s="112"/>
      <c r="AD303" s="112"/>
      <c r="AE303" s="112"/>
      <c r="AF303" s="112"/>
      <c r="AG303" s="112"/>
      <c r="AH303" s="112"/>
      <c r="AI303" s="112"/>
      <c r="AJ303" s="112"/>
      <c r="AK303" s="112"/>
      <c r="AL303" s="112"/>
      <c r="AP303" s="112"/>
      <c r="AQ303" s="112"/>
      <c r="AR303" s="112"/>
      <c r="AS303" s="112"/>
      <c r="AT303" s="112"/>
      <c r="AU303" s="112"/>
      <c r="AV303" s="112"/>
      <c r="AW303" s="112"/>
      <c r="AX303" s="112"/>
      <c r="AY303" s="112"/>
      <c r="BA303" s="112"/>
      <c r="BB303" s="112"/>
      <c r="BC303" s="112"/>
      <c r="BD303" s="112"/>
      <c r="BE303" s="112"/>
      <c r="BF303" s="112"/>
      <c r="BG303" s="112"/>
      <c r="BH303" s="112"/>
      <c r="BI303" s="112"/>
      <c r="BK303" s="112"/>
      <c r="BL303" s="112"/>
      <c r="BM303" s="112"/>
      <c r="BN303" s="112"/>
    </row>
    <row r="304" spans="17:66" x14ac:dyDescent="0.25">
      <c r="Q304" s="112"/>
      <c r="R304" s="112"/>
      <c r="S304" s="112"/>
      <c r="T304" s="112"/>
      <c r="U304" s="112"/>
      <c r="V304" s="112"/>
      <c r="W304" s="112"/>
      <c r="X304" s="112"/>
      <c r="Y304" s="112"/>
      <c r="Z304" s="112"/>
      <c r="AA304" s="112"/>
      <c r="AB304" s="112"/>
      <c r="AC304" s="112"/>
      <c r="AD304" s="112"/>
      <c r="AE304" s="112"/>
      <c r="AF304" s="112"/>
      <c r="AG304" s="112"/>
      <c r="AH304" s="112"/>
      <c r="AI304" s="112"/>
      <c r="AJ304" s="112"/>
      <c r="AK304" s="112"/>
      <c r="AL304" s="112"/>
      <c r="AP304" s="112"/>
      <c r="AQ304" s="112"/>
      <c r="AR304" s="112"/>
      <c r="AS304" s="112"/>
      <c r="AT304" s="112"/>
      <c r="AU304" s="112"/>
      <c r="AV304" s="112"/>
      <c r="AW304" s="112"/>
      <c r="AX304" s="112"/>
      <c r="AY304" s="112"/>
      <c r="BA304" s="112"/>
      <c r="BB304" s="112"/>
      <c r="BC304" s="112"/>
      <c r="BD304" s="112"/>
      <c r="BE304" s="112"/>
      <c r="BF304" s="112"/>
      <c r="BG304" s="112"/>
      <c r="BH304" s="112"/>
      <c r="BI304" s="112"/>
      <c r="BK304" s="112"/>
      <c r="BL304" s="112"/>
      <c r="BM304" s="112"/>
      <c r="BN304" s="112"/>
    </row>
    <row r="305" spans="17:66" x14ac:dyDescent="0.25">
      <c r="Q305" s="112"/>
      <c r="R305" s="112"/>
      <c r="S305" s="112"/>
      <c r="T305" s="112"/>
      <c r="U305" s="112"/>
      <c r="V305" s="112"/>
      <c r="W305" s="112"/>
      <c r="X305" s="112"/>
      <c r="Y305" s="112"/>
      <c r="Z305" s="112"/>
      <c r="AA305" s="112"/>
      <c r="AB305" s="112"/>
      <c r="AC305" s="112"/>
      <c r="AD305" s="112"/>
      <c r="AE305" s="112"/>
      <c r="AF305" s="112"/>
      <c r="AG305" s="112"/>
      <c r="AH305" s="112"/>
      <c r="AI305" s="112"/>
      <c r="AJ305" s="112"/>
      <c r="AK305" s="112"/>
      <c r="AL305" s="112"/>
      <c r="AP305" s="112"/>
      <c r="AQ305" s="112"/>
      <c r="AR305" s="112"/>
      <c r="AS305" s="112"/>
      <c r="AT305" s="112"/>
      <c r="AU305" s="112"/>
      <c r="AV305" s="112"/>
      <c r="AW305" s="112"/>
      <c r="AX305" s="112"/>
      <c r="AY305" s="112"/>
      <c r="BA305" s="112"/>
      <c r="BB305" s="112"/>
      <c r="BC305" s="112"/>
      <c r="BD305" s="112"/>
      <c r="BE305" s="112"/>
      <c r="BF305" s="112"/>
      <c r="BG305" s="112"/>
      <c r="BH305" s="112"/>
      <c r="BI305" s="112"/>
      <c r="BK305" s="112"/>
      <c r="BL305" s="112"/>
      <c r="BM305" s="112"/>
      <c r="BN305" s="112"/>
    </row>
    <row r="306" spans="17:66" x14ac:dyDescent="0.25">
      <c r="Q306" s="112"/>
      <c r="R306" s="112"/>
      <c r="S306" s="112"/>
      <c r="T306" s="112"/>
      <c r="U306" s="112"/>
      <c r="V306" s="112"/>
      <c r="W306" s="112"/>
      <c r="X306" s="112"/>
      <c r="Y306" s="112"/>
      <c r="Z306" s="112"/>
      <c r="AA306" s="112"/>
      <c r="AB306" s="112"/>
      <c r="AC306" s="112"/>
      <c r="AD306" s="112"/>
      <c r="AE306" s="112"/>
      <c r="AF306" s="112"/>
      <c r="AG306" s="112"/>
      <c r="AH306" s="112"/>
      <c r="AI306" s="112"/>
      <c r="AJ306" s="112"/>
      <c r="AK306" s="112"/>
      <c r="AL306" s="112"/>
      <c r="AP306" s="112"/>
      <c r="AQ306" s="112"/>
      <c r="AR306" s="112"/>
      <c r="AS306" s="112"/>
      <c r="AT306" s="112"/>
      <c r="AU306" s="112"/>
      <c r="AV306" s="112"/>
      <c r="AW306" s="112"/>
      <c r="AX306" s="112"/>
      <c r="AY306" s="112"/>
      <c r="BA306" s="112"/>
      <c r="BB306" s="112"/>
      <c r="BC306" s="112"/>
      <c r="BD306" s="112"/>
      <c r="BE306" s="112"/>
      <c r="BF306" s="112"/>
      <c r="BG306" s="112"/>
      <c r="BH306" s="112"/>
      <c r="BI306" s="112"/>
      <c r="BK306" s="112"/>
      <c r="BL306" s="112"/>
      <c r="BM306" s="112"/>
      <c r="BN306" s="112"/>
    </row>
    <row r="307" spans="17:66" x14ac:dyDescent="0.25">
      <c r="Q307" s="112"/>
      <c r="R307" s="112"/>
      <c r="S307" s="112"/>
      <c r="T307" s="112"/>
      <c r="U307" s="112"/>
      <c r="V307" s="112"/>
      <c r="W307" s="112"/>
      <c r="X307" s="112"/>
      <c r="Y307" s="112"/>
      <c r="Z307" s="112"/>
      <c r="AA307" s="112"/>
      <c r="AB307" s="112"/>
      <c r="AC307" s="112"/>
      <c r="AD307" s="112"/>
      <c r="AE307" s="112"/>
      <c r="AF307" s="112"/>
      <c r="AG307" s="112"/>
      <c r="AH307" s="112"/>
      <c r="AI307" s="112"/>
      <c r="AJ307" s="112"/>
      <c r="AK307" s="112"/>
      <c r="AL307" s="112"/>
      <c r="AP307" s="112"/>
      <c r="AQ307" s="112"/>
      <c r="AR307" s="112"/>
      <c r="AS307" s="112"/>
      <c r="AT307" s="112"/>
      <c r="AU307" s="112"/>
      <c r="AV307" s="112"/>
      <c r="AW307" s="112"/>
      <c r="AX307" s="112"/>
      <c r="AY307" s="112"/>
      <c r="BA307" s="112"/>
      <c r="BB307" s="112"/>
      <c r="BC307" s="112"/>
      <c r="BD307" s="112"/>
      <c r="BE307" s="112"/>
      <c r="BF307" s="112"/>
      <c r="BG307" s="112"/>
      <c r="BH307" s="112"/>
      <c r="BI307" s="112"/>
      <c r="BK307" s="112"/>
      <c r="BL307" s="112"/>
      <c r="BM307" s="112"/>
      <c r="BN307" s="112"/>
    </row>
    <row r="308" spans="17:66" x14ac:dyDescent="0.25">
      <c r="Q308" s="112"/>
      <c r="R308" s="112"/>
      <c r="S308" s="112"/>
      <c r="T308" s="112"/>
      <c r="U308" s="112"/>
      <c r="V308" s="112"/>
      <c r="W308" s="112"/>
      <c r="X308" s="112"/>
      <c r="Y308" s="112"/>
      <c r="Z308" s="112"/>
      <c r="AA308" s="112"/>
      <c r="AB308" s="112"/>
      <c r="AC308" s="112"/>
      <c r="AD308" s="112"/>
      <c r="AE308" s="112"/>
      <c r="AF308" s="112"/>
      <c r="AG308" s="112"/>
      <c r="AH308" s="112"/>
      <c r="AI308" s="112"/>
      <c r="AJ308" s="112"/>
      <c r="AK308" s="112"/>
      <c r="AL308" s="112"/>
      <c r="AP308" s="112"/>
      <c r="AQ308" s="112"/>
      <c r="AR308" s="112"/>
      <c r="AS308" s="112"/>
      <c r="AT308" s="112"/>
      <c r="AU308" s="112"/>
      <c r="AV308" s="112"/>
      <c r="AW308" s="112"/>
      <c r="AX308" s="112"/>
      <c r="AY308" s="112"/>
      <c r="BA308" s="112"/>
      <c r="BB308" s="112"/>
      <c r="BC308" s="112"/>
      <c r="BD308" s="112"/>
      <c r="BE308" s="112"/>
      <c r="BF308" s="112"/>
      <c r="BG308" s="112"/>
      <c r="BH308" s="112"/>
      <c r="BI308" s="112"/>
      <c r="BK308" s="112"/>
      <c r="BL308" s="112"/>
      <c r="BM308" s="112"/>
      <c r="BN308" s="112"/>
    </row>
    <row r="309" spans="17:66" x14ac:dyDescent="0.25">
      <c r="Q309" s="112"/>
      <c r="R309" s="112"/>
      <c r="S309" s="112"/>
      <c r="T309" s="112"/>
      <c r="U309" s="112"/>
      <c r="V309" s="112"/>
      <c r="W309" s="112"/>
      <c r="X309" s="112"/>
      <c r="Y309" s="112"/>
      <c r="Z309" s="112"/>
      <c r="AA309" s="112"/>
      <c r="AB309" s="112"/>
      <c r="AC309" s="112"/>
      <c r="AD309" s="112"/>
      <c r="AE309" s="112"/>
      <c r="AF309" s="112"/>
      <c r="AG309" s="112"/>
      <c r="AH309" s="112"/>
      <c r="AI309" s="112"/>
      <c r="AJ309" s="112"/>
      <c r="AK309" s="112"/>
      <c r="AL309" s="112"/>
      <c r="AP309" s="112"/>
      <c r="AQ309" s="112"/>
      <c r="AR309" s="112"/>
      <c r="AS309" s="112"/>
      <c r="AT309" s="112"/>
      <c r="AU309" s="112"/>
      <c r="AV309" s="112"/>
      <c r="AW309" s="112"/>
      <c r="AX309" s="112"/>
      <c r="AY309" s="112"/>
      <c r="BA309" s="112"/>
      <c r="BB309" s="112"/>
      <c r="BC309" s="112"/>
      <c r="BD309" s="112"/>
      <c r="BE309" s="112"/>
      <c r="BF309" s="112"/>
      <c r="BG309" s="112"/>
      <c r="BH309" s="112"/>
      <c r="BI309" s="112"/>
      <c r="BK309" s="112"/>
      <c r="BL309" s="112"/>
      <c r="BM309" s="112"/>
      <c r="BN309" s="112"/>
    </row>
    <row r="310" spans="17:66" x14ac:dyDescent="0.25">
      <c r="Q310" s="112"/>
      <c r="R310" s="112"/>
      <c r="S310" s="112"/>
      <c r="T310" s="112"/>
      <c r="U310" s="112"/>
      <c r="V310" s="112"/>
      <c r="W310" s="112"/>
      <c r="X310" s="112"/>
      <c r="Y310" s="112"/>
      <c r="Z310" s="112"/>
      <c r="AA310" s="112"/>
      <c r="AB310" s="112"/>
      <c r="AC310" s="112"/>
      <c r="AD310" s="112"/>
      <c r="AE310" s="112"/>
      <c r="AF310" s="112"/>
      <c r="AG310" s="112"/>
      <c r="AH310" s="112"/>
      <c r="AI310" s="112"/>
      <c r="AJ310" s="112"/>
      <c r="AK310" s="112"/>
      <c r="AL310" s="112"/>
      <c r="AP310" s="112"/>
      <c r="AQ310" s="112"/>
      <c r="AR310" s="112"/>
      <c r="AS310" s="112"/>
      <c r="AT310" s="112"/>
      <c r="AU310" s="112"/>
      <c r="AV310" s="112"/>
      <c r="AW310" s="112"/>
      <c r="AX310" s="112"/>
      <c r="AY310" s="112"/>
      <c r="BA310" s="112"/>
      <c r="BB310" s="112"/>
      <c r="BC310" s="112"/>
      <c r="BD310" s="112"/>
      <c r="BE310" s="112"/>
      <c r="BF310" s="112"/>
      <c r="BG310" s="112"/>
      <c r="BH310" s="112"/>
      <c r="BI310" s="112"/>
      <c r="BK310" s="112"/>
      <c r="BL310" s="112"/>
      <c r="BM310" s="112"/>
      <c r="BN310" s="112"/>
    </row>
    <row r="311" spans="17:66" x14ac:dyDescent="0.25">
      <c r="Q311" s="112"/>
      <c r="R311" s="112"/>
      <c r="S311" s="112"/>
      <c r="T311" s="112"/>
      <c r="U311" s="112"/>
      <c r="V311" s="112"/>
      <c r="W311" s="112"/>
      <c r="X311" s="112"/>
      <c r="Y311" s="112"/>
      <c r="Z311" s="112"/>
      <c r="AA311" s="112"/>
      <c r="AB311" s="112"/>
      <c r="AC311" s="112"/>
      <c r="AD311" s="112"/>
      <c r="AE311" s="112"/>
      <c r="AF311" s="112"/>
      <c r="AG311" s="112"/>
      <c r="AH311" s="112"/>
      <c r="AI311" s="112"/>
      <c r="AJ311" s="112"/>
      <c r="AK311" s="112"/>
      <c r="AL311" s="112"/>
      <c r="AP311" s="112"/>
      <c r="AQ311" s="112"/>
      <c r="AR311" s="112"/>
      <c r="AS311" s="112"/>
      <c r="AT311" s="112"/>
      <c r="AU311" s="112"/>
      <c r="AV311" s="112"/>
      <c r="AW311" s="112"/>
      <c r="AX311" s="112"/>
      <c r="AY311" s="112"/>
      <c r="BA311" s="112"/>
      <c r="BB311" s="112"/>
      <c r="BC311" s="112"/>
      <c r="BD311" s="112"/>
      <c r="BE311" s="112"/>
      <c r="BF311" s="112"/>
      <c r="BG311" s="112"/>
      <c r="BH311" s="112"/>
      <c r="BI311" s="112"/>
      <c r="BK311" s="112"/>
      <c r="BL311" s="112"/>
      <c r="BM311" s="112"/>
      <c r="BN311" s="112"/>
    </row>
    <row r="312" spans="17:66" x14ac:dyDescent="0.25">
      <c r="Q312" s="112"/>
      <c r="R312" s="112"/>
      <c r="S312" s="112"/>
      <c r="T312" s="112"/>
      <c r="U312" s="112"/>
      <c r="V312" s="112"/>
      <c r="W312" s="112"/>
      <c r="X312" s="112"/>
      <c r="Y312" s="112"/>
      <c r="Z312" s="112"/>
      <c r="AA312" s="112"/>
      <c r="AB312" s="112"/>
      <c r="AC312" s="112"/>
      <c r="AD312" s="112"/>
      <c r="AE312" s="112"/>
      <c r="AF312" s="112"/>
      <c r="AG312" s="112"/>
      <c r="AH312" s="112"/>
      <c r="AI312" s="112"/>
      <c r="AJ312" s="112"/>
      <c r="AK312" s="112"/>
      <c r="AL312" s="112"/>
      <c r="AP312" s="112"/>
      <c r="AQ312" s="112"/>
      <c r="AR312" s="112"/>
      <c r="AS312" s="112"/>
      <c r="AT312" s="112"/>
      <c r="AU312" s="112"/>
      <c r="AV312" s="112"/>
      <c r="AW312" s="112"/>
      <c r="AX312" s="112"/>
      <c r="AY312" s="112"/>
      <c r="BA312" s="112"/>
      <c r="BB312" s="112"/>
      <c r="BC312" s="112"/>
      <c r="BD312" s="112"/>
      <c r="BE312" s="112"/>
      <c r="BF312" s="112"/>
      <c r="BG312" s="112"/>
      <c r="BH312" s="112"/>
      <c r="BI312" s="112"/>
      <c r="BK312" s="112"/>
      <c r="BL312" s="112"/>
      <c r="BM312" s="112"/>
      <c r="BN312" s="112"/>
    </row>
    <row r="313" spans="17:66" x14ac:dyDescent="0.25">
      <c r="Q313" s="112"/>
      <c r="R313" s="112"/>
      <c r="S313" s="112"/>
      <c r="T313" s="112"/>
      <c r="U313" s="112"/>
      <c r="V313" s="112"/>
      <c r="W313" s="112"/>
      <c r="X313" s="112"/>
      <c r="Y313" s="112"/>
      <c r="Z313" s="112"/>
      <c r="AA313" s="112"/>
      <c r="AB313" s="112"/>
      <c r="AC313" s="112"/>
      <c r="AD313" s="112"/>
      <c r="AE313" s="112"/>
      <c r="AF313" s="112"/>
      <c r="AG313" s="112"/>
      <c r="AH313" s="112"/>
      <c r="AI313" s="112"/>
      <c r="AJ313" s="112"/>
      <c r="AK313" s="112"/>
      <c r="AL313" s="112"/>
      <c r="AP313" s="112"/>
      <c r="AQ313" s="112"/>
      <c r="AR313" s="112"/>
      <c r="AS313" s="112"/>
      <c r="AT313" s="112"/>
      <c r="AU313" s="112"/>
      <c r="AV313" s="112"/>
      <c r="AW313" s="112"/>
      <c r="AX313" s="112"/>
      <c r="AY313" s="112"/>
      <c r="BA313" s="112"/>
      <c r="BB313" s="112"/>
      <c r="BC313" s="112"/>
      <c r="BD313" s="112"/>
      <c r="BE313" s="112"/>
      <c r="BF313" s="112"/>
      <c r="BG313" s="112"/>
      <c r="BH313" s="112"/>
      <c r="BI313" s="112"/>
      <c r="BK313" s="112"/>
      <c r="BL313" s="112"/>
      <c r="BM313" s="112"/>
      <c r="BN313" s="112"/>
    </row>
    <row r="314" spans="17:66" x14ac:dyDescent="0.25">
      <c r="Q314" s="112"/>
      <c r="R314" s="112"/>
      <c r="S314" s="112"/>
      <c r="T314" s="112"/>
      <c r="U314" s="112"/>
      <c r="V314" s="112"/>
      <c r="W314" s="112"/>
      <c r="X314" s="112"/>
      <c r="Y314" s="112"/>
      <c r="Z314" s="112"/>
      <c r="AA314" s="112"/>
      <c r="AB314" s="112"/>
      <c r="AC314" s="112"/>
      <c r="AD314" s="112"/>
      <c r="AE314" s="112"/>
      <c r="AF314" s="112"/>
      <c r="AG314" s="112"/>
      <c r="AH314" s="112"/>
      <c r="AI314" s="112"/>
      <c r="AJ314" s="112"/>
      <c r="AK314" s="112"/>
      <c r="AL314" s="112"/>
      <c r="AP314" s="112"/>
      <c r="AQ314" s="112"/>
      <c r="AR314" s="112"/>
      <c r="AS314" s="112"/>
      <c r="AT314" s="112"/>
      <c r="AU314" s="112"/>
      <c r="AV314" s="112"/>
      <c r="AW314" s="112"/>
      <c r="AX314" s="112"/>
      <c r="AY314" s="112"/>
      <c r="BA314" s="112"/>
      <c r="BB314" s="112"/>
      <c r="BC314" s="112"/>
      <c r="BD314" s="112"/>
      <c r="BE314" s="112"/>
      <c r="BF314" s="112"/>
      <c r="BG314" s="112"/>
      <c r="BH314" s="112"/>
      <c r="BI314" s="112"/>
      <c r="BK314" s="112"/>
      <c r="BL314" s="112"/>
      <c r="BM314" s="112"/>
      <c r="BN314" s="112"/>
    </row>
    <row r="315" spans="17:66" x14ac:dyDescent="0.25">
      <c r="Q315" s="112"/>
      <c r="R315" s="112"/>
      <c r="S315" s="112"/>
      <c r="T315" s="112"/>
      <c r="U315" s="112"/>
      <c r="V315" s="112"/>
      <c r="W315" s="112"/>
      <c r="X315" s="112"/>
      <c r="Y315" s="112"/>
      <c r="Z315" s="112"/>
      <c r="AA315" s="112"/>
      <c r="AB315" s="112"/>
      <c r="AC315" s="112"/>
      <c r="AD315" s="112"/>
      <c r="AE315" s="112"/>
      <c r="AF315" s="112"/>
      <c r="AG315" s="112"/>
      <c r="AH315" s="112"/>
      <c r="AI315" s="112"/>
      <c r="AJ315" s="112"/>
      <c r="AK315" s="112"/>
      <c r="AL315" s="112"/>
      <c r="AP315" s="112"/>
      <c r="AQ315" s="112"/>
      <c r="AR315" s="112"/>
      <c r="AS315" s="112"/>
      <c r="AT315" s="112"/>
      <c r="AU315" s="112"/>
      <c r="AV315" s="112"/>
      <c r="AW315" s="112"/>
      <c r="AX315" s="112"/>
      <c r="AY315" s="112"/>
      <c r="BA315" s="112"/>
      <c r="BB315" s="112"/>
      <c r="BC315" s="112"/>
      <c r="BD315" s="112"/>
      <c r="BE315" s="112"/>
      <c r="BF315" s="112"/>
      <c r="BG315" s="112"/>
      <c r="BH315" s="112"/>
      <c r="BI315" s="112"/>
      <c r="BK315" s="112"/>
      <c r="BL315" s="112"/>
      <c r="BM315" s="112"/>
      <c r="BN315" s="112"/>
    </row>
    <row r="316" spans="17:66" x14ac:dyDescent="0.25">
      <c r="Q316" s="112"/>
      <c r="R316" s="112"/>
      <c r="S316" s="112"/>
      <c r="T316" s="112"/>
      <c r="U316" s="112"/>
      <c r="V316" s="112"/>
      <c r="W316" s="112"/>
      <c r="X316" s="112"/>
      <c r="Y316" s="112"/>
      <c r="Z316" s="112"/>
      <c r="AA316" s="112"/>
      <c r="AB316" s="112"/>
      <c r="AC316" s="112"/>
      <c r="AD316" s="112"/>
      <c r="AE316" s="112"/>
      <c r="AF316" s="112"/>
      <c r="AG316" s="112"/>
      <c r="AH316" s="112"/>
      <c r="AI316" s="112"/>
      <c r="AJ316" s="112"/>
      <c r="AK316" s="112"/>
      <c r="AL316" s="112"/>
      <c r="AP316" s="112"/>
      <c r="AQ316" s="112"/>
      <c r="AR316" s="112"/>
      <c r="AS316" s="112"/>
      <c r="AT316" s="112"/>
      <c r="AU316" s="112"/>
      <c r="AV316" s="112"/>
      <c r="AW316" s="112"/>
      <c r="AX316" s="112"/>
      <c r="AY316" s="112"/>
      <c r="BA316" s="112"/>
      <c r="BB316" s="112"/>
      <c r="BC316" s="112"/>
      <c r="BD316" s="112"/>
      <c r="BE316" s="112"/>
      <c r="BF316" s="112"/>
      <c r="BG316" s="112"/>
      <c r="BH316" s="112"/>
      <c r="BI316" s="112"/>
      <c r="BK316" s="112"/>
      <c r="BL316" s="112"/>
      <c r="BM316" s="112"/>
      <c r="BN316" s="112"/>
    </row>
    <row r="317" spans="17:66" x14ac:dyDescent="0.25">
      <c r="Q317" s="112"/>
      <c r="R317" s="112"/>
      <c r="S317" s="112"/>
      <c r="T317" s="112"/>
      <c r="U317" s="112"/>
      <c r="V317" s="112"/>
      <c r="W317" s="112"/>
      <c r="X317" s="112"/>
      <c r="Y317" s="112"/>
      <c r="Z317" s="112"/>
      <c r="AA317" s="112"/>
      <c r="AB317" s="112"/>
      <c r="AC317" s="112"/>
      <c r="AD317" s="112"/>
      <c r="AE317" s="112"/>
      <c r="AF317" s="112"/>
      <c r="AG317" s="112"/>
      <c r="AH317" s="112"/>
      <c r="AI317" s="112"/>
      <c r="AJ317" s="112"/>
      <c r="AK317" s="112"/>
      <c r="AL317" s="112"/>
      <c r="AP317" s="112"/>
      <c r="AQ317" s="112"/>
      <c r="AR317" s="112"/>
      <c r="AS317" s="112"/>
      <c r="AT317" s="112"/>
      <c r="AU317" s="112"/>
      <c r="AV317" s="112"/>
      <c r="AW317" s="112"/>
      <c r="AX317" s="112"/>
      <c r="AY317" s="112"/>
      <c r="BA317" s="112"/>
      <c r="BB317" s="112"/>
      <c r="BC317" s="112"/>
      <c r="BD317" s="112"/>
      <c r="BE317" s="112"/>
      <c r="BF317" s="112"/>
      <c r="BG317" s="112"/>
      <c r="BH317" s="112"/>
      <c r="BI317" s="112"/>
      <c r="BK317" s="112"/>
      <c r="BL317" s="112"/>
      <c r="BM317" s="112"/>
      <c r="BN317" s="112"/>
    </row>
    <row r="318" spans="17:66" x14ac:dyDescent="0.25">
      <c r="Q318" s="112"/>
      <c r="R318" s="112"/>
      <c r="S318" s="112"/>
      <c r="T318" s="112"/>
      <c r="U318" s="112"/>
      <c r="V318" s="112"/>
      <c r="W318" s="112"/>
      <c r="X318" s="112"/>
      <c r="Y318" s="112"/>
      <c r="Z318" s="112"/>
      <c r="AA318" s="112"/>
      <c r="AB318" s="112"/>
      <c r="AC318" s="112"/>
      <c r="AD318" s="112"/>
      <c r="AE318" s="112"/>
      <c r="AF318" s="112"/>
      <c r="AG318" s="112"/>
      <c r="AH318" s="112"/>
      <c r="AI318" s="112"/>
      <c r="AJ318" s="112"/>
      <c r="AK318" s="112"/>
      <c r="AL318" s="112"/>
      <c r="AP318" s="112"/>
      <c r="AQ318" s="112"/>
      <c r="AR318" s="112"/>
      <c r="AS318" s="112"/>
      <c r="AT318" s="112"/>
      <c r="AU318" s="112"/>
      <c r="AV318" s="112"/>
      <c r="AW318" s="112"/>
      <c r="AX318" s="112"/>
      <c r="AY318" s="112"/>
      <c r="BA318" s="112"/>
      <c r="BB318" s="112"/>
      <c r="BC318" s="112"/>
      <c r="BD318" s="112"/>
      <c r="BE318" s="112"/>
      <c r="BF318" s="112"/>
      <c r="BG318" s="112"/>
      <c r="BH318" s="112"/>
      <c r="BI318" s="112"/>
      <c r="BK318" s="112"/>
      <c r="BL318" s="112"/>
      <c r="BM318" s="112"/>
      <c r="BN318" s="112"/>
    </row>
    <row r="319" spans="17:66" x14ac:dyDescent="0.25">
      <c r="Q319" s="112"/>
      <c r="R319" s="112"/>
      <c r="S319" s="112"/>
      <c r="T319" s="112"/>
      <c r="U319" s="112"/>
      <c r="V319" s="112"/>
      <c r="W319" s="112"/>
      <c r="X319" s="112"/>
      <c r="Y319" s="112"/>
      <c r="Z319" s="112"/>
      <c r="AA319" s="112"/>
      <c r="AB319" s="112"/>
      <c r="AC319" s="112"/>
      <c r="AD319" s="112"/>
      <c r="AE319" s="112"/>
      <c r="AF319" s="112"/>
      <c r="AG319" s="112"/>
      <c r="AH319" s="112"/>
      <c r="AI319" s="112"/>
      <c r="AJ319" s="112"/>
      <c r="AK319" s="112"/>
      <c r="AL319" s="112"/>
      <c r="AP319" s="112"/>
      <c r="AQ319" s="112"/>
      <c r="AR319" s="112"/>
      <c r="AS319" s="112"/>
      <c r="AT319" s="112"/>
      <c r="AU319" s="112"/>
      <c r="AV319" s="112"/>
      <c r="AW319" s="112"/>
      <c r="AX319" s="112"/>
      <c r="AY319" s="112"/>
      <c r="BA319" s="112"/>
      <c r="BB319" s="112"/>
      <c r="BC319" s="112"/>
      <c r="BD319" s="112"/>
      <c r="BE319" s="112"/>
      <c r="BF319" s="112"/>
      <c r="BG319" s="112"/>
      <c r="BH319" s="112"/>
      <c r="BI319" s="112"/>
      <c r="BK319" s="112"/>
      <c r="BL319" s="112"/>
      <c r="BM319" s="112"/>
      <c r="BN319" s="112"/>
    </row>
    <row r="320" spans="17:66" x14ac:dyDescent="0.25">
      <c r="Q320" s="112"/>
      <c r="R320" s="112"/>
      <c r="S320" s="112"/>
      <c r="T320" s="112"/>
      <c r="U320" s="112"/>
      <c r="V320" s="112"/>
      <c r="W320" s="112"/>
      <c r="X320" s="112"/>
      <c r="Y320" s="112"/>
      <c r="Z320" s="112"/>
      <c r="AA320" s="112"/>
      <c r="AB320" s="112"/>
      <c r="AC320" s="112"/>
      <c r="AD320" s="112"/>
      <c r="AE320" s="112"/>
      <c r="AF320" s="112"/>
      <c r="AG320" s="112"/>
      <c r="AH320" s="112"/>
      <c r="AI320" s="112"/>
      <c r="AJ320" s="112"/>
      <c r="AK320" s="112"/>
      <c r="AL320" s="112"/>
      <c r="AP320" s="112"/>
      <c r="AQ320" s="112"/>
      <c r="AR320" s="112"/>
      <c r="AS320" s="112"/>
      <c r="AT320" s="112"/>
      <c r="AU320" s="112"/>
      <c r="AV320" s="112"/>
      <c r="AW320" s="112"/>
      <c r="AX320" s="112"/>
      <c r="AY320" s="112"/>
      <c r="BA320" s="112"/>
      <c r="BB320" s="112"/>
      <c r="BC320" s="112"/>
      <c r="BD320" s="112"/>
      <c r="BE320" s="112"/>
      <c r="BF320" s="112"/>
      <c r="BG320" s="112"/>
      <c r="BH320" s="112"/>
      <c r="BI320" s="112"/>
      <c r="BK320" s="112"/>
      <c r="BL320" s="112"/>
      <c r="BM320" s="112"/>
      <c r="BN320" s="112"/>
    </row>
    <row r="321" spans="17:66" x14ac:dyDescent="0.25">
      <c r="Q321" s="112"/>
      <c r="R321" s="112"/>
      <c r="S321" s="112"/>
      <c r="T321" s="112"/>
      <c r="U321" s="112"/>
      <c r="V321" s="112"/>
      <c r="W321" s="112"/>
      <c r="X321" s="112"/>
      <c r="Y321" s="112"/>
      <c r="Z321" s="112"/>
      <c r="AA321" s="112"/>
      <c r="AB321" s="112"/>
      <c r="AC321" s="112"/>
      <c r="AD321" s="112"/>
      <c r="AE321" s="112"/>
      <c r="AF321" s="112"/>
      <c r="AG321" s="112"/>
      <c r="AH321" s="112"/>
      <c r="AI321" s="112"/>
      <c r="AJ321" s="112"/>
      <c r="AK321" s="112"/>
      <c r="AL321" s="112"/>
      <c r="AP321" s="112"/>
      <c r="AQ321" s="112"/>
      <c r="AR321" s="112"/>
      <c r="AS321" s="112"/>
      <c r="AT321" s="112"/>
      <c r="AU321" s="112"/>
      <c r="AV321" s="112"/>
      <c r="AW321" s="112"/>
      <c r="AX321" s="112"/>
      <c r="AY321" s="112"/>
      <c r="BA321" s="112"/>
      <c r="BB321" s="112"/>
      <c r="BC321" s="112"/>
      <c r="BD321" s="112"/>
      <c r="BE321" s="112"/>
      <c r="BF321" s="112"/>
      <c r="BG321" s="112"/>
      <c r="BH321" s="112"/>
      <c r="BI321" s="112"/>
      <c r="BK321" s="112"/>
      <c r="BL321" s="112"/>
      <c r="BM321" s="112"/>
      <c r="BN321" s="112"/>
    </row>
    <row r="322" spans="17:66" x14ac:dyDescent="0.25">
      <c r="Q322" s="112"/>
      <c r="R322" s="112"/>
      <c r="S322" s="112"/>
      <c r="T322" s="112"/>
      <c r="U322" s="112"/>
      <c r="V322" s="112"/>
      <c r="W322" s="112"/>
      <c r="X322" s="112"/>
      <c r="Y322" s="112"/>
      <c r="Z322" s="112"/>
      <c r="AA322" s="112"/>
      <c r="AB322" s="112"/>
      <c r="AC322" s="112"/>
      <c r="AD322" s="112"/>
      <c r="AE322" s="112"/>
      <c r="AF322" s="112"/>
      <c r="AG322" s="112"/>
      <c r="AH322" s="112"/>
      <c r="AI322" s="112"/>
      <c r="AJ322" s="112"/>
      <c r="AK322" s="112"/>
      <c r="AL322" s="112"/>
      <c r="AP322" s="112"/>
      <c r="AQ322" s="112"/>
      <c r="AR322" s="112"/>
      <c r="AS322" s="112"/>
      <c r="AT322" s="112"/>
      <c r="AU322" s="112"/>
      <c r="AV322" s="112"/>
      <c r="AW322" s="112"/>
      <c r="AX322" s="112"/>
      <c r="AY322" s="112"/>
      <c r="BA322" s="112"/>
      <c r="BB322" s="112"/>
      <c r="BC322" s="112"/>
      <c r="BD322" s="112"/>
      <c r="BE322" s="112"/>
      <c r="BF322" s="112"/>
      <c r="BG322" s="112"/>
      <c r="BH322" s="112"/>
      <c r="BI322" s="112"/>
      <c r="BK322" s="112"/>
      <c r="BL322" s="112"/>
      <c r="BM322" s="112"/>
      <c r="BN322" s="112"/>
    </row>
    <row r="323" spans="17:66" x14ac:dyDescent="0.25">
      <c r="Q323" s="112"/>
      <c r="R323" s="112"/>
      <c r="S323" s="112"/>
      <c r="T323" s="112"/>
      <c r="U323" s="112"/>
      <c r="V323" s="112"/>
      <c r="W323" s="112"/>
      <c r="X323" s="112"/>
      <c r="Y323" s="112"/>
      <c r="Z323" s="112"/>
      <c r="AA323" s="112"/>
      <c r="AB323" s="112"/>
      <c r="AC323" s="112"/>
      <c r="AD323" s="112"/>
      <c r="AE323" s="112"/>
      <c r="AF323" s="112"/>
      <c r="AG323" s="112"/>
      <c r="AH323" s="112"/>
      <c r="AI323" s="112"/>
      <c r="AJ323" s="112"/>
      <c r="AK323" s="112"/>
      <c r="AL323" s="112"/>
      <c r="AP323" s="112"/>
      <c r="AQ323" s="112"/>
      <c r="AR323" s="112"/>
      <c r="AS323" s="112"/>
      <c r="AT323" s="112"/>
      <c r="AU323" s="112"/>
      <c r="AV323" s="112"/>
      <c r="AW323" s="112"/>
      <c r="AX323" s="112"/>
      <c r="AY323" s="112"/>
      <c r="BA323" s="112"/>
      <c r="BB323" s="112"/>
      <c r="BC323" s="112"/>
      <c r="BD323" s="112"/>
      <c r="BE323" s="112"/>
      <c r="BF323" s="112"/>
      <c r="BG323" s="112"/>
      <c r="BH323" s="112"/>
      <c r="BI323" s="112"/>
      <c r="BK323" s="112"/>
      <c r="BL323" s="112"/>
      <c r="BM323" s="112"/>
      <c r="BN323" s="112"/>
    </row>
    <row r="324" spans="17:66" x14ac:dyDescent="0.25">
      <c r="Q324" s="112"/>
      <c r="R324" s="112"/>
      <c r="S324" s="112"/>
      <c r="T324" s="112"/>
      <c r="U324" s="112"/>
      <c r="V324" s="112"/>
      <c r="W324" s="112"/>
      <c r="X324" s="112"/>
      <c r="Y324" s="112"/>
      <c r="Z324" s="112"/>
      <c r="AA324" s="112"/>
      <c r="AB324" s="112"/>
      <c r="AC324" s="112"/>
      <c r="AD324" s="112"/>
      <c r="AE324" s="112"/>
      <c r="AF324" s="112"/>
      <c r="AG324" s="112"/>
      <c r="AH324" s="112"/>
      <c r="AI324" s="112"/>
      <c r="AJ324" s="112"/>
      <c r="AK324" s="112"/>
      <c r="AL324" s="112"/>
      <c r="AP324" s="112"/>
      <c r="AQ324" s="112"/>
      <c r="AR324" s="112"/>
      <c r="AS324" s="112"/>
      <c r="AT324" s="112"/>
      <c r="AU324" s="112"/>
      <c r="AV324" s="112"/>
      <c r="AW324" s="112"/>
      <c r="AX324" s="112"/>
      <c r="AY324" s="112"/>
      <c r="BA324" s="112"/>
      <c r="BB324" s="112"/>
      <c r="BC324" s="112"/>
      <c r="BD324" s="112"/>
      <c r="BE324" s="112"/>
      <c r="BF324" s="112"/>
      <c r="BG324" s="112"/>
      <c r="BH324" s="112"/>
      <c r="BI324" s="112"/>
      <c r="BK324" s="112"/>
      <c r="BL324" s="112"/>
      <c r="BM324" s="112"/>
      <c r="BN324" s="112"/>
    </row>
    <row r="325" spans="17:66" x14ac:dyDescent="0.25">
      <c r="Q325" s="112"/>
      <c r="R325" s="112"/>
      <c r="S325" s="112"/>
      <c r="T325" s="112"/>
      <c r="U325" s="112"/>
      <c r="V325" s="112"/>
      <c r="W325" s="112"/>
      <c r="X325" s="112"/>
      <c r="Y325" s="112"/>
      <c r="Z325" s="112"/>
      <c r="AA325" s="112"/>
      <c r="AB325" s="112"/>
      <c r="AC325" s="112"/>
      <c r="AD325" s="112"/>
      <c r="AE325" s="112"/>
      <c r="AF325" s="112"/>
      <c r="AG325" s="112"/>
      <c r="AH325" s="112"/>
      <c r="AI325" s="112"/>
      <c r="AJ325" s="112"/>
      <c r="AK325" s="112"/>
      <c r="AL325" s="112"/>
      <c r="AP325" s="112"/>
      <c r="AQ325" s="112"/>
      <c r="AR325" s="112"/>
      <c r="AS325" s="112"/>
      <c r="AT325" s="112"/>
      <c r="AU325" s="112"/>
      <c r="AV325" s="112"/>
      <c r="AW325" s="112"/>
      <c r="AX325" s="112"/>
      <c r="AY325" s="112"/>
      <c r="BA325" s="112"/>
      <c r="BB325" s="112"/>
      <c r="BC325" s="112"/>
      <c r="BD325" s="112"/>
      <c r="BE325" s="112"/>
      <c r="BF325" s="112"/>
      <c r="BG325" s="112"/>
      <c r="BH325" s="112"/>
      <c r="BI325" s="112"/>
      <c r="BK325" s="112"/>
      <c r="BL325" s="112"/>
      <c r="BM325" s="112"/>
      <c r="BN325" s="112"/>
    </row>
    <row r="326" spans="17:66" x14ac:dyDescent="0.25">
      <c r="Q326" s="112"/>
      <c r="R326" s="112"/>
      <c r="S326" s="112"/>
      <c r="T326" s="112"/>
      <c r="U326" s="112"/>
      <c r="V326" s="112"/>
      <c r="W326" s="112"/>
      <c r="X326" s="112"/>
      <c r="Y326" s="112"/>
      <c r="Z326" s="112"/>
      <c r="AA326" s="112"/>
      <c r="AB326" s="112"/>
      <c r="AC326" s="112"/>
      <c r="AD326" s="112"/>
      <c r="AE326" s="112"/>
      <c r="AF326" s="112"/>
      <c r="AG326" s="112"/>
      <c r="AH326" s="112"/>
      <c r="AI326" s="112"/>
      <c r="AJ326" s="112"/>
      <c r="AK326" s="112"/>
      <c r="AL326" s="112"/>
      <c r="AP326" s="112"/>
      <c r="AQ326" s="112"/>
      <c r="AR326" s="112"/>
      <c r="AS326" s="112"/>
      <c r="AT326" s="112"/>
      <c r="AU326" s="112"/>
      <c r="AV326" s="112"/>
      <c r="AW326" s="112"/>
      <c r="AX326" s="112"/>
      <c r="AY326" s="112"/>
      <c r="BA326" s="112"/>
      <c r="BB326" s="112"/>
      <c r="BC326" s="112"/>
      <c r="BD326" s="112"/>
      <c r="BE326" s="112"/>
      <c r="BF326" s="112"/>
      <c r="BG326" s="112"/>
      <c r="BH326" s="112"/>
      <c r="BI326" s="112"/>
      <c r="BK326" s="112"/>
      <c r="BL326" s="112"/>
      <c r="BM326" s="112"/>
      <c r="BN326" s="112"/>
    </row>
    <row r="327" spans="17:66" x14ac:dyDescent="0.25">
      <c r="Q327" s="112"/>
      <c r="R327" s="112"/>
      <c r="S327" s="112"/>
      <c r="T327" s="112"/>
      <c r="U327" s="112"/>
      <c r="V327" s="112"/>
      <c r="W327" s="112"/>
      <c r="X327" s="112"/>
      <c r="Y327" s="112"/>
      <c r="Z327" s="112"/>
      <c r="AA327" s="112"/>
      <c r="AB327" s="112"/>
      <c r="AC327" s="112"/>
      <c r="AD327" s="112"/>
      <c r="AE327" s="112"/>
      <c r="AF327" s="112"/>
      <c r="AG327" s="112"/>
      <c r="AH327" s="112"/>
      <c r="AI327" s="112"/>
      <c r="AJ327" s="112"/>
      <c r="AK327" s="112"/>
      <c r="AL327" s="112"/>
      <c r="AP327" s="112"/>
      <c r="AQ327" s="112"/>
      <c r="AR327" s="112"/>
      <c r="AS327" s="112"/>
      <c r="AT327" s="112"/>
      <c r="AU327" s="112"/>
      <c r="AV327" s="112"/>
      <c r="AW327" s="112"/>
      <c r="AX327" s="112"/>
      <c r="AY327" s="112"/>
      <c r="BA327" s="112"/>
      <c r="BB327" s="112"/>
      <c r="BC327" s="112"/>
      <c r="BD327" s="112"/>
      <c r="BE327" s="112"/>
      <c r="BF327" s="112"/>
      <c r="BG327" s="112"/>
      <c r="BH327" s="112"/>
      <c r="BI327" s="112"/>
      <c r="BK327" s="112"/>
      <c r="BL327" s="112"/>
      <c r="BM327" s="112"/>
      <c r="BN327" s="112"/>
    </row>
    <row r="328" spans="17:66" x14ac:dyDescent="0.25">
      <c r="Q328" s="112"/>
      <c r="R328" s="112"/>
      <c r="S328" s="112"/>
      <c r="T328" s="112"/>
      <c r="U328" s="112"/>
      <c r="V328" s="112"/>
      <c r="W328" s="112"/>
      <c r="X328" s="112"/>
      <c r="Y328" s="112"/>
      <c r="Z328" s="112"/>
      <c r="AA328" s="112"/>
      <c r="AB328" s="112"/>
      <c r="AC328" s="112"/>
      <c r="AD328" s="112"/>
      <c r="AE328" s="112"/>
      <c r="AF328" s="112"/>
      <c r="AG328" s="112"/>
      <c r="AH328" s="112"/>
      <c r="AI328" s="112"/>
      <c r="AJ328" s="112"/>
      <c r="AK328" s="112"/>
      <c r="AL328" s="112"/>
      <c r="AP328" s="112"/>
      <c r="AQ328" s="112"/>
      <c r="AR328" s="112"/>
      <c r="AS328" s="112"/>
      <c r="AT328" s="112"/>
      <c r="AU328" s="112"/>
      <c r="AV328" s="112"/>
      <c r="AW328" s="112"/>
      <c r="AX328" s="112"/>
      <c r="AY328" s="112"/>
      <c r="BA328" s="112"/>
      <c r="BB328" s="112"/>
      <c r="BC328" s="112"/>
      <c r="BD328" s="112"/>
      <c r="BE328" s="112"/>
      <c r="BF328" s="112"/>
      <c r="BG328" s="112"/>
      <c r="BH328" s="112"/>
      <c r="BI328" s="112"/>
      <c r="BK328" s="112"/>
      <c r="BL328" s="112"/>
      <c r="BM328" s="112"/>
      <c r="BN328" s="112"/>
    </row>
    <row r="329" spans="17:66" x14ac:dyDescent="0.25">
      <c r="Q329" s="112"/>
      <c r="R329" s="112"/>
      <c r="S329" s="112"/>
      <c r="T329" s="112"/>
      <c r="U329" s="112"/>
      <c r="V329" s="112"/>
      <c r="W329" s="112"/>
      <c r="X329" s="112"/>
      <c r="Y329" s="112"/>
      <c r="Z329" s="112"/>
      <c r="AA329" s="112"/>
      <c r="AB329" s="112"/>
      <c r="AC329" s="112"/>
      <c r="AD329" s="112"/>
      <c r="AE329" s="112"/>
      <c r="AF329" s="112"/>
      <c r="AG329" s="112"/>
      <c r="AH329" s="112"/>
      <c r="AI329" s="112"/>
      <c r="AJ329" s="112"/>
      <c r="AK329" s="112"/>
      <c r="AL329" s="112"/>
      <c r="AP329" s="112"/>
      <c r="AQ329" s="112"/>
      <c r="AR329" s="112"/>
      <c r="AS329" s="112"/>
      <c r="AT329" s="112"/>
      <c r="AU329" s="112"/>
      <c r="AV329" s="112"/>
      <c r="AW329" s="112"/>
      <c r="AX329" s="112"/>
      <c r="AY329" s="112"/>
      <c r="BA329" s="112"/>
      <c r="BB329" s="112"/>
      <c r="BC329" s="112"/>
      <c r="BD329" s="112"/>
      <c r="BE329" s="112"/>
      <c r="BF329" s="112"/>
      <c r="BG329" s="112"/>
      <c r="BH329" s="112"/>
      <c r="BI329" s="112"/>
      <c r="BK329" s="112"/>
      <c r="BL329" s="112"/>
      <c r="BM329" s="112"/>
      <c r="BN329" s="112"/>
    </row>
    <row r="330" spans="17:66" x14ac:dyDescent="0.25">
      <c r="Q330" s="112"/>
      <c r="R330" s="112"/>
      <c r="S330" s="112"/>
      <c r="T330" s="112"/>
      <c r="U330" s="112"/>
      <c r="V330" s="112"/>
      <c r="W330" s="112"/>
      <c r="X330" s="112"/>
      <c r="Y330" s="112"/>
      <c r="Z330" s="112"/>
      <c r="AA330" s="112"/>
      <c r="AB330" s="112"/>
      <c r="AC330" s="112"/>
      <c r="AD330" s="112"/>
      <c r="AE330" s="112"/>
      <c r="AF330" s="112"/>
      <c r="AG330" s="112"/>
      <c r="AH330" s="112"/>
      <c r="AI330" s="112"/>
      <c r="AJ330" s="112"/>
      <c r="AK330" s="112"/>
      <c r="AL330" s="112"/>
      <c r="AP330" s="112"/>
      <c r="AQ330" s="112"/>
      <c r="AR330" s="112"/>
      <c r="AS330" s="112"/>
      <c r="AT330" s="112"/>
      <c r="AU330" s="112"/>
      <c r="AV330" s="112"/>
      <c r="AW330" s="112"/>
      <c r="AX330" s="112"/>
      <c r="AY330" s="112"/>
      <c r="BA330" s="112"/>
      <c r="BB330" s="112"/>
      <c r="BC330" s="112"/>
      <c r="BD330" s="112"/>
      <c r="BE330" s="112"/>
      <c r="BF330" s="112"/>
      <c r="BG330" s="112"/>
      <c r="BH330" s="112"/>
      <c r="BI330" s="112"/>
      <c r="BK330" s="112"/>
      <c r="BL330" s="112"/>
      <c r="BM330" s="112"/>
      <c r="BN330" s="112"/>
    </row>
    <row r="331" spans="17:66" x14ac:dyDescent="0.25">
      <c r="Q331" s="112"/>
      <c r="R331" s="112"/>
      <c r="S331" s="112"/>
      <c r="T331" s="112"/>
      <c r="U331" s="112"/>
      <c r="V331" s="112"/>
      <c r="W331" s="112"/>
      <c r="X331" s="112"/>
      <c r="Y331" s="112"/>
      <c r="Z331" s="112"/>
      <c r="AA331" s="112"/>
      <c r="AB331" s="112"/>
      <c r="AC331" s="112"/>
      <c r="AD331" s="112"/>
      <c r="AE331" s="112"/>
      <c r="AF331" s="112"/>
      <c r="AG331" s="112"/>
      <c r="AH331" s="112"/>
      <c r="AI331" s="112"/>
      <c r="AJ331" s="112"/>
      <c r="AK331" s="112"/>
      <c r="AL331" s="112"/>
      <c r="AP331" s="112"/>
      <c r="AQ331" s="112"/>
      <c r="AR331" s="112"/>
      <c r="AS331" s="112"/>
      <c r="AT331" s="112"/>
      <c r="AU331" s="112"/>
      <c r="AV331" s="112"/>
      <c r="AW331" s="112"/>
      <c r="AX331" s="112"/>
      <c r="AY331" s="112"/>
      <c r="BA331" s="112"/>
      <c r="BB331" s="112"/>
      <c r="BC331" s="112"/>
      <c r="BD331" s="112"/>
      <c r="BE331" s="112"/>
      <c r="BF331" s="112"/>
      <c r="BG331" s="112"/>
      <c r="BH331" s="112"/>
      <c r="BI331" s="112"/>
      <c r="BK331" s="112"/>
      <c r="BL331" s="112"/>
      <c r="BM331" s="112"/>
      <c r="BN331" s="112"/>
    </row>
    <row r="332" spans="17:66" x14ac:dyDescent="0.25">
      <c r="Q332" s="112"/>
      <c r="R332" s="112"/>
      <c r="S332" s="112"/>
      <c r="T332" s="112"/>
      <c r="U332" s="112"/>
      <c r="V332" s="112"/>
      <c r="W332" s="112"/>
      <c r="X332" s="112"/>
      <c r="Y332" s="112"/>
      <c r="Z332" s="112"/>
      <c r="AA332" s="112"/>
      <c r="AB332" s="112"/>
      <c r="AC332" s="112"/>
      <c r="AD332" s="112"/>
      <c r="AE332" s="112"/>
      <c r="AF332" s="112"/>
      <c r="AG332" s="112"/>
      <c r="AH332" s="112"/>
      <c r="AI332" s="112"/>
      <c r="AJ332" s="112"/>
      <c r="AK332" s="112"/>
      <c r="AL332" s="112"/>
      <c r="AP332" s="112"/>
      <c r="AQ332" s="112"/>
      <c r="AR332" s="112"/>
      <c r="AS332" s="112"/>
      <c r="AT332" s="112"/>
      <c r="AU332" s="112"/>
      <c r="AV332" s="112"/>
      <c r="AW332" s="112"/>
      <c r="AX332" s="112"/>
      <c r="AY332" s="112"/>
      <c r="BA332" s="112"/>
      <c r="BB332" s="112"/>
      <c r="BC332" s="112"/>
      <c r="BD332" s="112"/>
      <c r="BE332" s="112"/>
      <c r="BF332" s="112"/>
      <c r="BG332" s="112"/>
      <c r="BH332" s="112"/>
      <c r="BI332" s="112"/>
      <c r="BK332" s="112"/>
      <c r="BL332" s="112"/>
      <c r="BM332" s="112"/>
      <c r="BN332" s="112"/>
    </row>
    <row r="333" spans="17:66" x14ac:dyDescent="0.25">
      <c r="Q333" s="112"/>
      <c r="R333" s="112"/>
      <c r="S333" s="112"/>
      <c r="T333" s="112"/>
      <c r="U333" s="112"/>
      <c r="V333" s="112"/>
      <c r="W333" s="112"/>
      <c r="X333" s="112"/>
      <c r="Y333" s="112"/>
      <c r="Z333" s="112"/>
      <c r="AA333" s="112"/>
      <c r="AB333" s="112"/>
      <c r="AC333" s="112"/>
      <c r="AD333" s="112"/>
      <c r="AE333" s="112"/>
      <c r="AF333" s="112"/>
      <c r="AG333" s="112"/>
      <c r="AH333" s="112"/>
      <c r="AI333" s="112"/>
      <c r="AJ333" s="112"/>
      <c r="AK333" s="112"/>
      <c r="AL333" s="112"/>
      <c r="AP333" s="112"/>
      <c r="AQ333" s="112"/>
      <c r="AR333" s="112"/>
      <c r="AS333" s="112"/>
      <c r="AT333" s="112"/>
      <c r="AU333" s="112"/>
      <c r="AV333" s="112"/>
      <c r="AW333" s="112"/>
      <c r="AX333" s="112"/>
      <c r="AY333" s="112"/>
      <c r="BA333" s="112"/>
      <c r="BB333" s="112"/>
      <c r="BC333" s="112"/>
      <c r="BD333" s="112"/>
      <c r="BE333" s="112"/>
      <c r="BF333" s="112"/>
      <c r="BG333" s="112"/>
      <c r="BH333" s="112"/>
      <c r="BI333" s="112"/>
      <c r="BK333" s="112"/>
      <c r="BL333" s="112"/>
      <c r="BM333" s="112"/>
      <c r="BN333" s="112"/>
    </row>
    <row r="334" spans="17:66" x14ac:dyDescent="0.25">
      <c r="Q334" s="112"/>
      <c r="R334" s="112"/>
      <c r="S334" s="112"/>
      <c r="T334" s="112"/>
      <c r="U334" s="112"/>
      <c r="V334" s="112"/>
      <c r="W334" s="112"/>
      <c r="X334" s="112"/>
      <c r="Y334" s="112"/>
      <c r="Z334" s="112"/>
      <c r="AA334" s="112"/>
      <c r="AB334" s="112"/>
      <c r="AC334" s="112"/>
      <c r="AD334" s="112"/>
      <c r="AE334" s="112"/>
      <c r="AF334" s="112"/>
      <c r="AG334" s="112"/>
      <c r="AH334" s="112"/>
      <c r="AI334" s="112"/>
      <c r="AJ334" s="112"/>
      <c r="AK334" s="112"/>
      <c r="AL334" s="112"/>
      <c r="AP334" s="112"/>
      <c r="AQ334" s="112"/>
      <c r="AR334" s="112"/>
      <c r="AS334" s="112"/>
      <c r="AT334" s="112"/>
      <c r="AU334" s="112"/>
      <c r="AV334" s="112"/>
      <c r="AW334" s="112"/>
      <c r="AX334" s="112"/>
      <c r="AY334" s="112"/>
      <c r="BA334" s="112"/>
      <c r="BB334" s="112"/>
      <c r="BC334" s="112"/>
      <c r="BD334" s="112"/>
      <c r="BE334" s="112"/>
      <c r="BF334" s="112"/>
      <c r="BG334" s="112"/>
      <c r="BH334" s="112"/>
      <c r="BI334" s="112"/>
      <c r="BK334" s="112"/>
      <c r="BL334" s="112"/>
      <c r="BM334" s="112"/>
      <c r="BN334" s="112"/>
    </row>
    <row r="335" spans="17:66" x14ac:dyDescent="0.25">
      <c r="Q335" s="112"/>
      <c r="R335" s="112"/>
      <c r="S335" s="112"/>
      <c r="T335" s="112"/>
      <c r="U335" s="112"/>
      <c r="V335" s="112"/>
      <c r="W335" s="112"/>
      <c r="X335" s="112"/>
      <c r="Y335" s="112"/>
      <c r="Z335" s="112"/>
      <c r="AA335" s="112"/>
      <c r="AB335" s="112"/>
      <c r="AC335" s="112"/>
      <c r="AD335" s="112"/>
      <c r="AE335" s="112"/>
      <c r="AF335" s="112"/>
      <c r="AG335" s="112"/>
      <c r="AH335" s="112"/>
      <c r="AI335" s="112"/>
      <c r="AJ335" s="112"/>
      <c r="AK335" s="112"/>
      <c r="AL335" s="112"/>
      <c r="AP335" s="112"/>
      <c r="AQ335" s="112"/>
      <c r="AR335" s="112"/>
      <c r="AS335" s="112"/>
      <c r="AT335" s="112"/>
      <c r="AU335" s="112"/>
      <c r="AV335" s="112"/>
      <c r="AW335" s="112"/>
      <c r="AX335" s="112"/>
      <c r="AY335" s="112"/>
      <c r="BA335" s="112"/>
      <c r="BB335" s="112"/>
      <c r="BC335" s="112"/>
      <c r="BD335" s="112"/>
      <c r="BE335" s="112"/>
      <c r="BF335" s="112"/>
      <c r="BG335" s="112"/>
      <c r="BH335" s="112"/>
      <c r="BI335" s="112"/>
      <c r="BK335" s="112"/>
      <c r="BL335" s="112"/>
      <c r="BM335" s="112"/>
      <c r="BN335" s="112"/>
    </row>
    <row r="336" spans="17:66" x14ac:dyDescent="0.25">
      <c r="Q336" s="112"/>
      <c r="R336" s="112"/>
      <c r="S336" s="112"/>
      <c r="T336" s="112"/>
      <c r="U336" s="112"/>
      <c r="V336" s="112"/>
      <c r="W336" s="112"/>
      <c r="X336" s="112"/>
      <c r="Y336" s="112"/>
      <c r="Z336" s="112"/>
      <c r="AA336" s="112"/>
      <c r="AB336" s="112"/>
      <c r="AC336" s="112"/>
      <c r="AD336" s="112"/>
      <c r="AE336" s="112"/>
      <c r="AF336" s="112"/>
      <c r="AG336" s="112"/>
      <c r="AH336" s="112"/>
      <c r="AI336" s="112"/>
      <c r="AJ336" s="112"/>
      <c r="AK336" s="112"/>
      <c r="AL336" s="112"/>
      <c r="AP336" s="112"/>
      <c r="AQ336" s="112"/>
      <c r="AR336" s="112"/>
      <c r="AS336" s="112"/>
      <c r="AT336" s="112"/>
      <c r="AU336" s="112"/>
      <c r="AV336" s="112"/>
      <c r="AW336" s="112"/>
      <c r="AX336" s="112"/>
      <c r="AY336" s="112"/>
      <c r="BA336" s="112"/>
      <c r="BB336" s="112"/>
      <c r="BC336" s="112"/>
      <c r="BD336" s="112"/>
      <c r="BE336" s="112"/>
      <c r="BF336" s="112"/>
      <c r="BG336" s="112"/>
      <c r="BH336" s="112"/>
      <c r="BI336" s="112"/>
      <c r="BK336" s="112"/>
      <c r="BL336" s="112"/>
      <c r="BM336" s="112"/>
      <c r="BN336" s="112"/>
    </row>
    <row r="337" spans="17:66" x14ac:dyDescent="0.25">
      <c r="Q337" s="112"/>
      <c r="R337" s="112"/>
      <c r="S337" s="112"/>
      <c r="T337" s="112"/>
      <c r="U337" s="112"/>
      <c r="V337" s="112"/>
      <c r="W337" s="112"/>
      <c r="X337" s="112"/>
      <c r="Y337" s="112"/>
      <c r="Z337" s="112"/>
      <c r="AA337" s="112"/>
      <c r="AB337" s="112"/>
      <c r="AC337" s="112"/>
      <c r="AD337" s="112"/>
      <c r="AE337" s="112"/>
      <c r="AF337" s="112"/>
      <c r="AG337" s="112"/>
      <c r="AH337" s="112"/>
      <c r="AI337" s="112"/>
      <c r="AJ337" s="112"/>
      <c r="AK337" s="112"/>
      <c r="AL337" s="112"/>
      <c r="AP337" s="112"/>
      <c r="AQ337" s="112"/>
      <c r="AR337" s="112"/>
      <c r="AS337" s="112"/>
      <c r="AT337" s="112"/>
      <c r="AU337" s="112"/>
      <c r="AV337" s="112"/>
      <c r="AW337" s="112"/>
      <c r="AX337" s="112"/>
      <c r="AY337" s="112"/>
      <c r="BA337" s="112"/>
      <c r="BB337" s="112"/>
      <c r="BC337" s="112"/>
      <c r="BD337" s="112"/>
      <c r="BE337" s="112"/>
      <c r="BF337" s="112"/>
      <c r="BG337" s="112"/>
      <c r="BH337" s="112"/>
      <c r="BI337" s="112"/>
      <c r="BK337" s="112"/>
      <c r="BL337" s="112"/>
      <c r="BM337" s="112"/>
      <c r="BN337" s="112"/>
    </row>
    <row r="338" spans="17:66" x14ac:dyDescent="0.25">
      <c r="Q338" s="112"/>
      <c r="R338" s="112"/>
      <c r="S338" s="112"/>
      <c r="T338" s="112"/>
      <c r="U338" s="112"/>
      <c r="V338" s="112"/>
      <c r="W338" s="112"/>
      <c r="X338" s="112"/>
      <c r="Y338" s="112"/>
      <c r="Z338" s="112"/>
      <c r="AA338" s="112"/>
      <c r="AB338" s="112"/>
      <c r="AC338" s="112"/>
      <c r="AD338" s="112"/>
      <c r="AE338" s="112"/>
      <c r="AF338" s="112"/>
      <c r="AG338" s="112"/>
      <c r="AH338" s="112"/>
      <c r="AI338" s="112"/>
      <c r="AJ338" s="112"/>
      <c r="AK338" s="112"/>
      <c r="AL338" s="112"/>
      <c r="AP338" s="112"/>
      <c r="AQ338" s="112"/>
      <c r="AR338" s="112"/>
      <c r="AS338" s="112"/>
      <c r="AT338" s="112"/>
      <c r="AU338" s="112"/>
      <c r="AV338" s="112"/>
      <c r="AW338" s="112"/>
      <c r="AX338" s="112"/>
      <c r="AY338" s="112"/>
      <c r="BA338" s="112"/>
      <c r="BB338" s="112"/>
      <c r="BC338" s="112"/>
      <c r="BD338" s="112"/>
      <c r="BE338" s="112"/>
      <c r="BF338" s="112"/>
      <c r="BG338" s="112"/>
      <c r="BH338" s="112"/>
      <c r="BI338" s="112"/>
      <c r="BK338" s="112"/>
      <c r="BL338" s="112"/>
      <c r="BM338" s="112"/>
      <c r="BN338" s="112"/>
    </row>
    <row r="339" spans="17:66" x14ac:dyDescent="0.25">
      <c r="Q339" s="112"/>
      <c r="R339" s="112"/>
      <c r="S339" s="112"/>
      <c r="T339" s="112"/>
      <c r="U339" s="112"/>
      <c r="V339" s="112"/>
      <c r="W339" s="112"/>
      <c r="X339" s="112"/>
      <c r="Y339" s="112"/>
      <c r="Z339" s="112"/>
      <c r="AA339" s="112"/>
      <c r="AB339" s="112"/>
      <c r="AC339" s="112"/>
      <c r="AD339" s="112"/>
      <c r="AE339" s="112"/>
      <c r="AF339" s="112"/>
      <c r="AG339" s="112"/>
      <c r="AH339" s="112"/>
      <c r="AI339" s="112"/>
      <c r="AJ339" s="112"/>
      <c r="AK339" s="112"/>
      <c r="AL339" s="112"/>
      <c r="AP339" s="112"/>
      <c r="AQ339" s="112"/>
      <c r="AR339" s="112"/>
      <c r="AS339" s="112"/>
      <c r="AT339" s="112"/>
      <c r="AU339" s="112"/>
      <c r="AV339" s="112"/>
      <c r="AW339" s="112"/>
      <c r="AX339" s="112"/>
      <c r="AY339" s="112"/>
      <c r="BA339" s="112"/>
      <c r="BB339" s="112"/>
      <c r="BC339" s="112"/>
      <c r="BD339" s="112"/>
      <c r="BE339" s="112"/>
      <c r="BF339" s="112"/>
      <c r="BG339" s="112"/>
      <c r="BH339" s="112"/>
      <c r="BI339" s="112"/>
      <c r="BK339" s="112"/>
      <c r="BL339" s="112"/>
      <c r="BM339" s="112"/>
      <c r="BN339" s="112"/>
    </row>
    <row r="340" spans="17:66" x14ac:dyDescent="0.25">
      <c r="Q340" s="112"/>
      <c r="R340" s="112"/>
      <c r="S340" s="112"/>
      <c r="T340" s="112"/>
      <c r="U340" s="112"/>
      <c r="V340" s="112"/>
      <c r="W340" s="112"/>
      <c r="X340" s="112"/>
      <c r="Y340" s="112"/>
      <c r="Z340" s="112"/>
      <c r="AA340" s="112"/>
      <c r="AB340" s="112"/>
      <c r="AC340" s="112"/>
      <c r="AD340" s="112"/>
      <c r="AE340" s="112"/>
      <c r="AF340" s="112"/>
      <c r="AG340" s="112"/>
      <c r="AH340" s="112"/>
      <c r="AI340" s="112"/>
      <c r="AJ340" s="112"/>
      <c r="AK340" s="112"/>
      <c r="AL340" s="112"/>
      <c r="AP340" s="112"/>
      <c r="AQ340" s="112"/>
      <c r="AR340" s="112"/>
      <c r="AS340" s="112"/>
      <c r="AT340" s="112"/>
      <c r="AU340" s="112"/>
      <c r="AV340" s="112"/>
      <c r="AW340" s="112"/>
      <c r="AX340" s="112"/>
      <c r="AY340" s="112"/>
      <c r="BA340" s="112"/>
      <c r="BB340" s="112"/>
      <c r="BC340" s="112"/>
      <c r="BD340" s="112"/>
      <c r="BE340" s="112"/>
      <c r="BF340" s="112"/>
      <c r="BG340" s="112"/>
      <c r="BH340" s="112"/>
      <c r="BI340" s="112"/>
      <c r="BK340" s="112"/>
      <c r="BL340" s="112"/>
      <c r="BM340" s="112"/>
      <c r="BN340" s="112"/>
    </row>
    <row r="341" spans="17:66" x14ac:dyDescent="0.25">
      <c r="Q341" s="112"/>
      <c r="R341" s="112"/>
      <c r="S341" s="112"/>
      <c r="T341" s="112"/>
      <c r="U341" s="112"/>
      <c r="V341" s="112"/>
      <c r="W341" s="112"/>
      <c r="X341" s="112"/>
      <c r="Y341" s="112"/>
      <c r="Z341" s="112"/>
      <c r="AA341" s="112"/>
      <c r="AB341" s="112"/>
      <c r="AC341" s="112"/>
      <c r="AD341" s="112"/>
      <c r="AE341" s="112"/>
      <c r="AF341" s="112"/>
      <c r="AG341" s="112"/>
      <c r="AH341" s="112"/>
      <c r="AI341" s="112"/>
      <c r="AJ341" s="112"/>
      <c r="AK341" s="112"/>
      <c r="AL341" s="112"/>
      <c r="AP341" s="112"/>
      <c r="AQ341" s="112"/>
      <c r="AR341" s="112"/>
      <c r="AS341" s="112"/>
      <c r="AT341" s="112"/>
      <c r="AU341" s="112"/>
      <c r="AV341" s="112"/>
      <c r="AW341" s="112"/>
      <c r="AX341" s="112"/>
      <c r="AY341" s="112"/>
      <c r="BA341" s="112"/>
      <c r="BB341" s="112"/>
      <c r="BC341" s="112"/>
      <c r="BD341" s="112"/>
      <c r="BE341" s="112"/>
      <c r="BF341" s="112"/>
      <c r="BG341" s="112"/>
      <c r="BH341" s="112"/>
      <c r="BI341" s="112"/>
      <c r="BK341" s="112"/>
      <c r="BL341" s="112"/>
      <c r="BM341" s="112"/>
      <c r="BN341" s="112"/>
    </row>
    <row r="342" spans="17:66" x14ac:dyDescent="0.25">
      <c r="Q342" s="112"/>
      <c r="R342" s="112"/>
      <c r="S342" s="112"/>
      <c r="T342" s="112"/>
      <c r="U342" s="112"/>
      <c r="V342" s="112"/>
      <c r="W342" s="112"/>
      <c r="X342" s="112"/>
      <c r="Y342" s="112"/>
      <c r="Z342" s="112"/>
      <c r="AA342" s="112"/>
      <c r="AB342" s="112"/>
      <c r="AC342" s="112"/>
      <c r="AD342" s="112"/>
      <c r="AE342" s="112"/>
      <c r="AF342" s="112"/>
      <c r="AG342" s="112"/>
      <c r="AH342" s="112"/>
      <c r="AI342" s="112"/>
      <c r="AJ342" s="112"/>
      <c r="AK342" s="112"/>
      <c r="AL342" s="112"/>
      <c r="AP342" s="112"/>
      <c r="AQ342" s="112"/>
      <c r="AR342" s="112"/>
      <c r="AS342" s="112"/>
      <c r="AT342" s="112"/>
      <c r="AU342" s="112"/>
      <c r="AV342" s="112"/>
      <c r="AW342" s="112"/>
      <c r="AX342" s="112"/>
      <c r="AY342" s="112"/>
      <c r="BA342" s="112"/>
      <c r="BB342" s="112"/>
      <c r="BC342" s="112"/>
      <c r="BD342" s="112"/>
      <c r="BE342" s="112"/>
      <c r="BF342" s="112"/>
      <c r="BG342" s="112"/>
      <c r="BH342" s="112"/>
      <c r="BI342" s="112"/>
      <c r="BK342" s="112"/>
      <c r="BL342" s="112"/>
      <c r="BM342" s="112"/>
      <c r="BN342" s="112"/>
    </row>
    <row r="343" spans="17:66" x14ac:dyDescent="0.25">
      <c r="Q343" s="112"/>
      <c r="R343" s="112"/>
      <c r="S343" s="112"/>
      <c r="T343" s="112"/>
      <c r="U343" s="112"/>
      <c r="V343" s="112"/>
      <c r="W343" s="112"/>
      <c r="X343" s="112"/>
      <c r="Y343" s="112"/>
      <c r="Z343" s="112"/>
      <c r="AA343" s="112"/>
      <c r="AB343" s="112"/>
      <c r="AC343" s="112"/>
      <c r="AD343" s="112"/>
      <c r="AE343" s="112"/>
      <c r="AF343" s="112"/>
      <c r="AG343" s="112"/>
      <c r="AH343" s="112"/>
      <c r="AI343" s="112"/>
      <c r="AJ343" s="112"/>
      <c r="AK343" s="112"/>
      <c r="AL343" s="112"/>
      <c r="AP343" s="112"/>
      <c r="AQ343" s="112"/>
      <c r="AR343" s="112"/>
      <c r="AS343" s="112"/>
      <c r="AT343" s="112"/>
      <c r="AU343" s="112"/>
      <c r="AV343" s="112"/>
      <c r="AW343" s="112"/>
      <c r="AX343" s="112"/>
      <c r="AY343" s="112"/>
      <c r="BA343" s="112"/>
      <c r="BB343" s="112"/>
      <c r="BC343" s="112"/>
      <c r="BD343" s="112"/>
      <c r="BE343" s="112"/>
      <c r="BF343" s="112"/>
      <c r="BG343" s="112"/>
      <c r="BH343" s="112"/>
      <c r="BI343" s="112"/>
      <c r="BK343" s="112"/>
      <c r="BL343" s="112"/>
      <c r="BM343" s="112"/>
      <c r="BN343" s="112"/>
    </row>
    <row r="344" spans="17:66" x14ac:dyDescent="0.25">
      <c r="Q344" s="112"/>
      <c r="R344" s="112"/>
      <c r="S344" s="112"/>
      <c r="T344" s="112"/>
      <c r="U344" s="112"/>
      <c r="V344" s="112"/>
      <c r="W344" s="112"/>
      <c r="X344" s="112"/>
      <c r="Y344" s="112"/>
      <c r="Z344" s="112"/>
      <c r="AA344" s="112"/>
      <c r="AB344" s="112"/>
      <c r="AC344" s="112"/>
      <c r="AD344" s="112"/>
      <c r="AE344" s="112"/>
      <c r="AF344" s="112"/>
      <c r="AG344" s="112"/>
      <c r="AH344" s="112"/>
      <c r="AI344" s="112"/>
      <c r="AJ344" s="112"/>
      <c r="AK344" s="112"/>
      <c r="AL344" s="112"/>
      <c r="AP344" s="112"/>
      <c r="AQ344" s="112"/>
      <c r="AR344" s="112"/>
      <c r="AS344" s="112"/>
      <c r="AT344" s="112"/>
      <c r="AU344" s="112"/>
      <c r="AV344" s="112"/>
      <c r="AW344" s="112"/>
      <c r="AX344" s="112"/>
      <c r="AY344" s="112"/>
      <c r="BA344" s="112"/>
      <c r="BB344" s="112"/>
      <c r="BC344" s="112"/>
      <c r="BD344" s="112"/>
      <c r="BE344" s="112"/>
      <c r="BF344" s="112"/>
      <c r="BG344" s="112"/>
      <c r="BH344" s="112"/>
      <c r="BI344" s="112"/>
      <c r="BK344" s="112"/>
      <c r="BL344" s="112"/>
      <c r="BM344" s="112"/>
      <c r="BN344" s="112"/>
    </row>
    <row r="345" spans="17:66" x14ac:dyDescent="0.25">
      <c r="Q345" s="112"/>
      <c r="R345" s="112"/>
      <c r="S345" s="112"/>
      <c r="T345" s="112"/>
      <c r="U345" s="112"/>
      <c r="V345" s="112"/>
      <c r="W345" s="112"/>
      <c r="X345" s="112"/>
      <c r="Y345" s="112"/>
      <c r="Z345" s="112"/>
      <c r="AA345" s="112"/>
      <c r="AB345" s="112"/>
      <c r="AC345" s="112"/>
      <c r="AD345" s="112"/>
      <c r="AE345" s="112"/>
      <c r="AF345" s="112"/>
      <c r="AG345" s="112"/>
      <c r="AH345" s="112"/>
      <c r="AI345" s="112"/>
      <c r="AJ345" s="112"/>
      <c r="AK345" s="112"/>
      <c r="AL345" s="112"/>
      <c r="AP345" s="112"/>
      <c r="AQ345" s="112"/>
      <c r="AR345" s="112"/>
      <c r="AS345" s="112"/>
      <c r="AT345" s="112"/>
      <c r="AU345" s="112"/>
      <c r="AV345" s="112"/>
      <c r="AW345" s="112"/>
      <c r="AX345" s="112"/>
      <c r="AY345" s="112"/>
      <c r="BA345" s="112"/>
      <c r="BB345" s="112"/>
      <c r="BC345" s="112"/>
      <c r="BD345" s="112"/>
      <c r="BE345" s="112"/>
      <c r="BF345" s="112"/>
      <c r="BG345" s="112"/>
      <c r="BH345" s="112"/>
      <c r="BI345" s="112"/>
      <c r="BK345" s="112"/>
      <c r="BL345" s="112"/>
      <c r="BM345" s="112"/>
      <c r="BN345" s="112"/>
    </row>
    <row r="346" spans="17:66" x14ac:dyDescent="0.25">
      <c r="Q346" s="112"/>
      <c r="R346" s="112"/>
      <c r="S346" s="112"/>
      <c r="T346" s="112"/>
      <c r="U346" s="112"/>
      <c r="V346" s="112"/>
      <c r="W346" s="112"/>
      <c r="X346" s="112"/>
      <c r="Y346" s="112"/>
      <c r="Z346" s="112"/>
      <c r="AA346" s="112"/>
      <c r="AB346" s="112"/>
      <c r="AC346" s="112"/>
      <c r="AD346" s="112"/>
      <c r="AE346" s="112"/>
      <c r="AF346" s="112"/>
      <c r="AG346" s="112"/>
      <c r="AH346" s="112"/>
      <c r="AI346" s="112"/>
      <c r="AJ346" s="112"/>
      <c r="AK346" s="112"/>
      <c r="AL346" s="112"/>
      <c r="AP346" s="112"/>
      <c r="AQ346" s="112"/>
      <c r="AR346" s="112"/>
      <c r="AS346" s="112"/>
      <c r="AT346" s="112"/>
      <c r="AU346" s="112"/>
      <c r="AV346" s="112"/>
      <c r="AW346" s="112"/>
      <c r="AX346" s="112"/>
      <c r="AY346" s="112"/>
      <c r="BA346" s="112"/>
      <c r="BB346" s="112"/>
      <c r="BC346" s="112"/>
      <c r="BD346" s="112"/>
      <c r="BE346" s="112"/>
      <c r="BF346" s="112"/>
      <c r="BG346" s="112"/>
      <c r="BH346" s="112"/>
      <c r="BI346" s="112"/>
      <c r="BK346" s="112"/>
      <c r="BL346" s="112"/>
      <c r="BM346" s="112"/>
      <c r="BN346" s="112"/>
    </row>
    <row r="347" spans="17:66" x14ac:dyDescent="0.25">
      <c r="Q347" s="112"/>
      <c r="R347" s="112"/>
      <c r="S347" s="112"/>
      <c r="T347" s="112"/>
      <c r="U347" s="112"/>
      <c r="V347" s="112"/>
      <c r="W347" s="112"/>
      <c r="X347" s="112"/>
      <c r="Y347" s="112"/>
      <c r="Z347" s="112"/>
      <c r="AA347" s="112"/>
      <c r="AB347" s="112"/>
      <c r="AC347" s="112"/>
      <c r="AD347" s="112"/>
      <c r="AE347" s="112"/>
      <c r="AF347" s="112"/>
      <c r="AG347" s="112"/>
      <c r="AH347" s="112"/>
      <c r="AI347" s="112"/>
      <c r="AJ347" s="112"/>
      <c r="AK347" s="112"/>
      <c r="AL347" s="112"/>
      <c r="AP347" s="112"/>
      <c r="AQ347" s="112"/>
      <c r="AR347" s="112"/>
      <c r="AS347" s="112"/>
      <c r="AT347" s="112"/>
      <c r="AU347" s="112"/>
      <c r="AV347" s="112"/>
      <c r="AW347" s="112"/>
      <c r="AX347" s="112"/>
      <c r="AY347" s="112"/>
      <c r="BA347" s="112"/>
      <c r="BB347" s="112"/>
      <c r="BC347" s="112"/>
      <c r="BD347" s="112"/>
      <c r="BE347" s="112"/>
      <c r="BF347" s="112"/>
      <c r="BG347" s="112"/>
      <c r="BH347" s="112"/>
      <c r="BI347" s="112"/>
      <c r="BK347" s="112"/>
      <c r="BL347" s="112"/>
      <c r="BM347" s="112"/>
      <c r="BN347" s="112"/>
    </row>
    <row r="348" spans="17:66" x14ac:dyDescent="0.25">
      <c r="Q348" s="112"/>
      <c r="R348" s="112"/>
      <c r="S348" s="112"/>
      <c r="T348" s="112"/>
      <c r="U348" s="112"/>
      <c r="V348" s="112"/>
      <c r="W348" s="112"/>
      <c r="X348" s="112"/>
      <c r="Y348" s="112"/>
      <c r="Z348" s="112"/>
      <c r="AA348" s="112"/>
      <c r="AB348" s="112"/>
      <c r="AC348" s="112"/>
      <c r="AD348" s="112"/>
      <c r="AE348" s="112"/>
      <c r="AF348" s="112"/>
      <c r="AG348" s="112"/>
      <c r="AH348" s="112"/>
      <c r="AI348" s="112"/>
      <c r="AJ348" s="112"/>
      <c r="AK348" s="112"/>
      <c r="AL348" s="112"/>
      <c r="AP348" s="112"/>
      <c r="AQ348" s="112"/>
      <c r="AR348" s="112"/>
      <c r="AS348" s="112"/>
      <c r="AT348" s="112"/>
      <c r="AU348" s="112"/>
      <c r="AV348" s="112"/>
      <c r="AW348" s="112"/>
      <c r="AX348" s="112"/>
      <c r="AY348" s="112"/>
      <c r="BA348" s="112"/>
      <c r="BB348" s="112"/>
      <c r="BC348" s="112"/>
      <c r="BD348" s="112"/>
      <c r="BE348" s="112"/>
      <c r="BF348" s="112"/>
      <c r="BG348" s="112"/>
      <c r="BH348" s="112"/>
      <c r="BI348" s="112"/>
      <c r="BK348" s="112"/>
      <c r="BL348" s="112"/>
      <c r="BM348" s="112"/>
      <c r="BN348" s="112"/>
    </row>
    <row r="349" spans="17:66" x14ac:dyDescent="0.25">
      <c r="Q349" s="112"/>
      <c r="R349" s="112"/>
      <c r="S349" s="112"/>
      <c r="T349" s="112"/>
      <c r="U349" s="112"/>
      <c r="V349" s="112"/>
      <c r="W349" s="112"/>
      <c r="X349" s="112"/>
      <c r="Y349" s="112"/>
      <c r="Z349" s="112"/>
      <c r="AA349" s="112"/>
      <c r="AB349" s="112"/>
      <c r="AC349" s="112"/>
      <c r="AD349" s="112"/>
      <c r="AE349" s="112"/>
      <c r="AF349" s="112"/>
      <c r="AG349" s="112"/>
      <c r="AH349" s="112"/>
      <c r="AI349" s="112"/>
      <c r="AJ349" s="112"/>
      <c r="AK349" s="112"/>
      <c r="AL349" s="112"/>
      <c r="AP349" s="112"/>
      <c r="AQ349" s="112"/>
      <c r="AR349" s="112"/>
      <c r="AS349" s="112"/>
      <c r="AT349" s="112"/>
      <c r="AU349" s="112"/>
      <c r="AV349" s="112"/>
      <c r="AW349" s="112"/>
      <c r="AX349" s="112"/>
      <c r="AY349" s="112"/>
      <c r="BA349" s="112"/>
      <c r="BB349" s="112"/>
      <c r="BC349" s="112"/>
      <c r="BD349" s="112"/>
      <c r="BE349" s="112"/>
      <c r="BF349" s="112"/>
      <c r="BG349" s="112"/>
      <c r="BH349" s="112"/>
      <c r="BI349" s="112"/>
      <c r="BK349" s="112"/>
      <c r="BL349" s="112"/>
      <c r="BM349" s="112"/>
      <c r="BN349" s="112"/>
    </row>
    <row r="350" spans="17:66" x14ac:dyDescent="0.25">
      <c r="Q350" s="112"/>
      <c r="R350" s="112"/>
      <c r="S350" s="112"/>
      <c r="T350" s="112"/>
      <c r="U350" s="112"/>
      <c r="V350" s="112"/>
      <c r="W350" s="112"/>
      <c r="X350" s="112"/>
      <c r="Y350" s="112"/>
      <c r="Z350" s="112"/>
      <c r="AA350" s="112"/>
      <c r="AB350" s="112"/>
      <c r="AC350" s="112"/>
      <c r="AD350" s="112"/>
      <c r="AE350" s="112"/>
      <c r="AF350" s="112"/>
      <c r="AG350" s="112"/>
      <c r="AH350" s="112"/>
      <c r="AI350" s="112"/>
      <c r="AJ350" s="112"/>
      <c r="AK350" s="112"/>
      <c r="AL350" s="112"/>
      <c r="AP350" s="112"/>
      <c r="AQ350" s="112"/>
      <c r="AR350" s="112"/>
      <c r="AS350" s="112"/>
      <c r="AT350" s="112"/>
      <c r="AU350" s="112"/>
      <c r="AV350" s="112"/>
      <c r="AW350" s="112"/>
      <c r="AX350" s="112"/>
      <c r="AY350" s="112"/>
      <c r="BA350" s="112"/>
      <c r="BB350" s="112"/>
      <c r="BC350" s="112"/>
      <c r="BD350" s="112"/>
      <c r="BE350" s="112"/>
      <c r="BF350" s="112"/>
      <c r="BG350" s="112"/>
      <c r="BH350" s="112"/>
      <c r="BI350" s="112"/>
      <c r="BK350" s="112"/>
      <c r="BL350" s="112"/>
      <c r="BM350" s="112"/>
      <c r="BN350" s="112"/>
    </row>
    <row r="351" spans="17:66" x14ac:dyDescent="0.25">
      <c r="Q351" s="112"/>
      <c r="R351" s="112"/>
      <c r="S351" s="112"/>
      <c r="T351" s="112"/>
      <c r="U351" s="112"/>
      <c r="V351" s="112"/>
      <c r="W351" s="112"/>
      <c r="X351" s="112"/>
      <c r="Y351" s="112"/>
      <c r="Z351" s="112"/>
      <c r="AA351" s="112"/>
      <c r="AB351" s="112"/>
      <c r="AC351" s="112"/>
      <c r="AD351" s="112"/>
      <c r="AE351" s="112"/>
      <c r="AF351" s="112"/>
      <c r="AG351" s="112"/>
      <c r="AH351" s="112"/>
      <c r="AI351" s="112"/>
      <c r="AJ351" s="112"/>
      <c r="AK351" s="112"/>
      <c r="AL351" s="112"/>
      <c r="AP351" s="112"/>
      <c r="AQ351" s="112"/>
      <c r="AR351" s="112"/>
      <c r="AS351" s="112"/>
      <c r="AT351" s="112"/>
      <c r="AU351" s="112"/>
      <c r="AV351" s="112"/>
      <c r="AW351" s="112"/>
      <c r="AX351" s="112"/>
      <c r="AY351" s="112"/>
      <c r="BA351" s="112"/>
      <c r="BB351" s="112"/>
      <c r="BC351" s="112"/>
      <c r="BD351" s="112"/>
      <c r="BE351" s="112"/>
      <c r="BF351" s="112"/>
      <c r="BG351" s="112"/>
      <c r="BH351" s="112"/>
      <c r="BI351" s="112"/>
      <c r="BK351" s="112"/>
      <c r="BL351" s="112"/>
      <c r="BM351" s="112"/>
      <c r="BN351" s="112"/>
    </row>
    <row r="352" spans="17:66" x14ac:dyDescent="0.25">
      <c r="Q352" s="112"/>
      <c r="R352" s="112"/>
      <c r="S352" s="112"/>
      <c r="T352" s="112"/>
      <c r="U352" s="112"/>
      <c r="V352" s="112"/>
      <c r="W352" s="112"/>
      <c r="X352" s="112"/>
      <c r="Y352" s="112"/>
      <c r="Z352" s="112"/>
      <c r="AA352" s="112"/>
      <c r="AB352" s="112"/>
      <c r="AC352" s="112"/>
      <c r="AD352" s="112"/>
      <c r="AE352" s="112"/>
      <c r="AF352" s="112"/>
      <c r="AG352" s="112"/>
      <c r="AH352" s="112"/>
      <c r="AI352" s="112"/>
      <c r="AJ352" s="112"/>
      <c r="AK352" s="112"/>
      <c r="AL352" s="112"/>
      <c r="AP352" s="112"/>
      <c r="AQ352" s="112"/>
      <c r="AR352" s="112"/>
      <c r="AS352" s="112"/>
      <c r="AT352" s="112"/>
      <c r="AU352" s="112"/>
      <c r="AV352" s="112"/>
      <c r="AW352" s="112"/>
      <c r="AX352" s="112"/>
      <c r="AY352" s="112"/>
      <c r="BA352" s="112"/>
      <c r="BB352" s="112"/>
      <c r="BC352" s="112"/>
      <c r="BD352" s="112"/>
      <c r="BE352" s="112"/>
      <c r="BF352" s="112"/>
      <c r="BG352" s="112"/>
      <c r="BH352" s="112"/>
      <c r="BI352" s="112"/>
      <c r="BK352" s="112"/>
      <c r="BL352" s="112"/>
      <c r="BM352" s="112"/>
      <c r="BN352" s="112"/>
    </row>
    <row r="353" spans="17:66" x14ac:dyDescent="0.25">
      <c r="Q353" s="112"/>
      <c r="R353" s="112"/>
      <c r="S353" s="112"/>
      <c r="T353" s="112"/>
      <c r="U353" s="112"/>
      <c r="V353" s="112"/>
      <c r="W353" s="112"/>
      <c r="X353" s="112"/>
      <c r="Y353" s="112"/>
      <c r="Z353" s="112"/>
      <c r="AA353" s="112"/>
      <c r="AB353" s="112"/>
      <c r="AC353" s="112"/>
      <c r="AD353" s="112"/>
      <c r="AE353" s="112"/>
      <c r="AF353" s="112"/>
      <c r="AG353" s="112"/>
      <c r="AH353" s="112"/>
      <c r="AI353" s="112"/>
      <c r="AJ353" s="112"/>
      <c r="AK353" s="112"/>
      <c r="AL353" s="112"/>
      <c r="AP353" s="112"/>
      <c r="AQ353" s="112"/>
      <c r="AR353" s="112"/>
      <c r="AS353" s="112"/>
      <c r="AT353" s="112"/>
      <c r="AU353" s="112"/>
      <c r="AV353" s="112"/>
      <c r="AW353" s="112"/>
      <c r="AX353" s="112"/>
      <c r="AY353" s="112"/>
      <c r="BA353" s="112"/>
      <c r="BB353" s="112"/>
      <c r="BC353" s="112"/>
      <c r="BD353" s="112"/>
      <c r="BE353" s="112"/>
      <c r="BF353" s="112"/>
      <c r="BG353" s="112"/>
      <c r="BH353" s="112"/>
      <c r="BI353" s="112"/>
      <c r="BK353" s="112"/>
      <c r="BL353" s="112"/>
      <c r="BM353" s="112"/>
      <c r="BN353" s="112"/>
    </row>
    <row r="354" spans="17:66" x14ac:dyDescent="0.25">
      <c r="Q354" s="112"/>
      <c r="R354" s="112"/>
      <c r="S354" s="112"/>
      <c r="T354" s="112"/>
      <c r="U354" s="112"/>
      <c r="V354" s="112"/>
      <c r="W354" s="112"/>
      <c r="X354" s="112"/>
      <c r="Y354" s="112"/>
      <c r="Z354" s="112"/>
      <c r="AA354" s="112"/>
      <c r="AB354" s="112"/>
      <c r="AC354" s="112"/>
      <c r="AD354" s="112"/>
      <c r="AE354" s="112"/>
      <c r="AF354" s="112"/>
      <c r="AG354" s="112"/>
      <c r="AH354" s="112"/>
      <c r="AI354" s="112"/>
      <c r="AJ354" s="112"/>
      <c r="AK354" s="112"/>
      <c r="AL354" s="112"/>
      <c r="AP354" s="112"/>
      <c r="AQ354" s="112"/>
      <c r="AR354" s="112"/>
      <c r="AS354" s="112"/>
      <c r="AT354" s="112"/>
      <c r="AU354" s="112"/>
      <c r="AV354" s="112"/>
      <c r="AW354" s="112"/>
      <c r="AX354" s="112"/>
      <c r="AY354" s="112"/>
      <c r="BA354" s="112"/>
      <c r="BB354" s="112"/>
      <c r="BC354" s="112"/>
      <c r="BD354" s="112"/>
      <c r="BE354" s="112"/>
      <c r="BF354" s="112"/>
      <c r="BG354" s="112"/>
      <c r="BH354" s="112"/>
      <c r="BI354" s="112"/>
      <c r="BK354" s="112"/>
      <c r="BL354" s="112"/>
      <c r="BM354" s="112"/>
      <c r="BN354" s="112"/>
    </row>
    <row r="355" spans="17:66" x14ac:dyDescent="0.25">
      <c r="Q355" s="112"/>
      <c r="R355" s="112"/>
      <c r="S355" s="112"/>
      <c r="T355" s="112"/>
      <c r="U355" s="112"/>
      <c r="V355" s="112"/>
      <c r="W355" s="112"/>
      <c r="X355" s="112"/>
      <c r="Y355" s="112"/>
      <c r="Z355" s="112"/>
      <c r="AA355" s="112"/>
      <c r="AB355" s="112"/>
      <c r="AC355" s="112"/>
      <c r="AD355" s="112"/>
      <c r="AE355" s="112"/>
      <c r="AF355" s="112"/>
      <c r="AG355" s="112"/>
      <c r="AH355" s="112"/>
      <c r="AI355" s="112"/>
      <c r="AJ355" s="112"/>
      <c r="AK355" s="112"/>
      <c r="AL355" s="112"/>
      <c r="AP355" s="112"/>
      <c r="AQ355" s="112"/>
      <c r="AR355" s="112"/>
      <c r="AS355" s="112"/>
      <c r="AT355" s="112"/>
      <c r="AU355" s="112"/>
      <c r="AV355" s="112"/>
      <c r="AW355" s="112"/>
      <c r="AX355" s="112"/>
      <c r="AY355" s="112"/>
      <c r="BA355" s="112"/>
      <c r="BB355" s="112"/>
      <c r="BC355" s="112"/>
      <c r="BD355" s="112"/>
      <c r="BE355" s="112"/>
      <c r="BF355" s="112"/>
      <c r="BG355" s="112"/>
      <c r="BH355" s="112"/>
      <c r="BI355" s="112"/>
      <c r="BK355" s="112"/>
      <c r="BL355" s="112"/>
      <c r="BM355" s="112"/>
      <c r="BN355" s="112"/>
    </row>
    <row r="356" spans="17:66" x14ac:dyDescent="0.25">
      <c r="Q356" s="112"/>
      <c r="R356" s="112"/>
      <c r="S356" s="112"/>
      <c r="T356" s="112"/>
      <c r="U356" s="112"/>
      <c r="V356" s="112"/>
      <c r="W356" s="112"/>
      <c r="X356" s="112"/>
      <c r="Y356" s="112"/>
      <c r="Z356" s="112"/>
      <c r="AA356" s="112"/>
      <c r="AB356" s="112"/>
      <c r="AC356" s="112"/>
      <c r="AD356" s="112"/>
      <c r="AE356" s="112"/>
      <c r="AF356" s="112"/>
      <c r="AG356" s="112"/>
      <c r="AH356" s="112"/>
      <c r="AI356" s="112"/>
      <c r="AJ356" s="112"/>
      <c r="AK356" s="112"/>
      <c r="AL356" s="112"/>
      <c r="AP356" s="112"/>
      <c r="AQ356" s="112"/>
      <c r="AR356" s="112"/>
      <c r="AS356" s="112"/>
      <c r="AT356" s="112"/>
      <c r="AU356" s="112"/>
      <c r="AV356" s="112"/>
      <c r="AW356" s="112"/>
      <c r="AX356" s="112"/>
      <c r="AY356" s="112"/>
      <c r="BA356" s="112"/>
      <c r="BB356" s="112"/>
      <c r="BC356" s="112"/>
      <c r="BD356" s="112"/>
      <c r="BE356" s="112"/>
      <c r="BF356" s="112"/>
      <c r="BG356" s="112"/>
      <c r="BH356" s="112"/>
      <c r="BI356" s="112"/>
      <c r="BK356" s="112"/>
      <c r="BL356" s="112"/>
      <c r="BM356" s="112"/>
      <c r="BN356" s="112"/>
    </row>
    <row r="357" spans="17:66" x14ac:dyDescent="0.25">
      <c r="Q357" s="112"/>
      <c r="R357" s="112"/>
      <c r="S357" s="112"/>
      <c r="T357" s="112"/>
      <c r="U357" s="112"/>
      <c r="V357" s="112"/>
      <c r="W357" s="112"/>
      <c r="X357" s="112"/>
      <c r="Y357" s="112"/>
      <c r="Z357" s="112"/>
      <c r="AA357" s="112"/>
      <c r="AB357" s="112"/>
      <c r="AC357" s="112"/>
      <c r="AD357" s="112"/>
      <c r="AE357" s="112"/>
      <c r="AF357" s="112"/>
      <c r="AG357" s="112"/>
      <c r="AH357" s="112"/>
      <c r="AI357" s="112"/>
      <c r="AJ357" s="112"/>
      <c r="AK357" s="112"/>
      <c r="AL357" s="112"/>
      <c r="AP357" s="112"/>
      <c r="AQ357" s="112"/>
      <c r="AR357" s="112"/>
      <c r="AS357" s="112"/>
      <c r="AT357" s="112"/>
      <c r="AU357" s="112"/>
      <c r="AV357" s="112"/>
      <c r="AW357" s="112"/>
      <c r="AX357" s="112"/>
      <c r="AY357" s="112"/>
      <c r="BA357" s="112"/>
      <c r="BB357" s="112"/>
      <c r="BC357" s="112"/>
      <c r="BD357" s="112"/>
      <c r="BE357" s="112"/>
      <c r="BF357" s="112"/>
      <c r="BG357" s="112"/>
      <c r="BH357" s="112"/>
      <c r="BI357" s="112"/>
      <c r="BK357" s="112"/>
      <c r="BL357" s="112"/>
      <c r="BM357" s="112"/>
      <c r="BN357" s="112"/>
    </row>
    <row r="358" spans="17:66" x14ac:dyDescent="0.25">
      <c r="Q358" s="112"/>
      <c r="R358" s="112"/>
      <c r="S358" s="112"/>
      <c r="T358" s="112"/>
      <c r="U358" s="112"/>
      <c r="V358" s="112"/>
      <c r="W358" s="112"/>
      <c r="X358" s="112"/>
      <c r="Y358" s="112"/>
      <c r="Z358" s="112"/>
      <c r="AA358" s="112"/>
      <c r="AB358" s="112"/>
      <c r="AC358" s="112"/>
      <c r="AD358" s="112"/>
      <c r="AE358" s="112"/>
      <c r="AF358" s="112"/>
      <c r="AG358" s="112"/>
      <c r="AH358" s="112"/>
      <c r="AI358" s="112"/>
      <c r="AJ358" s="112"/>
      <c r="AK358" s="112"/>
      <c r="AL358" s="112"/>
      <c r="AP358" s="112"/>
      <c r="AQ358" s="112"/>
      <c r="AR358" s="112"/>
      <c r="AS358" s="112"/>
      <c r="AT358" s="112"/>
      <c r="AU358" s="112"/>
      <c r="AV358" s="112"/>
      <c r="AW358" s="112"/>
      <c r="AX358" s="112"/>
      <c r="AY358" s="112"/>
      <c r="BA358" s="112"/>
      <c r="BB358" s="112"/>
      <c r="BC358" s="112"/>
      <c r="BD358" s="112"/>
      <c r="BE358" s="112"/>
      <c r="BF358" s="112"/>
      <c r="BG358" s="112"/>
      <c r="BH358" s="112"/>
      <c r="BI358" s="112"/>
      <c r="BK358" s="112"/>
      <c r="BL358" s="112"/>
      <c r="BM358" s="112"/>
      <c r="BN358" s="112"/>
    </row>
    <row r="359" spans="17:66" x14ac:dyDescent="0.25">
      <c r="Q359" s="112"/>
      <c r="R359" s="112"/>
      <c r="S359" s="112"/>
      <c r="T359" s="112"/>
      <c r="U359" s="112"/>
      <c r="V359" s="112"/>
      <c r="W359" s="112"/>
      <c r="X359" s="112"/>
      <c r="Y359" s="112"/>
      <c r="Z359" s="112"/>
      <c r="AA359" s="112"/>
      <c r="AB359" s="112"/>
      <c r="AC359" s="112"/>
      <c r="AD359" s="112"/>
      <c r="AE359" s="112"/>
      <c r="AF359" s="112"/>
      <c r="AG359" s="112"/>
      <c r="AH359" s="112"/>
      <c r="AI359" s="112"/>
      <c r="AJ359" s="112"/>
      <c r="AK359" s="112"/>
      <c r="AL359" s="112"/>
      <c r="AP359" s="112"/>
      <c r="AQ359" s="112"/>
      <c r="AR359" s="112"/>
      <c r="AS359" s="112"/>
      <c r="AT359" s="112"/>
      <c r="AU359" s="112"/>
      <c r="AV359" s="112"/>
      <c r="AW359" s="112"/>
      <c r="AX359" s="112"/>
      <c r="AY359" s="112"/>
      <c r="BA359" s="112"/>
      <c r="BB359" s="112"/>
      <c r="BC359" s="112"/>
      <c r="BD359" s="112"/>
      <c r="BE359" s="112"/>
      <c r="BF359" s="112"/>
      <c r="BG359" s="112"/>
      <c r="BH359" s="112"/>
      <c r="BI359" s="112"/>
      <c r="BK359" s="112"/>
      <c r="BL359" s="112"/>
      <c r="BM359" s="112"/>
      <c r="BN359" s="112"/>
    </row>
    <row r="360" spans="17:66" x14ac:dyDescent="0.25">
      <c r="Q360" s="112"/>
      <c r="R360" s="112"/>
      <c r="S360" s="112"/>
      <c r="T360" s="112"/>
      <c r="U360" s="112"/>
      <c r="V360" s="112"/>
      <c r="W360" s="112"/>
      <c r="X360" s="112"/>
      <c r="Y360" s="112"/>
      <c r="Z360" s="112"/>
      <c r="AA360" s="112"/>
      <c r="AB360" s="112"/>
      <c r="AC360" s="112"/>
      <c r="AD360" s="112"/>
      <c r="AE360" s="112"/>
      <c r="AF360" s="112"/>
      <c r="AG360" s="112"/>
      <c r="AH360" s="112"/>
      <c r="AI360" s="112"/>
      <c r="AJ360" s="112"/>
      <c r="AK360" s="112"/>
      <c r="AL360" s="112"/>
      <c r="AP360" s="112"/>
      <c r="AQ360" s="112"/>
      <c r="AR360" s="112"/>
      <c r="AS360" s="112"/>
      <c r="AT360" s="112"/>
      <c r="AU360" s="112"/>
      <c r="AV360" s="112"/>
      <c r="AW360" s="112"/>
      <c r="AX360" s="112"/>
      <c r="AY360" s="112"/>
      <c r="BA360" s="112"/>
      <c r="BB360" s="112"/>
      <c r="BC360" s="112"/>
      <c r="BD360" s="112"/>
      <c r="BE360" s="112"/>
      <c r="BF360" s="112"/>
      <c r="BG360" s="112"/>
      <c r="BH360" s="112"/>
      <c r="BI360" s="112"/>
      <c r="BK360" s="112"/>
      <c r="BL360" s="112"/>
      <c r="BM360" s="112"/>
      <c r="BN360" s="112"/>
    </row>
    <row r="361" spans="17:66" x14ac:dyDescent="0.25">
      <c r="Q361" s="112"/>
      <c r="R361" s="112"/>
      <c r="S361" s="112"/>
      <c r="T361" s="112"/>
      <c r="U361" s="112"/>
      <c r="V361" s="112"/>
      <c r="W361" s="112"/>
      <c r="X361" s="112"/>
      <c r="Y361" s="112"/>
      <c r="Z361" s="112"/>
      <c r="AA361" s="112"/>
      <c r="AB361" s="112"/>
      <c r="AC361" s="112"/>
      <c r="AD361" s="112"/>
      <c r="AE361" s="112"/>
      <c r="AF361" s="112"/>
      <c r="AG361" s="112"/>
      <c r="AH361" s="112"/>
      <c r="AI361" s="112"/>
      <c r="AJ361" s="112"/>
      <c r="AK361" s="112"/>
      <c r="AL361" s="112"/>
      <c r="AP361" s="112"/>
      <c r="AQ361" s="112"/>
      <c r="AR361" s="112"/>
      <c r="AS361" s="112"/>
      <c r="AT361" s="112"/>
      <c r="AU361" s="112"/>
      <c r="AV361" s="112"/>
      <c r="AW361" s="112"/>
      <c r="AX361" s="112"/>
      <c r="AY361" s="112"/>
      <c r="BA361" s="112"/>
      <c r="BB361" s="112"/>
      <c r="BC361" s="112"/>
      <c r="BD361" s="112"/>
      <c r="BE361" s="112"/>
      <c r="BF361" s="112"/>
      <c r="BG361" s="112"/>
      <c r="BH361" s="112"/>
      <c r="BI361" s="112"/>
      <c r="BK361" s="112"/>
      <c r="BL361" s="112"/>
      <c r="BM361" s="112"/>
      <c r="BN361" s="112"/>
    </row>
    <row r="362" spans="17:66" x14ac:dyDescent="0.25">
      <c r="Q362" s="112"/>
      <c r="R362" s="112"/>
      <c r="S362" s="112"/>
      <c r="T362" s="112"/>
      <c r="U362" s="112"/>
      <c r="V362" s="112"/>
      <c r="W362" s="112"/>
      <c r="X362" s="112"/>
      <c r="Y362" s="112"/>
      <c r="Z362" s="112"/>
      <c r="AA362" s="112"/>
      <c r="AB362" s="112"/>
      <c r="AC362" s="112"/>
      <c r="AD362" s="112"/>
      <c r="AE362" s="112"/>
      <c r="AF362" s="112"/>
      <c r="AG362" s="112"/>
      <c r="AH362" s="112"/>
      <c r="AI362" s="112"/>
      <c r="AJ362" s="112"/>
      <c r="AK362" s="112"/>
      <c r="AL362" s="112"/>
      <c r="AP362" s="112"/>
      <c r="AQ362" s="112"/>
      <c r="AR362" s="112"/>
      <c r="AS362" s="112"/>
      <c r="AT362" s="112"/>
      <c r="AU362" s="112"/>
      <c r="AV362" s="112"/>
      <c r="AW362" s="112"/>
      <c r="AX362" s="112"/>
      <c r="AY362" s="112"/>
      <c r="BA362" s="112"/>
      <c r="BB362" s="112"/>
      <c r="BC362" s="112"/>
      <c r="BD362" s="112"/>
      <c r="BE362" s="112"/>
      <c r="BF362" s="112"/>
      <c r="BG362" s="112"/>
      <c r="BH362" s="112"/>
      <c r="BI362" s="112"/>
      <c r="BK362" s="112"/>
      <c r="BL362" s="112"/>
      <c r="BM362" s="112"/>
      <c r="BN362" s="112"/>
    </row>
    <row r="363" spans="17:66" x14ac:dyDescent="0.25">
      <c r="Q363" s="112"/>
      <c r="R363" s="112"/>
      <c r="S363" s="112"/>
      <c r="T363" s="112"/>
      <c r="U363" s="112"/>
      <c r="V363" s="112"/>
      <c r="W363" s="112"/>
      <c r="X363" s="112"/>
      <c r="Y363" s="112"/>
      <c r="Z363" s="112"/>
      <c r="AA363" s="112"/>
      <c r="AB363" s="112"/>
      <c r="AC363" s="112"/>
      <c r="AD363" s="112"/>
      <c r="AE363" s="112"/>
      <c r="AF363" s="112"/>
      <c r="AG363" s="112"/>
      <c r="AH363" s="112"/>
      <c r="AI363" s="112"/>
      <c r="AJ363" s="112"/>
      <c r="AK363" s="112"/>
      <c r="AL363" s="112"/>
      <c r="AP363" s="112"/>
      <c r="AQ363" s="112"/>
      <c r="AR363" s="112"/>
      <c r="AS363" s="112"/>
      <c r="AT363" s="112"/>
      <c r="AU363" s="112"/>
      <c r="AV363" s="112"/>
      <c r="AW363" s="112"/>
      <c r="AX363" s="112"/>
      <c r="AY363" s="112"/>
      <c r="BA363" s="112"/>
      <c r="BB363" s="112"/>
      <c r="BC363" s="112"/>
      <c r="BD363" s="112"/>
      <c r="BE363" s="112"/>
      <c r="BF363" s="112"/>
      <c r="BG363" s="112"/>
      <c r="BH363" s="112"/>
      <c r="BI363" s="112"/>
      <c r="BK363" s="112"/>
      <c r="BL363" s="112"/>
      <c r="BM363" s="112"/>
      <c r="BN363" s="112"/>
    </row>
    <row r="364" spans="17:66" x14ac:dyDescent="0.25">
      <c r="Q364" s="112"/>
      <c r="R364" s="112"/>
      <c r="S364" s="112"/>
      <c r="T364" s="112"/>
      <c r="U364" s="112"/>
      <c r="V364" s="112"/>
      <c r="W364" s="112"/>
      <c r="X364" s="112"/>
      <c r="Y364" s="112"/>
      <c r="Z364" s="112"/>
      <c r="AA364" s="112"/>
      <c r="AB364" s="112"/>
      <c r="AC364" s="112"/>
      <c r="AD364" s="112"/>
      <c r="AE364" s="112"/>
      <c r="AF364" s="112"/>
      <c r="AG364" s="112"/>
      <c r="AH364" s="112"/>
      <c r="AI364" s="112"/>
      <c r="AJ364" s="112"/>
      <c r="AK364" s="112"/>
      <c r="AL364" s="112"/>
      <c r="AP364" s="112"/>
      <c r="AQ364" s="112"/>
      <c r="AR364" s="112"/>
      <c r="AS364" s="112"/>
      <c r="AT364" s="112"/>
      <c r="AU364" s="112"/>
      <c r="AV364" s="112"/>
      <c r="AW364" s="112"/>
      <c r="AX364" s="112"/>
      <c r="AY364" s="112"/>
      <c r="BA364" s="112"/>
      <c r="BB364" s="112"/>
      <c r="BC364" s="112"/>
      <c r="BD364" s="112"/>
      <c r="BE364" s="112"/>
      <c r="BF364" s="112"/>
      <c r="BG364" s="112"/>
      <c r="BH364" s="112"/>
      <c r="BI364" s="112"/>
      <c r="BK364" s="112"/>
      <c r="BL364" s="112"/>
      <c r="BM364" s="112"/>
      <c r="BN364" s="112"/>
    </row>
    <row r="365" spans="17:66" x14ac:dyDescent="0.25">
      <c r="Q365" s="112"/>
      <c r="R365" s="112"/>
      <c r="S365" s="112"/>
      <c r="T365" s="112"/>
      <c r="U365" s="112"/>
      <c r="V365" s="112"/>
      <c r="W365" s="112"/>
      <c r="X365" s="112"/>
      <c r="Y365" s="112"/>
      <c r="Z365" s="112"/>
      <c r="AA365" s="112"/>
      <c r="AB365" s="112"/>
      <c r="AC365" s="112"/>
      <c r="AD365" s="112"/>
      <c r="AE365" s="112"/>
      <c r="AF365" s="112"/>
      <c r="AG365" s="112"/>
      <c r="AH365" s="112"/>
      <c r="AI365" s="112"/>
      <c r="AJ365" s="112"/>
      <c r="AK365" s="112"/>
      <c r="AL365" s="112"/>
      <c r="AP365" s="112"/>
      <c r="AQ365" s="112"/>
      <c r="AR365" s="112"/>
      <c r="AS365" s="112"/>
      <c r="AT365" s="112"/>
      <c r="AU365" s="112"/>
      <c r="AV365" s="112"/>
      <c r="AW365" s="112"/>
      <c r="AX365" s="112"/>
      <c r="AY365" s="112"/>
      <c r="BA365" s="112"/>
      <c r="BB365" s="112"/>
      <c r="BC365" s="112"/>
      <c r="BD365" s="112"/>
      <c r="BE365" s="112"/>
      <c r="BF365" s="112"/>
      <c r="BG365" s="112"/>
      <c r="BH365" s="112"/>
      <c r="BI365" s="112"/>
      <c r="BK365" s="112"/>
      <c r="BL365" s="112"/>
      <c r="BM365" s="112"/>
      <c r="BN365" s="112"/>
    </row>
    <row r="366" spans="17:66" x14ac:dyDescent="0.25">
      <c r="Q366" s="112"/>
      <c r="R366" s="112"/>
      <c r="S366" s="112"/>
      <c r="T366" s="112"/>
      <c r="U366" s="112"/>
      <c r="V366" s="112"/>
      <c r="W366" s="112"/>
      <c r="X366" s="112"/>
      <c r="Y366" s="112"/>
      <c r="Z366" s="112"/>
      <c r="AA366" s="112"/>
      <c r="AB366" s="112"/>
      <c r="AC366" s="112"/>
      <c r="AD366" s="112"/>
      <c r="AE366" s="112"/>
      <c r="AF366" s="112"/>
      <c r="AG366" s="112"/>
      <c r="AH366" s="112"/>
      <c r="AI366" s="112"/>
      <c r="AJ366" s="112"/>
      <c r="AK366" s="112"/>
      <c r="AL366" s="112"/>
      <c r="AP366" s="112"/>
      <c r="AQ366" s="112"/>
      <c r="AR366" s="112"/>
      <c r="AS366" s="112"/>
      <c r="AT366" s="112"/>
      <c r="AU366" s="112"/>
      <c r="AV366" s="112"/>
      <c r="AW366" s="112"/>
      <c r="AX366" s="112"/>
      <c r="AY366" s="112"/>
      <c r="BA366" s="112"/>
      <c r="BB366" s="112"/>
      <c r="BC366" s="112"/>
      <c r="BD366" s="112"/>
      <c r="BE366" s="112"/>
      <c r="BF366" s="112"/>
      <c r="BG366" s="112"/>
      <c r="BH366" s="112"/>
      <c r="BI366" s="112"/>
      <c r="BK366" s="112"/>
      <c r="BL366" s="112"/>
      <c r="BM366" s="112"/>
      <c r="BN366" s="112"/>
    </row>
    <row r="367" spans="17:66" x14ac:dyDescent="0.25">
      <c r="Q367" s="112"/>
      <c r="R367" s="112"/>
      <c r="S367" s="112"/>
      <c r="T367" s="112"/>
      <c r="U367" s="112"/>
      <c r="V367" s="112"/>
      <c r="W367" s="112"/>
      <c r="X367" s="112"/>
      <c r="Y367" s="112"/>
      <c r="Z367" s="112"/>
      <c r="AA367" s="112"/>
      <c r="AB367" s="112"/>
      <c r="AC367" s="112"/>
      <c r="AD367" s="112"/>
      <c r="AE367" s="112"/>
      <c r="AF367" s="112"/>
      <c r="AG367" s="112"/>
      <c r="AH367" s="112"/>
      <c r="AI367" s="112"/>
      <c r="AJ367" s="112"/>
      <c r="AK367" s="112"/>
      <c r="AL367" s="112"/>
      <c r="AP367" s="112"/>
      <c r="AQ367" s="112"/>
      <c r="AR367" s="112"/>
      <c r="AS367" s="112"/>
      <c r="AT367" s="112"/>
      <c r="AU367" s="112"/>
      <c r="AV367" s="112"/>
      <c r="AW367" s="112"/>
      <c r="AX367" s="112"/>
      <c r="AY367" s="112"/>
      <c r="BA367" s="112"/>
      <c r="BB367" s="112"/>
      <c r="BC367" s="112"/>
      <c r="BD367" s="112"/>
      <c r="BE367" s="112"/>
      <c r="BF367" s="112"/>
      <c r="BG367" s="112"/>
      <c r="BH367" s="112"/>
      <c r="BI367" s="112"/>
      <c r="BK367" s="112"/>
      <c r="BL367" s="112"/>
      <c r="BM367" s="112"/>
      <c r="BN367" s="112"/>
    </row>
    <row r="368" spans="17:66" x14ac:dyDescent="0.25">
      <c r="Q368" s="112"/>
      <c r="R368" s="112"/>
      <c r="S368" s="112"/>
      <c r="T368" s="112"/>
      <c r="U368" s="112"/>
      <c r="V368" s="112"/>
      <c r="W368" s="112"/>
      <c r="X368" s="112"/>
      <c r="Y368" s="112"/>
      <c r="Z368" s="112"/>
      <c r="AA368" s="112"/>
      <c r="AB368" s="112"/>
      <c r="AC368" s="112"/>
      <c r="AD368" s="112"/>
      <c r="AE368" s="112"/>
      <c r="AF368" s="112"/>
      <c r="AG368" s="112"/>
      <c r="AH368" s="112"/>
      <c r="AI368" s="112"/>
      <c r="AJ368" s="112"/>
      <c r="AK368" s="112"/>
      <c r="AL368" s="112"/>
      <c r="AP368" s="112"/>
      <c r="AQ368" s="112"/>
      <c r="AR368" s="112"/>
      <c r="AS368" s="112"/>
      <c r="AT368" s="112"/>
      <c r="AU368" s="112"/>
      <c r="AV368" s="112"/>
      <c r="AW368" s="112"/>
      <c r="AX368" s="112"/>
      <c r="AY368" s="112"/>
      <c r="BA368" s="112"/>
      <c r="BB368" s="112"/>
      <c r="BC368" s="112"/>
      <c r="BD368" s="112"/>
      <c r="BE368" s="112"/>
      <c r="BF368" s="112"/>
      <c r="BG368" s="112"/>
      <c r="BH368" s="112"/>
      <c r="BI368" s="112"/>
      <c r="BK368" s="112"/>
      <c r="BL368" s="112"/>
      <c r="BM368" s="112"/>
      <c r="BN368" s="112"/>
    </row>
    <row r="369" spans="17:66" x14ac:dyDescent="0.25">
      <c r="Q369" s="112"/>
      <c r="R369" s="112"/>
      <c r="S369" s="112"/>
      <c r="T369" s="112"/>
      <c r="U369" s="112"/>
      <c r="V369" s="112"/>
      <c r="W369" s="112"/>
      <c r="X369" s="112"/>
      <c r="Y369" s="112"/>
      <c r="Z369" s="112"/>
      <c r="AA369" s="112"/>
      <c r="AB369" s="112"/>
      <c r="AC369" s="112"/>
      <c r="AD369" s="112"/>
      <c r="AE369" s="112"/>
      <c r="AF369" s="112"/>
      <c r="AG369" s="112"/>
      <c r="AH369" s="112"/>
      <c r="AI369" s="112"/>
      <c r="AJ369" s="112"/>
      <c r="AK369" s="112"/>
      <c r="AL369" s="112"/>
      <c r="AP369" s="112"/>
      <c r="AQ369" s="112"/>
      <c r="AR369" s="112"/>
      <c r="AS369" s="112"/>
      <c r="AT369" s="112"/>
      <c r="AU369" s="112"/>
      <c r="AV369" s="112"/>
      <c r="AW369" s="112"/>
      <c r="AX369" s="112"/>
      <c r="AY369" s="112"/>
      <c r="BA369" s="112"/>
      <c r="BB369" s="112"/>
      <c r="BC369" s="112"/>
      <c r="BD369" s="112"/>
      <c r="BE369" s="112"/>
      <c r="BF369" s="112"/>
      <c r="BG369" s="112"/>
      <c r="BH369" s="112"/>
      <c r="BI369" s="112"/>
      <c r="BK369" s="112"/>
      <c r="BL369" s="112"/>
      <c r="BM369" s="112"/>
      <c r="BN369" s="112"/>
    </row>
    <row r="370" spans="17:66" x14ac:dyDescent="0.25">
      <c r="Q370" s="112"/>
      <c r="R370" s="112"/>
      <c r="S370" s="112"/>
      <c r="T370" s="112"/>
      <c r="U370" s="112"/>
      <c r="V370" s="112"/>
      <c r="W370" s="112"/>
      <c r="X370" s="112"/>
      <c r="Y370" s="112"/>
      <c r="Z370" s="112"/>
      <c r="AA370" s="112"/>
      <c r="AB370" s="112"/>
      <c r="AC370" s="112"/>
      <c r="AD370" s="112"/>
      <c r="AE370" s="112"/>
      <c r="AF370" s="112"/>
      <c r="AG370" s="112"/>
      <c r="AH370" s="112"/>
      <c r="AI370" s="112"/>
      <c r="AJ370" s="112"/>
      <c r="AK370" s="112"/>
      <c r="AL370" s="112"/>
      <c r="AP370" s="112"/>
      <c r="AQ370" s="112"/>
      <c r="AR370" s="112"/>
      <c r="AS370" s="112"/>
      <c r="AT370" s="112"/>
      <c r="AU370" s="112"/>
      <c r="AV370" s="112"/>
      <c r="AW370" s="112"/>
      <c r="AX370" s="112"/>
      <c r="AY370" s="112"/>
      <c r="BA370" s="112"/>
      <c r="BB370" s="112"/>
      <c r="BC370" s="112"/>
      <c r="BD370" s="112"/>
      <c r="BE370" s="112"/>
      <c r="BF370" s="112"/>
      <c r="BG370" s="112"/>
      <c r="BH370" s="112"/>
      <c r="BI370" s="112"/>
      <c r="BK370" s="112"/>
      <c r="BL370" s="112"/>
      <c r="BM370" s="112"/>
      <c r="BN370" s="112"/>
    </row>
    <row r="371" spans="17:66" x14ac:dyDescent="0.25">
      <c r="Q371" s="112"/>
      <c r="R371" s="112"/>
      <c r="S371" s="112"/>
      <c r="T371" s="112"/>
      <c r="U371" s="112"/>
      <c r="V371" s="112"/>
      <c r="W371" s="112"/>
      <c r="X371" s="112"/>
      <c r="Y371" s="112"/>
      <c r="Z371" s="112"/>
      <c r="AA371" s="112"/>
      <c r="AB371" s="112"/>
      <c r="AC371" s="112"/>
      <c r="AD371" s="112"/>
      <c r="AE371" s="112"/>
      <c r="AF371" s="112"/>
      <c r="AG371" s="112"/>
      <c r="AH371" s="112"/>
      <c r="AI371" s="112"/>
      <c r="AJ371" s="112"/>
      <c r="AK371" s="112"/>
      <c r="AL371" s="112"/>
      <c r="AP371" s="112"/>
      <c r="AQ371" s="112"/>
      <c r="AR371" s="112"/>
      <c r="AS371" s="112"/>
      <c r="AT371" s="112"/>
      <c r="AU371" s="112"/>
      <c r="AV371" s="112"/>
      <c r="AW371" s="112"/>
      <c r="AX371" s="112"/>
      <c r="AY371" s="112"/>
      <c r="BA371" s="112"/>
      <c r="BB371" s="112"/>
      <c r="BC371" s="112"/>
      <c r="BD371" s="112"/>
      <c r="BE371" s="112"/>
      <c r="BF371" s="112"/>
      <c r="BG371" s="112"/>
      <c r="BH371" s="112"/>
      <c r="BI371" s="112"/>
      <c r="BK371" s="112"/>
      <c r="BL371" s="112"/>
      <c r="BM371" s="112"/>
      <c r="BN371" s="112"/>
    </row>
    <row r="372" spans="17:66" x14ac:dyDescent="0.25">
      <c r="Q372" s="112"/>
      <c r="R372" s="112"/>
      <c r="S372" s="112"/>
      <c r="T372" s="112"/>
      <c r="U372" s="112"/>
      <c r="V372" s="112"/>
      <c r="W372" s="112"/>
      <c r="X372" s="112"/>
      <c r="Y372" s="112"/>
      <c r="Z372" s="112"/>
      <c r="AA372" s="112"/>
      <c r="AB372" s="112"/>
      <c r="AC372" s="112"/>
      <c r="AD372" s="112"/>
      <c r="AE372" s="112"/>
      <c r="AF372" s="112"/>
      <c r="AG372" s="112"/>
      <c r="AH372" s="112"/>
      <c r="AI372" s="112"/>
      <c r="AJ372" s="112"/>
      <c r="AK372" s="112"/>
      <c r="AL372" s="112"/>
      <c r="AP372" s="112"/>
      <c r="AQ372" s="112"/>
      <c r="AR372" s="112"/>
      <c r="AS372" s="112"/>
      <c r="AT372" s="112"/>
      <c r="AU372" s="112"/>
      <c r="AV372" s="112"/>
      <c r="AW372" s="112"/>
      <c r="AX372" s="112"/>
      <c r="AY372" s="112"/>
      <c r="BA372" s="112"/>
      <c r="BB372" s="112"/>
      <c r="BC372" s="112"/>
      <c r="BD372" s="112"/>
      <c r="BE372" s="112"/>
      <c r="BF372" s="112"/>
      <c r="BG372" s="112"/>
      <c r="BH372" s="112"/>
      <c r="BI372" s="112"/>
      <c r="BK372" s="112"/>
      <c r="BL372" s="112"/>
      <c r="BM372" s="112"/>
      <c r="BN372" s="112"/>
    </row>
    <row r="373" spans="17:66" x14ac:dyDescent="0.25">
      <c r="Q373" s="112"/>
      <c r="R373" s="112"/>
      <c r="S373" s="112"/>
      <c r="T373" s="112"/>
      <c r="U373" s="112"/>
      <c r="V373" s="112"/>
      <c r="W373" s="112"/>
      <c r="X373" s="112"/>
      <c r="Y373" s="112"/>
      <c r="Z373" s="112"/>
      <c r="AA373" s="112"/>
      <c r="AB373" s="112"/>
      <c r="AC373" s="112"/>
      <c r="AD373" s="112"/>
      <c r="AE373" s="112"/>
      <c r="AF373" s="112"/>
      <c r="AG373" s="112"/>
      <c r="AH373" s="112"/>
      <c r="AI373" s="112"/>
      <c r="AJ373" s="112"/>
      <c r="AK373" s="112"/>
      <c r="AL373" s="112"/>
      <c r="AP373" s="112"/>
      <c r="AQ373" s="112"/>
      <c r="AR373" s="112"/>
      <c r="AS373" s="112"/>
      <c r="AT373" s="112"/>
      <c r="AU373" s="112"/>
      <c r="AV373" s="112"/>
      <c r="AW373" s="112"/>
      <c r="AX373" s="112"/>
      <c r="AY373" s="112"/>
      <c r="BA373" s="112"/>
      <c r="BB373" s="112"/>
      <c r="BC373" s="112"/>
      <c r="BD373" s="112"/>
      <c r="BE373" s="112"/>
      <c r="BF373" s="112"/>
      <c r="BG373" s="112"/>
      <c r="BH373" s="112"/>
      <c r="BI373" s="112"/>
      <c r="BK373" s="112"/>
      <c r="BL373" s="112"/>
      <c r="BM373" s="112"/>
      <c r="BN373" s="112"/>
    </row>
    <row r="374" spans="17:66" x14ac:dyDescent="0.25">
      <c r="Q374" s="112"/>
      <c r="R374" s="112"/>
      <c r="S374" s="112"/>
      <c r="T374" s="112"/>
      <c r="U374" s="112"/>
      <c r="V374" s="112"/>
      <c r="W374" s="112"/>
      <c r="X374" s="112"/>
      <c r="Y374" s="112"/>
      <c r="Z374" s="112"/>
      <c r="AA374" s="112"/>
      <c r="AB374" s="112"/>
      <c r="AC374" s="112"/>
      <c r="AD374" s="112"/>
      <c r="AE374" s="112"/>
      <c r="AF374" s="112"/>
      <c r="AG374" s="112"/>
      <c r="AH374" s="112"/>
      <c r="AI374" s="112"/>
      <c r="AJ374" s="112"/>
      <c r="AK374" s="112"/>
      <c r="AL374" s="112"/>
      <c r="AP374" s="112"/>
      <c r="AQ374" s="112"/>
      <c r="AR374" s="112"/>
      <c r="AS374" s="112"/>
      <c r="AT374" s="112"/>
      <c r="AU374" s="112"/>
      <c r="AV374" s="112"/>
      <c r="AW374" s="112"/>
      <c r="AX374" s="112"/>
      <c r="AY374" s="112"/>
      <c r="BA374" s="112"/>
      <c r="BB374" s="112"/>
      <c r="BC374" s="112"/>
      <c r="BD374" s="112"/>
      <c r="BE374" s="112"/>
      <c r="BF374" s="112"/>
      <c r="BG374" s="112"/>
      <c r="BH374" s="112"/>
      <c r="BI374" s="112"/>
      <c r="BK374" s="112"/>
      <c r="BL374" s="112"/>
      <c r="BM374" s="112"/>
      <c r="BN374" s="112"/>
    </row>
    <row r="375" spans="17:66" x14ac:dyDescent="0.25">
      <c r="Q375" s="112"/>
      <c r="R375" s="112"/>
      <c r="S375" s="112"/>
      <c r="T375" s="112"/>
      <c r="U375" s="112"/>
      <c r="V375" s="112"/>
      <c r="W375" s="112"/>
      <c r="X375" s="112"/>
      <c r="Y375" s="112"/>
      <c r="Z375" s="112"/>
      <c r="AA375" s="112"/>
      <c r="AB375" s="112"/>
      <c r="AC375" s="112"/>
      <c r="AD375" s="112"/>
      <c r="AE375" s="112"/>
      <c r="AF375" s="112"/>
      <c r="AG375" s="112"/>
      <c r="AH375" s="112"/>
      <c r="AI375" s="112"/>
      <c r="AJ375" s="112"/>
      <c r="AK375" s="112"/>
      <c r="AL375" s="112"/>
      <c r="AP375" s="112"/>
      <c r="AQ375" s="112"/>
      <c r="AR375" s="112"/>
      <c r="AS375" s="112"/>
      <c r="AT375" s="112"/>
      <c r="AU375" s="112"/>
      <c r="AV375" s="112"/>
      <c r="AW375" s="112"/>
      <c r="AX375" s="112"/>
      <c r="AY375" s="112"/>
      <c r="BA375" s="112"/>
      <c r="BB375" s="112"/>
      <c r="BC375" s="112"/>
      <c r="BD375" s="112"/>
      <c r="BE375" s="112"/>
      <c r="BF375" s="112"/>
      <c r="BG375" s="112"/>
      <c r="BH375" s="112"/>
      <c r="BI375" s="112"/>
      <c r="BK375" s="112"/>
      <c r="BL375" s="112"/>
      <c r="BM375" s="112"/>
      <c r="BN375" s="112"/>
    </row>
    <row r="376" spans="17:66" x14ac:dyDescent="0.25">
      <c r="Q376" s="112"/>
      <c r="R376" s="112"/>
      <c r="S376" s="112"/>
      <c r="T376" s="112"/>
      <c r="U376" s="112"/>
      <c r="V376" s="112"/>
      <c r="W376" s="112"/>
      <c r="X376" s="112"/>
      <c r="Y376" s="112"/>
      <c r="Z376" s="112"/>
      <c r="AA376" s="112"/>
      <c r="AB376" s="112"/>
      <c r="AC376" s="112"/>
      <c r="AD376" s="112"/>
      <c r="AE376" s="112"/>
      <c r="AF376" s="112"/>
      <c r="AG376" s="112"/>
      <c r="AH376" s="112"/>
      <c r="AI376" s="112"/>
      <c r="AJ376" s="112"/>
      <c r="AK376" s="112"/>
      <c r="AL376" s="112"/>
      <c r="AP376" s="112"/>
      <c r="AQ376" s="112"/>
      <c r="AR376" s="112"/>
      <c r="AS376" s="112"/>
      <c r="AT376" s="112"/>
      <c r="AU376" s="112"/>
      <c r="AV376" s="112"/>
      <c r="AW376" s="112"/>
      <c r="AX376" s="112"/>
      <c r="AY376" s="112"/>
      <c r="BA376" s="112"/>
      <c r="BB376" s="112"/>
      <c r="BC376" s="112"/>
      <c r="BD376" s="112"/>
      <c r="BE376" s="112"/>
      <c r="BF376" s="112"/>
      <c r="BG376" s="112"/>
      <c r="BH376" s="112"/>
      <c r="BI376" s="112"/>
      <c r="BK376" s="112"/>
      <c r="BL376" s="112"/>
      <c r="BM376" s="112"/>
      <c r="BN376" s="112"/>
    </row>
    <row r="377" spans="17:66" x14ac:dyDescent="0.25">
      <c r="Q377" s="112"/>
      <c r="R377" s="112"/>
      <c r="S377" s="112"/>
      <c r="T377" s="112"/>
      <c r="U377" s="112"/>
      <c r="V377" s="112"/>
      <c r="W377" s="112"/>
      <c r="X377" s="112"/>
      <c r="Y377" s="112"/>
      <c r="Z377" s="112"/>
      <c r="AA377" s="112"/>
      <c r="AB377" s="112"/>
      <c r="AC377" s="112"/>
      <c r="AD377" s="112"/>
      <c r="AE377" s="112"/>
      <c r="AF377" s="112"/>
      <c r="AG377" s="112"/>
      <c r="AH377" s="112"/>
      <c r="AI377" s="112"/>
      <c r="AJ377" s="112"/>
      <c r="AK377" s="112"/>
      <c r="AL377" s="112"/>
      <c r="AP377" s="112"/>
      <c r="AQ377" s="112"/>
      <c r="AR377" s="112"/>
      <c r="AS377" s="112"/>
      <c r="AT377" s="112"/>
      <c r="AU377" s="112"/>
      <c r="AV377" s="112"/>
      <c r="AW377" s="112"/>
      <c r="AX377" s="112"/>
      <c r="AY377" s="112"/>
      <c r="BA377" s="112"/>
      <c r="BB377" s="112"/>
      <c r="BC377" s="112"/>
      <c r="BD377" s="112"/>
      <c r="BE377" s="112"/>
      <c r="BF377" s="112"/>
      <c r="BG377" s="112"/>
      <c r="BH377" s="112"/>
      <c r="BI377" s="112"/>
      <c r="BK377" s="112"/>
      <c r="BL377" s="112"/>
      <c r="BM377" s="112"/>
      <c r="BN377" s="112"/>
    </row>
    <row r="378" spans="17:66" x14ac:dyDescent="0.25">
      <c r="Q378" s="112"/>
      <c r="R378" s="112"/>
      <c r="S378" s="112"/>
      <c r="T378" s="112"/>
      <c r="U378" s="112"/>
      <c r="V378" s="112"/>
      <c r="W378" s="112"/>
      <c r="X378" s="112"/>
      <c r="Y378" s="112"/>
      <c r="Z378" s="112"/>
      <c r="AA378" s="112"/>
      <c r="AB378" s="112"/>
      <c r="AC378" s="112"/>
      <c r="AD378" s="112"/>
      <c r="AE378" s="112"/>
      <c r="AF378" s="112"/>
      <c r="AG378" s="112"/>
      <c r="AH378" s="112"/>
      <c r="AI378" s="112"/>
      <c r="AJ378" s="112"/>
      <c r="AK378" s="112"/>
      <c r="AL378" s="112"/>
      <c r="AP378" s="112"/>
      <c r="AQ378" s="112"/>
      <c r="AR378" s="112"/>
      <c r="AS378" s="112"/>
      <c r="AT378" s="112"/>
      <c r="AU378" s="112"/>
      <c r="AV378" s="112"/>
      <c r="AW378" s="112"/>
      <c r="AX378" s="112"/>
      <c r="AY378" s="112"/>
      <c r="BA378" s="112"/>
      <c r="BB378" s="112"/>
      <c r="BC378" s="112"/>
      <c r="BD378" s="112"/>
      <c r="BE378" s="112"/>
      <c r="BF378" s="112"/>
      <c r="BG378" s="112"/>
      <c r="BH378" s="112"/>
      <c r="BI378" s="112"/>
      <c r="BK378" s="112"/>
      <c r="BL378" s="112"/>
      <c r="BM378" s="112"/>
      <c r="BN378" s="112"/>
    </row>
    <row r="379" spans="17:66" x14ac:dyDescent="0.25">
      <c r="Q379" s="112"/>
      <c r="R379" s="112"/>
      <c r="S379" s="112"/>
      <c r="T379" s="112"/>
      <c r="U379" s="112"/>
      <c r="V379" s="112"/>
      <c r="W379" s="112"/>
      <c r="X379" s="112"/>
      <c r="Y379" s="112"/>
      <c r="Z379" s="112"/>
      <c r="AA379" s="112"/>
      <c r="AB379" s="112"/>
      <c r="AC379" s="112"/>
      <c r="AD379" s="112"/>
      <c r="AE379" s="112"/>
      <c r="AF379" s="112"/>
      <c r="AG379" s="112"/>
      <c r="AH379" s="112"/>
      <c r="AI379" s="112"/>
      <c r="AJ379" s="112"/>
      <c r="AK379" s="112"/>
      <c r="AL379" s="112"/>
      <c r="AP379" s="112"/>
      <c r="AQ379" s="112"/>
      <c r="AR379" s="112"/>
      <c r="AS379" s="112"/>
      <c r="AT379" s="112"/>
      <c r="AU379" s="112"/>
      <c r="AV379" s="112"/>
      <c r="AW379" s="112"/>
      <c r="AX379" s="112"/>
      <c r="AY379" s="112"/>
      <c r="BA379" s="112"/>
      <c r="BB379" s="112"/>
      <c r="BC379" s="112"/>
      <c r="BD379" s="112"/>
      <c r="BE379" s="112"/>
      <c r="BF379" s="112"/>
      <c r="BG379" s="112"/>
      <c r="BH379" s="112"/>
      <c r="BI379" s="112"/>
      <c r="BK379" s="112"/>
      <c r="BL379" s="112"/>
      <c r="BM379" s="112"/>
      <c r="BN379" s="112"/>
    </row>
    <row r="380" spans="17:66" x14ac:dyDescent="0.25">
      <c r="Q380" s="112"/>
      <c r="R380" s="112"/>
      <c r="S380" s="112"/>
      <c r="T380" s="112"/>
      <c r="U380" s="112"/>
      <c r="V380" s="112"/>
      <c r="W380" s="112"/>
      <c r="X380" s="112"/>
      <c r="Y380" s="112"/>
      <c r="Z380" s="112"/>
      <c r="AA380" s="112"/>
      <c r="AB380" s="112"/>
      <c r="AC380" s="112"/>
      <c r="AD380" s="112"/>
      <c r="AE380" s="112"/>
      <c r="AF380" s="112"/>
      <c r="AG380" s="112"/>
      <c r="AH380" s="112"/>
      <c r="AI380" s="112"/>
      <c r="AJ380" s="112"/>
      <c r="AK380" s="112"/>
      <c r="AL380" s="112"/>
      <c r="AP380" s="112"/>
      <c r="AQ380" s="112"/>
      <c r="AR380" s="112"/>
      <c r="AS380" s="112"/>
      <c r="AT380" s="112"/>
      <c r="AU380" s="112"/>
      <c r="AV380" s="112"/>
      <c r="AW380" s="112"/>
      <c r="AX380" s="112"/>
      <c r="AY380" s="112"/>
      <c r="BA380" s="112"/>
      <c r="BB380" s="112"/>
      <c r="BC380" s="112"/>
      <c r="BD380" s="112"/>
      <c r="BE380" s="112"/>
      <c r="BF380" s="112"/>
      <c r="BG380" s="112"/>
      <c r="BH380" s="112"/>
      <c r="BI380" s="112"/>
      <c r="BK380" s="112"/>
      <c r="BL380" s="112"/>
      <c r="BM380" s="112"/>
      <c r="BN380" s="112"/>
    </row>
    <row r="381" spans="17:66" x14ac:dyDescent="0.25">
      <c r="Q381" s="112"/>
      <c r="R381" s="112"/>
      <c r="S381" s="112"/>
      <c r="T381" s="112"/>
      <c r="U381" s="112"/>
      <c r="V381" s="112"/>
      <c r="W381" s="112"/>
      <c r="X381" s="112"/>
      <c r="Y381" s="112"/>
      <c r="Z381" s="112"/>
      <c r="AA381" s="112"/>
      <c r="AB381" s="112"/>
      <c r="AC381" s="112"/>
      <c r="AD381" s="112"/>
      <c r="AE381" s="112"/>
      <c r="AF381" s="112"/>
      <c r="AG381" s="112"/>
      <c r="AH381" s="112"/>
      <c r="AI381" s="112"/>
      <c r="AJ381" s="112"/>
      <c r="AK381" s="112"/>
      <c r="AL381" s="112"/>
      <c r="AP381" s="112"/>
      <c r="AQ381" s="112"/>
      <c r="AR381" s="112"/>
      <c r="AS381" s="112"/>
      <c r="AT381" s="112"/>
      <c r="AU381" s="112"/>
      <c r="AV381" s="112"/>
      <c r="AW381" s="112"/>
      <c r="AX381" s="112"/>
      <c r="AY381" s="112"/>
      <c r="BA381" s="112"/>
      <c r="BB381" s="112"/>
      <c r="BC381" s="112"/>
      <c r="BD381" s="112"/>
      <c r="BE381" s="112"/>
      <c r="BF381" s="112"/>
      <c r="BG381" s="112"/>
      <c r="BH381" s="112"/>
      <c r="BI381" s="112"/>
      <c r="BK381" s="112"/>
      <c r="BL381" s="112"/>
      <c r="BM381" s="112"/>
      <c r="BN381" s="112"/>
    </row>
    <row r="382" spans="17:66" x14ac:dyDescent="0.25">
      <c r="Q382" s="112"/>
      <c r="R382" s="112"/>
      <c r="S382" s="112"/>
      <c r="T382" s="112"/>
      <c r="U382" s="112"/>
      <c r="V382" s="112"/>
      <c r="W382" s="112"/>
      <c r="X382" s="112"/>
      <c r="Y382" s="112"/>
      <c r="Z382" s="112"/>
      <c r="AA382" s="112"/>
      <c r="AB382" s="112"/>
      <c r="AC382" s="112"/>
      <c r="AD382" s="112"/>
      <c r="AE382" s="112"/>
      <c r="AF382" s="112"/>
      <c r="AG382" s="112"/>
      <c r="AH382" s="112"/>
      <c r="AI382" s="112"/>
      <c r="AJ382" s="112"/>
      <c r="AK382" s="112"/>
      <c r="AL382" s="112"/>
      <c r="AP382" s="112"/>
      <c r="AQ382" s="112"/>
      <c r="AR382" s="112"/>
      <c r="AS382" s="112"/>
      <c r="AT382" s="112"/>
      <c r="AU382" s="112"/>
      <c r="AV382" s="112"/>
      <c r="AW382" s="112"/>
      <c r="AX382" s="112"/>
      <c r="AY382" s="112"/>
      <c r="BA382" s="112"/>
      <c r="BB382" s="112"/>
      <c r="BC382" s="112"/>
      <c r="BD382" s="112"/>
      <c r="BE382" s="112"/>
      <c r="BF382" s="112"/>
      <c r="BG382" s="112"/>
      <c r="BH382" s="112"/>
      <c r="BI382" s="112"/>
      <c r="BK382" s="112"/>
      <c r="BL382" s="112"/>
      <c r="BM382" s="112"/>
      <c r="BN382" s="112"/>
    </row>
    <row r="383" spans="17:66" x14ac:dyDescent="0.25">
      <c r="Q383" s="112"/>
      <c r="R383" s="112"/>
      <c r="S383" s="112"/>
      <c r="T383" s="112"/>
      <c r="U383" s="112"/>
      <c r="V383" s="112"/>
      <c r="W383" s="112"/>
      <c r="X383" s="112"/>
      <c r="Y383" s="112"/>
      <c r="Z383" s="112"/>
      <c r="AA383" s="112"/>
      <c r="AB383" s="112"/>
      <c r="AC383" s="112"/>
      <c r="AD383" s="112"/>
      <c r="AE383" s="112"/>
      <c r="AF383" s="112"/>
      <c r="AG383" s="112"/>
      <c r="AH383" s="112"/>
      <c r="AI383" s="112"/>
      <c r="AJ383" s="112"/>
      <c r="AK383" s="112"/>
      <c r="AL383" s="112"/>
      <c r="AP383" s="112"/>
      <c r="AQ383" s="112"/>
      <c r="AR383" s="112"/>
      <c r="AS383" s="112"/>
      <c r="AT383" s="112"/>
      <c r="AU383" s="112"/>
      <c r="AV383" s="112"/>
      <c r="AW383" s="112"/>
      <c r="AX383" s="112"/>
      <c r="AY383" s="112"/>
      <c r="BA383" s="112"/>
      <c r="BB383" s="112"/>
      <c r="BC383" s="112"/>
      <c r="BD383" s="112"/>
      <c r="BE383" s="112"/>
      <c r="BF383" s="112"/>
      <c r="BG383" s="112"/>
      <c r="BH383" s="112"/>
      <c r="BI383" s="112"/>
      <c r="BK383" s="112"/>
      <c r="BL383" s="112"/>
      <c r="BM383" s="112"/>
      <c r="BN383" s="112"/>
    </row>
    <row r="384" spans="17:66" x14ac:dyDescent="0.25">
      <c r="Q384" s="112"/>
      <c r="R384" s="112"/>
      <c r="S384" s="112"/>
      <c r="T384" s="112"/>
      <c r="U384" s="112"/>
      <c r="V384" s="112"/>
      <c r="W384" s="112"/>
      <c r="X384" s="112"/>
      <c r="Y384" s="112"/>
      <c r="Z384" s="112"/>
      <c r="AA384" s="112"/>
      <c r="AB384" s="112"/>
      <c r="AC384" s="112"/>
      <c r="AD384" s="112"/>
      <c r="AE384" s="112"/>
      <c r="AF384" s="112"/>
      <c r="AG384" s="112"/>
      <c r="AH384" s="112"/>
      <c r="AI384" s="112"/>
      <c r="AJ384" s="112"/>
      <c r="AK384" s="112"/>
      <c r="AL384" s="112"/>
      <c r="AP384" s="112"/>
      <c r="AQ384" s="112"/>
      <c r="AR384" s="112"/>
      <c r="AS384" s="112"/>
      <c r="AT384" s="112"/>
      <c r="AU384" s="112"/>
      <c r="AV384" s="112"/>
      <c r="AW384" s="112"/>
      <c r="AX384" s="112"/>
      <c r="AY384" s="112"/>
      <c r="BA384" s="112"/>
      <c r="BB384" s="112"/>
      <c r="BC384" s="112"/>
      <c r="BD384" s="112"/>
      <c r="BE384" s="112"/>
      <c r="BF384" s="112"/>
      <c r="BG384" s="112"/>
      <c r="BH384" s="112"/>
      <c r="BI384" s="112"/>
      <c r="BK384" s="112"/>
      <c r="BL384" s="112"/>
      <c r="BM384" s="112"/>
      <c r="BN384" s="112"/>
    </row>
    <row r="385" spans="17:66" x14ac:dyDescent="0.25">
      <c r="Q385" s="112"/>
      <c r="R385" s="112"/>
      <c r="S385" s="112"/>
      <c r="T385" s="112"/>
      <c r="U385" s="112"/>
      <c r="V385" s="112"/>
      <c r="W385" s="112"/>
      <c r="X385" s="112"/>
      <c r="Y385" s="112"/>
      <c r="Z385" s="112"/>
      <c r="AA385" s="112"/>
      <c r="AB385" s="112"/>
      <c r="AC385" s="112"/>
      <c r="AD385" s="112"/>
      <c r="AE385" s="112"/>
      <c r="AF385" s="112"/>
      <c r="AG385" s="112"/>
      <c r="AH385" s="112"/>
      <c r="AI385" s="112"/>
      <c r="AJ385" s="112"/>
      <c r="AK385" s="112"/>
      <c r="AL385" s="112"/>
      <c r="AP385" s="112"/>
      <c r="AQ385" s="112"/>
      <c r="AR385" s="112"/>
      <c r="AS385" s="112"/>
      <c r="AT385" s="112"/>
      <c r="AU385" s="112"/>
      <c r="AV385" s="112"/>
      <c r="AW385" s="112"/>
      <c r="AX385" s="112"/>
      <c r="AY385" s="112"/>
      <c r="BA385" s="112"/>
      <c r="BB385" s="112"/>
      <c r="BC385" s="112"/>
      <c r="BD385" s="112"/>
      <c r="BE385" s="112"/>
      <c r="BF385" s="112"/>
      <c r="BG385" s="112"/>
      <c r="BH385" s="112"/>
      <c r="BI385" s="112"/>
      <c r="BK385" s="112"/>
      <c r="BL385" s="112"/>
      <c r="BM385" s="112"/>
      <c r="BN385" s="112"/>
    </row>
    <row r="386" spans="17:66" x14ac:dyDescent="0.25">
      <c r="Q386" s="112"/>
      <c r="R386" s="112"/>
      <c r="S386" s="112"/>
      <c r="T386" s="112"/>
      <c r="U386" s="112"/>
      <c r="V386" s="112"/>
      <c r="W386" s="112"/>
      <c r="X386" s="112"/>
      <c r="Y386" s="112"/>
      <c r="Z386" s="112"/>
      <c r="AA386" s="112"/>
      <c r="AB386" s="112"/>
      <c r="AC386" s="112"/>
      <c r="AD386" s="112"/>
      <c r="AE386" s="112"/>
      <c r="AF386" s="112"/>
      <c r="AG386" s="112"/>
      <c r="AH386" s="112"/>
      <c r="AI386" s="112"/>
      <c r="AJ386" s="112"/>
      <c r="AK386" s="112"/>
      <c r="AL386" s="112"/>
      <c r="AP386" s="112"/>
      <c r="AQ386" s="112"/>
      <c r="AR386" s="112"/>
      <c r="AS386" s="112"/>
      <c r="AT386" s="112"/>
      <c r="AU386" s="112"/>
      <c r="AV386" s="112"/>
      <c r="AW386" s="112"/>
      <c r="AX386" s="112"/>
      <c r="AY386" s="112"/>
      <c r="BA386" s="112"/>
      <c r="BB386" s="112"/>
      <c r="BC386" s="112"/>
      <c r="BD386" s="112"/>
      <c r="BE386" s="112"/>
      <c r="BF386" s="112"/>
      <c r="BG386" s="112"/>
      <c r="BH386" s="112"/>
      <c r="BI386" s="112"/>
      <c r="BK386" s="112"/>
      <c r="BL386" s="112"/>
      <c r="BM386" s="112"/>
      <c r="BN386" s="112"/>
    </row>
    <row r="387" spans="17:66" x14ac:dyDescent="0.25">
      <c r="Q387" s="112"/>
      <c r="R387" s="112"/>
      <c r="S387" s="112"/>
      <c r="T387" s="112"/>
      <c r="U387" s="112"/>
      <c r="V387" s="112"/>
      <c r="W387" s="112"/>
      <c r="X387" s="112"/>
      <c r="Y387" s="112"/>
      <c r="Z387" s="112"/>
      <c r="AA387" s="112"/>
      <c r="AB387" s="112"/>
      <c r="AC387" s="112"/>
      <c r="AD387" s="112"/>
      <c r="AE387" s="112"/>
      <c r="AF387" s="112"/>
      <c r="AG387" s="112"/>
      <c r="AH387" s="112"/>
      <c r="AI387" s="112"/>
      <c r="AJ387" s="112"/>
      <c r="AK387" s="112"/>
      <c r="AL387" s="112"/>
      <c r="AP387" s="112"/>
      <c r="AQ387" s="112"/>
      <c r="AR387" s="112"/>
      <c r="AS387" s="112"/>
      <c r="AT387" s="112"/>
      <c r="AU387" s="112"/>
      <c r="AV387" s="112"/>
      <c r="AW387" s="112"/>
      <c r="AX387" s="112"/>
      <c r="AY387" s="112"/>
      <c r="BA387" s="112"/>
      <c r="BB387" s="112"/>
      <c r="BC387" s="112"/>
      <c r="BD387" s="112"/>
      <c r="BE387" s="112"/>
      <c r="BF387" s="112"/>
      <c r="BG387" s="112"/>
      <c r="BH387" s="112"/>
      <c r="BI387" s="112"/>
      <c r="BK387" s="112"/>
      <c r="BL387" s="112"/>
      <c r="BM387" s="112"/>
      <c r="BN387" s="112"/>
    </row>
    <row r="388" spans="17:66" x14ac:dyDescent="0.25">
      <c r="Q388" s="112"/>
      <c r="R388" s="112"/>
      <c r="S388" s="112"/>
      <c r="T388" s="112"/>
      <c r="U388" s="112"/>
      <c r="V388" s="112"/>
      <c r="W388" s="112"/>
      <c r="X388" s="112"/>
      <c r="Y388" s="112"/>
      <c r="Z388" s="112"/>
      <c r="AA388" s="112"/>
      <c r="AB388" s="112"/>
      <c r="AC388" s="112"/>
      <c r="AD388" s="112"/>
      <c r="AE388" s="112"/>
      <c r="AF388" s="112"/>
      <c r="AG388" s="112"/>
      <c r="AH388" s="112"/>
      <c r="AI388" s="112"/>
      <c r="AJ388" s="112"/>
      <c r="AK388" s="112"/>
      <c r="AL388" s="112"/>
      <c r="AP388" s="112"/>
      <c r="AQ388" s="112"/>
      <c r="AR388" s="112"/>
      <c r="AS388" s="112"/>
      <c r="AT388" s="112"/>
      <c r="AU388" s="112"/>
      <c r="AV388" s="112"/>
      <c r="AW388" s="112"/>
      <c r="AX388" s="112"/>
      <c r="AY388" s="112"/>
      <c r="BA388" s="112"/>
      <c r="BB388" s="112"/>
      <c r="BC388" s="112"/>
      <c r="BD388" s="112"/>
      <c r="BE388" s="112"/>
      <c r="BF388" s="112"/>
      <c r="BG388" s="112"/>
      <c r="BH388" s="112"/>
      <c r="BI388" s="112"/>
      <c r="BK388" s="112"/>
      <c r="BL388" s="112"/>
      <c r="BM388" s="112"/>
      <c r="BN388" s="112"/>
    </row>
    <row r="389" spans="17:66" x14ac:dyDescent="0.25">
      <c r="Q389" s="112"/>
      <c r="R389" s="112"/>
      <c r="S389" s="112"/>
      <c r="T389" s="112"/>
      <c r="U389" s="112"/>
      <c r="V389" s="112"/>
      <c r="W389" s="112"/>
      <c r="X389" s="112"/>
      <c r="Y389" s="112"/>
      <c r="Z389" s="112"/>
      <c r="AA389" s="112"/>
      <c r="AB389" s="112"/>
      <c r="AC389" s="112"/>
      <c r="AD389" s="112"/>
      <c r="AE389" s="112"/>
      <c r="AF389" s="112"/>
      <c r="AG389" s="112"/>
      <c r="AH389" s="112"/>
      <c r="AI389" s="112"/>
      <c r="AJ389" s="112"/>
      <c r="AK389" s="112"/>
      <c r="AL389" s="112"/>
      <c r="AP389" s="112"/>
      <c r="AQ389" s="112"/>
      <c r="AR389" s="112"/>
      <c r="AS389" s="112"/>
      <c r="AT389" s="112"/>
      <c r="AU389" s="112"/>
      <c r="AV389" s="112"/>
      <c r="AW389" s="112"/>
      <c r="AX389" s="112"/>
      <c r="AY389" s="112"/>
      <c r="BA389" s="112"/>
      <c r="BB389" s="112"/>
      <c r="BC389" s="112"/>
      <c r="BD389" s="112"/>
      <c r="BE389" s="112"/>
      <c r="BF389" s="112"/>
      <c r="BG389" s="112"/>
      <c r="BH389" s="112"/>
      <c r="BI389" s="112"/>
      <c r="BK389" s="112"/>
      <c r="BL389" s="112"/>
      <c r="BM389" s="112"/>
      <c r="BN389" s="112"/>
    </row>
    <row r="390" spans="17:66" x14ac:dyDescent="0.25">
      <c r="Q390" s="112"/>
      <c r="R390" s="112"/>
      <c r="S390" s="112"/>
      <c r="T390" s="112"/>
      <c r="U390" s="112"/>
      <c r="V390" s="112"/>
      <c r="W390" s="112"/>
      <c r="X390" s="112"/>
      <c r="Y390" s="112"/>
      <c r="Z390" s="112"/>
      <c r="AA390" s="112"/>
      <c r="AB390" s="112"/>
      <c r="AC390" s="112"/>
      <c r="AD390" s="112"/>
      <c r="AE390" s="112"/>
      <c r="AF390" s="112"/>
      <c r="AG390" s="112"/>
      <c r="AH390" s="112"/>
      <c r="AI390" s="112"/>
      <c r="AJ390" s="112"/>
      <c r="AK390" s="112"/>
      <c r="AL390" s="112"/>
      <c r="AP390" s="112"/>
      <c r="AQ390" s="112"/>
      <c r="AR390" s="112"/>
      <c r="AS390" s="112"/>
      <c r="AT390" s="112"/>
      <c r="AU390" s="112"/>
      <c r="AV390" s="112"/>
      <c r="AW390" s="112"/>
      <c r="AX390" s="112"/>
      <c r="AY390" s="112"/>
      <c r="BA390" s="112"/>
      <c r="BB390" s="112"/>
      <c r="BC390" s="112"/>
      <c r="BD390" s="112"/>
      <c r="BE390" s="112"/>
      <c r="BF390" s="112"/>
      <c r="BG390" s="112"/>
      <c r="BH390" s="112"/>
      <c r="BI390" s="112"/>
      <c r="BK390" s="112"/>
      <c r="BL390" s="112"/>
      <c r="BM390" s="112"/>
      <c r="BN390" s="112"/>
    </row>
    <row r="391" spans="17:66" x14ac:dyDescent="0.25">
      <c r="Q391" s="112"/>
      <c r="R391" s="112"/>
      <c r="S391" s="112"/>
      <c r="T391" s="112"/>
      <c r="U391" s="112"/>
      <c r="V391" s="112"/>
      <c r="W391" s="112"/>
      <c r="X391" s="112"/>
      <c r="Y391" s="112"/>
      <c r="Z391" s="112"/>
      <c r="AA391" s="112"/>
      <c r="AB391" s="112"/>
      <c r="AC391" s="112"/>
      <c r="AD391" s="112"/>
      <c r="AE391" s="112"/>
      <c r="AF391" s="112"/>
      <c r="AG391" s="112"/>
      <c r="AH391" s="112"/>
      <c r="AI391" s="112"/>
      <c r="AJ391" s="112"/>
      <c r="AK391" s="112"/>
      <c r="AL391" s="112"/>
      <c r="AP391" s="112"/>
      <c r="AQ391" s="112"/>
      <c r="AR391" s="112"/>
      <c r="AS391" s="112"/>
      <c r="AT391" s="112"/>
      <c r="AU391" s="112"/>
      <c r="AV391" s="112"/>
      <c r="AW391" s="112"/>
      <c r="AX391" s="112"/>
      <c r="AY391" s="112"/>
      <c r="BA391" s="112"/>
      <c r="BB391" s="112"/>
      <c r="BC391" s="112"/>
      <c r="BD391" s="112"/>
      <c r="BE391" s="112"/>
      <c r="BF391" s="112"/>
      <c r="BG391" s="112"/>
      <c r="BH391" s="112"/>
      <c r="BI391" s="112"/>
      <c r="BK391" s="112"/>
      <c r="BL391" s="112"/>
      <c r="BM391" s="112"/>
      <c r="BN391" s="112"/>
    </row>
    <row r="392" spans="17:66" x14ac:dyDescent="0.25">
      <c r="Q392" s="112"/>
      <c r="R392" s="112"/>
      <c r="S392" s="112"/>
      <c r="T392" s="112"/>
      <c r="U392" s="112"/>
      <c r="V392" s="112"/>
      <c r="W392" s="112"/>
      <c r="X392" s="112"/>
      <c r="Y392" s="112"/>
      <c r="Z392" s="112"/>
      <c r="AA392" s="112"/>
      <c r="AB392" s="112"/>
      <c r="AC392" s="112"/>
      <c r="AD392" s="112"/>
      <c r="AE392" s="112"/>
      <c r="AF392" s="112"/>
      <c r="AG392" s="112"/>
      <c r="AH392" s="112"/>
      <c r="AI392" s="112"/>
      <c r="AJ392" s="112"/>
      <c r="AK392" s="112"/>
      <c r="AL392" s="112"/>
      <c r="AP392" s="112"/>
      <c r="AQ392" s="112"/>
      <c r="AR392" s="112"/>
      <c r="AS392" s="112"/>
      <c r="AT392" s="112"/>
      <c r="AU392" s="112"/>
      <c r="AV392" s="112"/>
      <c r="AW392" s="112"/>
      <c r="AX392" s="112"/>
      <c r="AY392" s="112"/>
      <c r="BA392" s="112"/>
      <c r="BB392" s="112"/>
      <c r="BC392" s="112"/>
      <c r="BD392" s="112"/>
      <c r="BE392" s="112"/>
      <c r="BF392" s="112"/>
      <c r="BG392" s="112"/>
      <c r="BH392" s="112"/>
      <c r="BI392" s="112"/>
      <c r="BK392" s="112"/>
      <c r="BL392" s="112"/>
      <c r="BM392" s="112"/>
      <c r="BN392" s="112"/>
    </row>
    <row r="393" spans="17:66" x14ac:dyDescent="0.25">
      <c r="Q393" s="112"/>
      <c r="R393" s="112"/>
      <c r="S393" s="112"/>
      <c r="T393" s="112"/>
      <c r="U393" s="112"/>
      <c r="V393" s="112"/>
      <c r="W393" s="112"/>
      <c r="X393" s="112"/>
      <c r="Y393" s="112"/>
      <c r="Z393" s="112"/>
      <c r="AA393" s="112"/>
      <c r="AB393" s="112"/>
      <c r="AC393" s="112"/>
      <c r="AD393" s="112"/>
      <c r="AE393" s="112"/>
      <c r="AF393" s="112"/>
      <c r="AG393" s="112"/>
      <c r="AH393" s="112"/>
      <c r="AI393" s="112"/>
      <c r="AJ393" s="112"/>
      <c r="AK393" s="112"/>
      <c r="AL393" s="112"/>
      <c r="AP393" s="112"/>
      <c r="AQ393" s="112"/>
      <c r="AR393" s="112"/>
      <c r="AS393" s="112"/>
      <c r="AT393" s="112"/>
      <c r="AU393" s="112"/>
      <c r="AV393" s="112"/>
      <c r="AW393" s="112"/>
      <c r="AX393" s="112"/>
      <c r="AY393" s="112"/>
      <c r="BA393" s="112"/>
      <c r="BB393" s="112"/>
      <c r="BC393" s="112"/>
      <c r="BD393" s="112"/>
      <c r="BE393" s="112"/>
      <c r="BF393" s="112"/>
      <c r="BG393" s="112"/>
      <c r="BH393" s="112"/>
      <c r="BI393" s="112"/>
      <c r="BK393" s="112"/>
      <c r="BL393" s="112"/>
      <c r="BM393" s="112"/>
      <c r="BN393" s="112"/>
    </row>
    <row r="394" spans="17:66" x14ac:dyDescent="0.25">
      <c r="Q394" s="112"/>
      <c r="R394" s="112"/>
      <c r="S394" s="112"/>
      <c r="T394" s="112"/>
      <c r="U394" s="112"/>
      <c r="V394" s="112"/>
      <c r="W394" s="112"/>
      <c r="X394" s="112"/>
      <c r="Y394" s="112"/>
      <c r="Z394" s="112"/>
      <c r="AA394" s="112"/>
      <c r="AB394" s="112"/>
      <c r="AC394" s="112"/>
      <c r="AD394" s="112"/>
      <c r="AE394" s="112"/>
      <c r="AF394" s="112"/>
      <c r="AG394" s="112"/>
      <c r="AH394" s="112"/>
      <c r="AI394" s="112"/>
      <c r="AJ394" s="112"/>
      <c r="AK394" s="112"/>
      <c r="AL394" s="112"/>
      <c r="AP394" s="112"/>
      <c r="AQ394" s="112"/>
      <c r="AR394" s="112"/>
      <c r="AS394" s="112"/>
      <c r="AT394" s="112"/>
      <c r="AU394" s="112"/>
      <c r="AV394" s="112"/>
      <c r="AW394" s="112"/>
      <c r="AX394" s="112"/>
      <c r="AY394" s="112"/>
      <c r="BA394" s="112"/>
      <c r="BB394" s="112"/>
      <c r="BC394" s="112"/>
      <c r="BD394" s="112"/>
      <c r="BE394" s="112"/>
      <c r="BF394" s="112"/>
      <c r="BG394" s="112"/>
      <c r="BH394" s="112"/>
      <c r="BI394" s="112"/>
      <c r="BK394" s="112"/>
      <c r="BL394" s="112"/>
      <c r="BM394" s="112"/>
      <c r="BN394" s="112"/>
    </row>
    <row r="395" spans="17:66" x14ac:dyDescent="0.25">
      <c r="Q395" s="112"/>
      <c r="R395" s="112"/>
      <c r="S395" s="112"/>
      <c r="T395" s="112"/>
      <c r="U395" s="112"/>
      <c r="V395" s="112"/>
      <c r="W395" s="112"/>
      <c r="X395" s="112"/>
      <c r="Y395" s="112"/>
      <c r="Z395" s="112"/>
      <c r="AA395" s="112"/>
      <c r="AB395" s="112"/>
      <c r="AC395" s="112"/>
      <c r="AD395" s="112"/>
      <c r="AE395" s="112"/>
      <c r="AF395" s="112"/>
      <c r="AG395" s="112"/>
      <c r="AH395" s="112"/>
      <c r="AI395" s="112"/>
      <c r="AJ395" s="112"/>
      <c r="AK395" s="112"/>
      <c r="AL395" s="112"/>
      <c r="AP395" s="112"/>
      <c r="AQ395" s="112"/>
      <c r="AR395" s="112"/>
      <c r="AS395" s="112"/>
      <c r="AT395" s="112"/>
      <c r="AU395" s="112"/>
      <c r="AV395" s="112"/>
      <c r="AW395" s="112"/>
      <c r="AX395" s="112"/>
      <c r="AY395" s="112"/>
      <c r="BA395" s="112"/>
      <c r="BB395" s="112"/>
      <c r="BC395" s="112"/>
      <c r="BD395" s="112"/>
      <c r="BE395" s="112"/>
      <c r="BF395" s="112"/>
      <c r="BG395" s="112"/>
      <c r="BH395" s="112"/>
      <c r="BI395" s="112"/>
      <c r="BK395" s="112"/>
      <c r="BL395" s="112"/>
      <c r="BM395" s="112"/>
      <c r="BN395" s="112"/>
    </row>
    <row r="396" spans="17:66" x14ac:dyDescent="0.25">
      <c r="Q396" s="112"/>
      <c r="R396" s="112"/>
      <c r="S396" s="112"/>
      <c r="T396" s="112"/>
      <c r="U396" s="112"/>
      <c r="V396" s="112"/>
      <c r="W396" s="112"/>
      <c r="X396" s="112"/>
      <c r="Y396" s="112"/>
      <c r="Z396" s="112"/>
      <c r="AA396" s="112"/>
      <c r="AB396" s="112"/>
      <c r="AC396" s="112"/>
      <c r="AD396" s="112"/>
      <c r="AE396" s="112"/>
      <c r="AF396" s="112"/>
      <c r="AG396" s="112"/>
      <c r="AH396" s="112"/>
      <c r="AI396" s="112"/>
      <c r="AJ396" s="112"/>
      <c r="AK396" s="112"/>
      <c r="AL396" s="112"/>
      <c r="AP396" s="112"/>
      <c r="AQ396" s="112"/>
      <c r="AR396" s="112"/>
      <c r="AS396" s="112"/>
      <c r="AT396" s="112"/>
      <c r="AU396" s="112"/>
      <c r="AV396" s="112"/>
      <c r="AW396" s="112"/>
      <c r="AX396" s="112"/>
      <c r="AY396" s="112"/>
      <c r="BA396" s="112"/>
      <c r="BB396" s="112"/>
      <c r="BC396" s="112"/>
      <c r="BD396" s="112"/>
      <c r="BE396" s="112"/>
      <c r="BF396" s="112"/>
      <c r="BG396" s="112"/>
      <c r="BH396" s="112"/>
      <c r="BI396" s="112"/>
      <c r="BK396" s="112"/>
      <c r="BL396" s="112"/>
      <c r="BM396" s="112"/>
      <c r="BN396" s="112"/>
    </row>
    <row r="397" spans="17:66" x14ac:dyDescent="0.25">
      <c r="Q397" s="112"/>
      <c r="R397" s="112"/>
      <c r="S397" s="112"/>
      <c r="T397" s="112"/>
      <c r="U397" s="112"/>
      <c r="V397" s="112"/>
      <c r="W397" s="112"/>
      <c r="X397" s="112"/>
      <c r="Y397" s="112"/>
      <c r="Z397" s="112"/>
      <c r="AA397" s="112"/>
      <c r="AB397" s="112"/>
      <c r="AC397" s="112"/>
      <c r="AD397" s="112"/>
      <c r="AE397" s="112"/>
      <c r="AF397" s="112"/>
      <c r="AG397" s="112"/>
      <c r="AH397" s="112"/>
      <c r="AI397" s="112"/>
      <c r="AJ397" s="112"/>
      <c r="AK397" s="112"/>
      <c r="AL397" s="112"/>
      <c r="AP397" s="112"/>
      <c r="AQ397" s="112"/>
      <c r="AR397" s="112"/>
      <c r="AS397" s="112"/>
      <c r="AT397" s="112"/>
      <c r="AU397" s="112"/>
      <c r="AV397" s="112"/>
      <c r="AW397" s="112"/>
      <c r="AX397" s="112"/>
      <c r="AY397" s="112"/>
      <c r="BA397" s="112"/>
      <c r="BB397" s="112"/>
      <c r="BC397" s="112"/>
      <c r="BD397" s="112"/>
      <c r="BE397" s="112"/>
      <c r="BF397" s="112"/>
      <c r="BG397" s="112"/>
      <c r="BH397" s="112"/>
      <c r="BI397" s="112"/>
      <c r="BK397" s="112"/>
      <c r="BL397" s="112"/>
      <c r="BM397" s="112"/>
      <c r="BN397" s="112"/>
    </row>
    <row r="398" spans="17:66" x14ac:dyDescent="0.25">
      <c r="Q398" s="112"/>
      <c r="R398" s="112"/>
      <c r="S398" s="112"/>
      <c r="T398" s="112"/>
      <c r="U398" s="112"/>
      <c r="V398" s="112"/>
      <c r="W398" s="112"/>
      <c r="X398" s="112"/>
      <c r="Y398" s="112"/>
      <c r="Z398" s="112"/>
      <c r="AA398" s="112"/>
      <c r="AB398" s="112"/>
      <c r="AC398" s="112"/>
      <c r="AD398" s="112"/>
      <c r="AE398" s="112"/>
      <c r="AF398" s="112"/>
      <c r="AG398" s="112"/>
      <c r="AH398" s="112"/>
      <c r="AI398" s="112"/>
      <c r="AJ398" s="112"/>
      <c r="AK398" s="112"/>
      <c r="AL398" s="112"/>
      <c r="AP398" s="112"/>
      <c r="AQ398" s="112"/>
      <c r="AR398" s="112"/>
      <c r="AS398" s="112"/>
      <c r="AT398" s="112"/>
      <c r="AU398" s="112"/>
      <c r="AV398" s="112"/>
      <c r="AW398" s="112"/>
      <c r="AX398" s="112"/>
      <c r="AY398" s="112"/>
      <c r="BA398" s="112"/>
      <c r="BB398" s="112"/>
      <c r="BC398" s="112"/>
      <c r="BD398" s="112"/>
      <c r="BE398" s="112"/>
      <c r="BF398" s="112"/>
      <c r="BG398" s="112"/>
      <c r="BH398" s="112"/>
      <c r="BI398" s="112"/>
      <c r="BK398" s="112"/>
      <c r="BL398" s="112"/>
      <c r="BM398" s="112"/>
      <c r="BN398" s="112"/>
    </row>
    <row r="399" spans="17:66" x14ac:dyDescent="0.25">
      <c r="Q399" s="112"/>
      <c r="R399" s="112"/>
      <c r="S399" s="112"/>
      <c r="T399" s="112"/>
      <c r="U399" s="112"/>
      <c r="V399" s="112"/>
      <c r="W399" s="112"/>
      <c r="X399" s="112"/>
      <c r="Y399" s="112"/>
      <c r="Z399" s="112"/>
      <c r="AA399" s="112"/>
      <c r="AB399" s="112"/>
      <c r="AC399" s="112"/>
      <c r="AD399" s="112"/>
      <c r="AE399" s="112"/>
      <c r="AF399" s="112"/>
      <c r="AG399" s="112"/>
      <c r="AH399" s="112"/>
      <c r="AI399" s="112"/>
      <c r="AJ399" s="112"/>
      <c r="AK399" s="112"/>
      <c r="AL399" s="112"/>
      <c r="AP399" s="112"/>
      <c r="AQ399" s="112"/>
      <c r="AR399" s="112"/>
      <c r="AS399" s="112"/>
      <c r="AT399" s="112"/>
      <c r="AU399" s="112"/>
      <c r="AV399" s="112"/>
      <c r="AW399" s="112"/>
      <c r="AX399" s="112"/>
      <c r="AY399" s="112"/>
      <c r="BA399" s="112"/>
      <c r="BB399" s="112"/>
      <c r="BC399" s="112"/>
      <c r="BD399" s="112"/>
      <c r="BE399" s="112"/>
      <c r="BF399" s="112"/>
      <c r="BG399" s="112"/>
      <c r="BH399" s="112"/>
      <c r="BI399" s="112"/>
      <c r="BK399" s="112"/>
      <c r="BL399" s="112"/>
      <c r="BM399" s="112"/>
      <c r="BN399" s="112"/>
    </row>
    <row r="400" spans="17:66" x14ac:dyDescent="0.25">
      <c r="Q400" s="112"/>
      <c r="R400" s="112"/>
      <c r="S400" s="112"/>
      <c r="T400" s="112"/>
      <c r="U400" s="112"/>
      <c r="V400" s="112"/>
      <c r="W400" s="112"/>
      <c r="X400" s="112"/>
      <c r="Y400" s="112"/>
      <c r="Z400" s="112"/>
      <c r="AA400" s="112"/>
      <c r="AB400" s="112"/>
      <c r="AC400" s="112"/>
      <c r="AD400" s="112"/>
      <c r="AE400" s="112"/>
      <c r="AF400" s="112"/>
      <c r="AG400" s="112"/>
      <c r="AH400" s="112"/>
      <c r="AI400" s="112"/>
      <c r="AJ400" s="112"/>
      <c r="AK400" s="112"/>
      <c r="AL400" s="112"/>
      <c r="AP400" s="112"/>
      <c r="AQ400" s="112"/>
      <c r="AR400" s="112"/>
      <c r="AS400" s="112"/>
      <c r="AT400" s="112"/>
      <c r="AU400" s="112"/>
      <c r="AV400" s="112"/>
      <c r="AW400" s="112"/>
      <c r="AX400" s="112"/>
      <c r="AY400" s="112"/>
      <c r="BA400" s="112"/>
      <c r="BB400" s="112"/>
      <c r="BC400" s="112"/>
      <c r="BD400" s="112"/>
      <c r="BE400" s="112"/>
      <c r="BF400" s="112"/>
      <c r="BG400" s="112"/>
      <c r="BH400" s="112"/>
      <c r="BI400" s="112"/>
      <c r="BK400" s="112"/>
      <c r="BL400" s="112"/>
      <c r="BM400" s="112"/>
      <c r="BN400" s="112"/>
    </row>
    <row r="401" spans="17:66" x14ac:dyDescent="0.25">
      <c r="Q401" s="112"/>
      <c r="R401" s="112"/>
      <c r="S401" s="112"/>
      <c r="T401" s="112"/>
      <c r="U401" s="112"/>
      <c r="V401" s="112"/>
      <c r="W401" s="112"/>
      <c r="X401" s="112"/>
      <c r="Y401" s="112"/>
      <c r="Z401" s="112"/>
      <c r="AA401" s="112"/>
      <c r="AB401" s="112"/>
      <c r="AC401" s="112"/>
      <c r="AD401" s="112"/>
      <c r="AE401" s="112"/>
      <c r="AF401" s="112"/>
      <c r="AG401" s="112"/>
      <c r="AH401" s="112"/>
      <c r="AI401" s="112"/>
      <c r="AJ401" s="112"/>
      <c r="AK401" s="112"/>
      <c r="AL401" s="112"/>
      <c r="AP401" s="112"/>
      <c r="AQ401" s="112"/>
      <c r="AR401" s="112"/>
      <c r="AS401" s="112"/>
      <c r="AT401" s="112"/>
      <c r="AU401" s="112"/>
      <c r="AV401" s="112"/>
      <c r="AW401" s="112"/>
      <c r="AX401" s="112"/>
      <c r="AY401" s="112"/>
      <c r="BA401" s="112"/>
      <c r="BB401" s="112"/>
      <c r="BC401" s="112"/>
      <c r="BD401" s="112"/>
      <c r="BE401" s="112"/>
      <c r="BF401" s="112"/>
      <c r="BG401" s="112"/>
      <c r="BH401" s="112"/>
      <c r="BI401" s="112"/>
      <c r="BK401" s="112"/>
      <c r="BL401" s="112"/>
      <c r="BM401" s="112"/>
      <c r="BN401" s="112"/>
    </row>
    <row r="402" spans="17:66" x14ac:dyDescent="0.25">
      <c r="Q402" s="112"/>
      <c r="R402" s="112"/>
      <c r="S402" s="112"/>
      <c r="T402" s="112"/>
      <c r="U402" s="112"/>
      <c r="V402" s="112"/>
      <c r="W402" s="112"/>
      <c r="X402" s="112"/>
      <c r="Y402" s="112"/>
      <c r="Z402" s="112"/>
      <c r="AA402" s="112"/>
      <c r="AB402" s="112"/>
      <c r="AC402" s="112"/>
      <c r="AD402" s="112"/>
      <c r="AE402" s="112"/>
      <c r="AF402" s="112"/>
      <c r="AG402" s="112"/>
      <c r="AH402" s="112"/>
      <c r="AI402" s="112"/>
      <c r="AJ402" s="112"/>
      <c r="AK402" s="112"/>
      <c r="AL402" s="112"/>
      <c r="AP402" s="112"/>
      <c r="AQ402" s="112"/>
      <c r="AR402" s="112"/>
      <c r="AS402" s="112"/>
      <c r="AT402" s="112"/>
      <c r="AU402" s="112"/>
      <c r="AV402" s="112"/>
      <c r="AW402" s="112"/>
      <c r="AX402" s="112"/>
      <c r="AY402" s="112"/>
      <c r="BA402" s="112"/>
      <c r="BB402" s="112"/>
      <c r="BC402" s="112"/>
      <c r="BD402" s="112"/>
      <c r="BE402" s="112"/>
      <c r="BF402" s="112"/>
      <c r="BG402" s="112"/>
      <c r="BH402" s="112"/>
      <c r="BI402" s="112"/>
      <c r="BK402" s="112"/>
      <c r="BL402" s="112"/>
      <c r="BM402" s="112"/>
      <c r="BN402" s="112"/>
    </row>
    <row r="403" spans="17:66" x14ac:dyDescent="0.25">
      <c r="Q403" s="112"/>
      <c r="R403" s="112"/>
      <c r="S403" s="112"/>
      <c r="T403" s="112"/>
      <c r="U403" s="112"/>
      <c r="V403" s="112"/>
      <c r="W403" s="112"/>
      <c r="X403" s="112"/>
      <c r="Y403" s="112"/>
      <c r="Z403" s="112"/>
      <c r="AA403" s="112"/>
      <c r="AB403" s="112"/>
      <c r="AC403" s="112"/>
      <c r="AD403" s="112"/>
      <c r="AE403" s="112"/>
      <c r="AF403" s="112"/>
      <c r="AG403" s="112"/>
      <c r="AH403" s="112"/>
      <c r="AI403" s="112"/>
      <c r="AJ403" s="112"/>
      <c r="AK403" s="112"/>
      <c r="AL403" s="112"/>
      <c r="AP403" s="112"/>
      <c r="AQ403" s="112"/>
      <c r="AR403" s="112"/>
      <c r="AS403" s="112"/>
      <c r="AT403" s="112"/>
      <c r="AU403" s="112"/>
      <c r="AV403" s="112"/>
      <c r="AW403" s="112"/>
      <c r="AX403" s="112"/>
      <c r="AY403" s="112"/>
      <c r="BA403" s="112"/>
      <c r="BB403" s="112"/>
      <c r="BC403" s="112"/>
      <c r="BD403" s="112"/>
      <c r="BE403" s="112"/>
      <c r="BF403" s="112"/>
      <c r="BG403" s="112"/>
      <c r="BH403" s="112"/>
      <c r="BI403" s="112"/>
      <c r="BK403" s="112"/>
      <c r="BL403" s="112"/>
      <c r="BM403" s="112"/>
      <c r="BN403" s="112"/>
    </row>
    <row r="404" spans="17:66" x14ac:dyDescent="0.25">
      <c r="Q404" s="112"/>
      <c r="R404" s="112"/>
      <c r="S404" s="112"/>
      <c r="T404" s="112"/>
      <c r="U404" s="112"/>
      <c r="V404" s="112"/>
      <c r="W404" s="112"/>
      <c r="X404" s="112"/>
      <c r="Y404" s="112"/>
      <c r="Z404" s="112"/>
      <c r="AA404" s="112"/>
      <c r="AB404" s="112"/>
      <c r="AC404" s="112"/>
      <c r="AD404" s="112"/>
      <c r="AE404" s="112"/>
      <c r="AF404" s="112"/>
      <c r="AG404" s="112"/>
      <c r="AH404" s="112"/>
      <c r="AI404" s="112"/>
      <c r="AJ404" s="112"/>
      <c r="AK404" s="112"/>
      <c r="AL404" s="112"/>
      <c r="AP404" s="112"/>
      <c r="AQ404" s="112"/>
      <c r="AR404" s="112"/>
      <c r="AS404" s="112"/>
      <c r="AT404" s="112"/>
      <c r="AU404" s="112"/>
      <c r="AV404" s="112"/>
      <c r="AW404" s="112"/>
      <c r="AX404" s="112"/>
      <c r="AY404" s="112"/>
      <c r="BA404" s="112"/>
      <c r="BB404" s="112"/>
      <c r="BC404" s="112"/>
      <c r="BD404" s="112"/>
      <c r="BE404" s="112"/>
      <c r="BF404" s="112"/>
      <c r="BG404" s="112"/>
      <c r="BH404" s="112"/>
      <c r="BI404" s="112"/>
      <c r="BK404" s="112"/>
      <c r="BL404" s="112"/>
      <c r="BM404" s="112"/>
      <c r="BN404" s="112"/>
    </row>
    <row r="405" spans="17:66" x14ac:dyDescent="0.25">
      <c r="Q405" s="112"/>
      <c r="R405" s="112"/>
      <c r="S405" s="112"/>
      <c r="T405" s="112"/>
      <c r="U405" s="112"/>
      <c r="V405" s="112"/>
      <c r="W405" s="112"/>
      <c r="X405" s="112"/>
      <c r="Y405" s="112"/>
      <c r="Z405" s="112"/>
      <c r="AA405" s="112"/>
      <c r="AB405" s="112"/>
      <c r="AC405" s="112"/>
      <c r="AD405" s="112"/>
      <c r="AE405" s="112"/>
      <c r="AF405" s="112"/>
      <c r="AG405" s="112"/>
      <c r="AH405" s="112"/>
      <c r="AI405" s="112"/>
      <c r="AJ405" s="112"/>
      <c r="AK405" s="112"/>
      <c r="AL405" s="112"/>
      <c r="AP405" s="112"/>
      <c r="AQ405" s="112"/>
      <c r="AR405" s="112"/>
      <c r="AS405" s="112"/>
      <c r="AT405" s="112"/>
      <c r="AU405" s="112"/>
      <c r="AV405" s="112"/>
      <c r="AW405" s="112"/>
      <c r="AX405" s="112"/>
      <c r="AY405" s="112"/>
      <c r="BA405" s="112"/>
      <c r="BB405" s="112"/>
      <c r="BC405" s="112"/>
      <c r="BD405" s="112"/>
      <c r="BE405" s="112"/>
      <c r="BF405" s="112"/>
      <c r="BG405" s="112"/>
      <c r="BH405" s="112"/>
      <c r="BI405" s="112"/>
      <c r="BK405" s="112"/>
      <c r="BL405" s="112"/>
      <c r="BM405" s="112"/>
      <c r="BN405" s="112"/>
    </row>
    <row r="406" spans="17:66" x14ac:dyDescent="0.25">
      <c r="Q406" s="112"/>
      <c r="R406" s="112"/>
      <c r="S406" s="112"/>
      <c r="T406" s="112"/>
      <c r="U406" s="112"/>
      <c r="V406" s="112"/>
      <c r="W406" s="112"/>
      <c r="X406" s="112"/>
      <c r="Y406" s="112"/>
      <c r="Z406" s="112"/>
      <c r="AA406" s="112"/>
      <c r="AB406" s="112"/>
      <c r="AC406" s="112"/>
      <c r="AD406" s="112"/>
      <c r="AE406" s="112"/>
      <c r="AF406" s="112"/>
      <c r="AG406" s="112"/>
      <c r="AH406" s="112"/>
      <c r="AI406" s="112"/>
      <c r="AJ406" s="112"/>
      <c r="AK406" s="112"/>
      <c r="AL406" s="112"/>
      <c r="AP406" s="112"/>
      <c r="AQ406" s="112"/>
      <c r="AR406" s="112"/>
      <c r="AS406" s="112"/>
      <c r="AT406" s="112"/>
      <c r="AU406" s="112"/>
      <c r="AV406" s="112"/>
      <c r="AW406" s="112"/>
      <c r="AX406" s="112"/>
      <c r="AY406" s="112"/>
      <c r="BA406" s="112"/>
      <c r="BB406" s="112"/>
      <c r="BC406" s="112"/>
      <c r="BD406" s="112"/>
      <c r="BE406" s="112"/>
      <c r="BF406" s="112"/>
      <c r="BG406" s="112"/>
      <c r="BH406" s="112"/>
      <c r="BI406" s="112"/>
      <c r="BK406" s="112"/>
      <c r="BL406" s="112"/>
      <c r="BM406" s="112"/>
      <c r="BN406" s="112"/>
    </row>
    <row r="407" spans="17:66" x14ac:dyDescent="0.25">
      <c r="Q407" s="112"/>
      <c r="R407" s="112"/>
      <c r="S407" s="112"/>
      <c r="T407" s="112"/>
      <c r="U407" s="112"/>
      <c r="V407" s="112"/>
      <c r="W407" s="112"/>
      <c r="X407" s="112"/>
      <c r="Y407" s="112"/>
      <c r="Z407" s="112"/>
      <c r="AA407" s="112"/>
      <c r="AB407" s="112"/>
      <c r="AC407" s="112"/>
      <c r="AD407" s="112"/>
      <c r="AE407" s="112"/>
      <c r="AF407" s="112"/>
      <c r="AG407" s="112"/>
      <c r="AH407" s="112"/>
      <c r="AI407" s="112"/>
      <c r="AJ407" s="112"/>
      <c r="AK407" s="112"/>
      <c r="AL407" s="112"/>
      <c r="AP407" s="112"/>
      <c r="AQ407" s="112"/>
      <c r="AR407" s="112"/>
      <c r="AS407" s="112"/>
      <c r="AT407" s="112"/>
      <c r="AU407" s="112"/>
      <c r="AV407" s="112"/>
      <c r="AW407" s="112"/>
      <c r="AX407" s="112"/>
      <c r="AY407" s="112"/>
      <c r="BA407" s="112"/>
      <c r="BB407" s="112"/>
      <c r="BC407" s="112"/>
      <c r="BD407" s="112"/>
      <c r="BE407" s="112"/>
      <c r="BF407" s="112"/>
      <c r="BG407" s="112"/>
      <c r="BH407" s="112"/>
      <c r="BI407" s="112"/>
      <c r="BK407" s="112"/>
      <c r="BL407" s="112"/>
      <c r="BM407" s="112"/>
      <c r="BN407" s="112"/>
    </row>
    <row r="408" spans="17:66" x14ac:dyDescent="0.25">
      <c r="Q408" s="112"/>
      <c r="R408" s="112"/>
      <c r="S408" s="112"/>
      <c r="T408" s="112"/>
      <c r="U408" s="112"/>
      <c r="V408" s="112"/>
      <c r="W408" s="112"/>
      <c r="X408" s="112"/>
      <c r="Y408" s="112"/>
      <c r="Z408" s="112"/>
      <c r="AA408" s="112"/>
      <c r="AB408" s="112"/>
      <c r="AC408" s="112"/>
      <c r="AD408" s="112"/>
      <c r="AE408" s="112"/>
      <c r="AF408" s="112"/>
      <c r="AG408" s="112"/>
      <c r="AH408" s="112"/>
      <c r="AI408" s="112"/>
      <c r="AJ408" s="112"/>
      <c r="AK408" s="112"/>
      <c r="AL408" s="112"/>
      <c r="AP408" s="112"/>
      <c r="AQ408" s="112"/>
      <c r="AR408" s="112"/>
      <c r="AS408" s="112"/>
      <c r="AT408" s="112"/>
      <c r="AU408" s="112"/>
      <c r="AV408" s="112"/>
      <c r="AW408" s="112"/>
      <c r="AX408" s="112"/>
      <c r="AY408" s="112"/>
      <c r="BA408" s="112"/>
      <c r="BB408" s="112"/>
      <c r="BC408" s="112"/>
      <c r="BD408" s="112"/>
      <c r="BE408" s="112"/>
      <c r="BF408" s="112"/>
      <c r="BG408" s="112"/>
      <c r="BH408" s="112"/>
      <c r="BI408" s="112"/>
      <c r="BK408" s="112"/>
      <c r="BL408" s="112"/>
      <c r="BM408" s="112"/>
      <c r="BN408" s="112"/>
    </row>
    <row r="409" spans="17:66" x14ac:dyDescent="0.25">
      <c r="Q409" s="112"/>
      <c r="R409" s="112"/>
      <c r="S409" s="112"/>
      <c r="T409" s="112"/>
      <c r="U409" s="112"/>
      <c r="V409" s="112"/>
      <c r="W409" s="112"/>
      <c r="X409" s="112"/>
      <c r="Y409" s="112"/>
      <c r="Z409" s="112"/>
      <c r="AA409" s="112"/>
      <c r="AB409" s="112"/>
      <c r="AC409" s="112"/>
      <c r="AD409" s="112"/>
      <c r="AE409" s="112"/>
      <c r="AF409" s="112"/>
      <c r="AG409" s="112"/>
      <c r="AH409" s="112"/>
      <c r="AI409" s="112"/>
      <c r="AJ409" s="112"/>
      <c r="AK409" s="112"/>
      <c r="AL409" s="112"/>
      <c r="AP409" s="112"/>
      <c r="AQ409" s="112"/>
      <c r="AR409" s="112"/>
      <c r="AS409" s="112"/>
      <c r="AT409" s="112"/>
      <c r="AU409" s="112"/>
      <c r="AV409" s="112"/>
      <c r="AW409" s="112"/>
      <c r="AX409" s="112"/>
      <c r="AY409" s="112"/>
      <c r="BA409" s="112"/>
      <c r="BB409" s="112"/>
      <c r="BC409" s="112"/>
      <c r="BD409" s="112"/>
      <c r="BE409" s="112"/>
      <c r="BF409" s="112"/>
      <c r="BG409" s="112"/>
      <c r="BH409" s="112"/>
      <c r="BI409" s="112"/>
      <c r="BK409" s="112"/>
      <c r="BL409" s="112"/>
      <c r="BM409" s="112"/>
      <c r="BN409" s="112"/>
    </row>
    <row r="410" spans="17:66" x14ac:dyDescent="0.25">
      <c r="Q410" s="112"/>
      <c r="R410" s="112"/>
      <c r="S410" s="112"/>
      <c r="T410" s="112"/>
      <c r="U410" s="112"/>
      <c r="V410" s="112"/>
      <c r="W410" s="112"/>
      <c r="X410" s="112"/>
      <c r="Y410" s="112"/>
      <c r="Z410" s="112"/>
      <c r="AA410" s="112"/>
      <c r="AB410" s="112"/>
      <c r="AC410" s="112"/>
      <c r="AD410" s="112"/>
      <c r="AE410" s="112"/>
      <c r="AF410" s="112"/>
      <c r="AG410" s="112"/>
      <c r="AH410" s="112"/>
      <c r="AI410" s="112"/>
      <c r="AJ410" s="112"/>
      <c r="AK410" s="112"/>
      <c r="AL410" s="112"/>
      <c r="AP410" s="112"/>
      <c r="AQ410" s="112"/>
      <c r="AR410" s="112"/>
      <c r="AS410" s="112"/>
      <c r="AT410" s="112"/>
      <c r="AU410" s="112"/>
      <c r="AV410" s="112"/>
      <c r="AW410" s="112"/>
      <c r="AX410" s="112"/>
      <c r="AY410" s="112"/>
      <c r="BA410" s="112"/>
      <c r="BB410" s="112"/>
      <c r="BC410" s="112"/>
      <c r="BD410" s="112"/>
      <c r="BE410" s="112"/>
      <c r="BF410" s="112"/>
      <c r="BG410" s="112"/>
      <c r="BH410" s="112"/>
      <c r="BI410" s="112"/>
      <c r="BK410" s="112"/>
      <c r="BL410" s="112"/>
      <c r="BM410" s="112"/>
      <c r="BN410" s="112"/>
    </row>
    <row r="411" spans="17:66" x14ac:dyDescent="0.25">
      <c r="Q411" s="112"/>
      <c r="R411" s="112"/>
      <c r="S411" s="112"/>
      <c r="T411" s="112"/>
      <c r="U411" s="112"/>
      <c r="V411" s="112"/>
      <c r="W411" s="112"/>
      <c r="X411" s="112"/>
      <c r="Y411" s="112"/>
      <c r="Z411" s="112"/>
      <c r="AA411" s="112"/>
      <c r="AB411" s="112"/>
      <c r="AC411" s="112"/>
      <c r="AD411" s="112"/>
      <c r="AE411" s="112"/>
      <c r="AF411" s="112"/>
      <c r="AG411" s="112"/>
      <c r="AH411" s="112"/>
      <c r="AI411" s="112"/>
      <c r="AJ411" s="112"/>
      <c r="AK411" s="112"/>
      <c r="AL411" s="112"/>
      <c r="AP411" s="112"/>
      <c r="AQ411" s="112"/>
      <c r="AR411" s="112"/>
      <c r="AS411" s="112"/>
      <c r="AT411" s="112"/>
      <c r="AU411" s="112"/>
      <c r="AV411" s="112"/>
      <c r="AW411" s="112"/>
      <c r="AX411" s="112"/>
      <c r="AY411" s="112"/>
      <c r="BA411" s="112"/>
      <c r="BB411" s="112"/>
      <c r="BC411" s="112"/>
      <c r="BD411" s="112"/>
      <c r="BE411" s="112"/>
      <c r="BF411" s="112"/>
      <c r="BG411" s="112"/>
      <c r="BH411" s="112"/>
      <c r="BI411" s="112"/>
      <c r="BK411" s="112"/>
      <c r="BL411" s="112"/>
      <c r="BM411" s="112"/>
      <c r="BN411" s="112"/>
    </row>
    <row r="412" spans="17:66" x14ac:dyDescent="0.25">
      <c r="Q412" s="112"/>
      <c r="R412" s="112"/>
      <c r="S412" s="112"/>
      <c r="T412" s="112"/>
      <c r="U412" s="112"/>
      <c r="V412" s="112"/>
      <c r="W412" s="112"/>
      <c r="X412" s="112"/>
      <c r="Y412" s="112"/>
      <c r="Z412" s="112"/>
      <c r="AA412" s="112"/>
      <c r="AB412" s="112"/>
      <c r="AC412" s="112"/>
      <c r="AD412" s="112"/>
      <c r="AE412" s="112"/>
      <c r="AF412" s="112"/>
      <c r="AG412" s="112"/>
      <c r="AH412" s="112"/>
      <c r="AI412" s="112"/>
      <c r="AJ412" s="112"/>
      <c r="AK412" s="112"/>
      <c r="AL412" s="112"/>
      <c r="AP412" s="112"/>
      <c r="AQ412" s="112"/>
      <c r="AR412" s="112"/>
      <c r="AS412" s="112"/>
      <c r="AT412" s="112"/>
      <c r="AU412" s="112"/>
      <c r="AV412" s="112"/>
      <c r="AW412" s="112"/>
      <c r="AX412" s="112"/>
      <c r="AY412" s="112"/>
      <c r="BA412" s="112"/>
      <c r="BB412" s="112"/>
      <c r="BC412" s="112"/>
      <c r="BD412" s="112"/>
      <c r="BE412" s="112"/>
      <c r="BF412" s="112"/>
      <c r="BG412" s="112"/>
      <c r="BH412" s="112"/>
      <c r="BI412" s="112"/>
      <c r="BK412" s="112"/>
      <c r="BL412" s="112"/>
      <c r="BM412" s="112"/>
      <c r="BN412" s="112"/>
    </row>
    <row r="413" spans="17:66" x14ac:dyDescent="0.25">
      <c r="Q413" s="112"/>
      <c r="R413" s="112"/>
      <c r="S413" s="112"/>
      <c r="T413" s="112"/>
      <c r="U413" s="112"/>
      <c r="V413" s="112"/>
      <c r="W413" s="112"/>
      <c r="X413" s="112"/>
      <c r="Y413" s="112"/>
      <c r="Z413" s="112"/>
      <c r="AA413" s="112"/>
      <c r="AB413" s="112"/>
      <c r="AC413" s="112"/>
      <c r="AD413" s="112"/>
      <c r="AE413" s="112"/>
      <c r="AF413" s="112"/>
      <c r="AG413" s="112"/>
      <c r="AH413" s="112"/>
      <c r="AI413" s="112"/>
      <c r="AJ413" s="112"/>
      <c r="AK413" s="112"/>
      <c r="AL413" s="112"/>
      <c r="AP413" s="112"/>
      <c r="AQ413" s="112"/>
      <c r="AR413" s="112"/>
      <c r="AS413" s="112"/>
      <c r="AT413" s="112"/>
      <c r="AU413" s="112"/>
      <c r="AV413" s="112"/>
      <c r="AW413" s="112"/>
      <c r="AX413" s="112"/>
      <c r="AY413" s="112"/>
      <c r="BA413" s="112"/>
      <c r="BB413" s="112"/>
      <c r="BC413" s="112"/>
      <c r="BD413" s="112"/>
      <c r="BE413" s="112"/>
      <c r="BF413" s="112"/>
      <c r="BG413" s="112"/>
      <c r="BH413" s="112"/>
      <c r="BI413" s="112"/>
      <c r="BK413" s="112"/>
      <c r="BL413" s="112"/>
      <c r="BM413" s="112"/>
      <c r="BN413" s="112"/>
    </row>
    <row r="414" spans="17:66" x14ac:dyDescent="0.25">
      <c r="Q414" s="112"/>
      <c r="R414" s="112"/>
      <c r="S414" s="112"/>
      <c r="T414" s="112"/>
      <c r="U414" s="112"/>
      <c r="V414" s="112"/>
      <c r="W414" s="112"/>
      <c r="X414" s="112"/>
      <c r="Y414" s="112"/>
      <c r="Z414" s="112"/>
      <c r="AA414" s="112"/>
      <c r="AB414" s="112"/>
      <c r="AC414" s="112"/>
      <c r="AD414" s="112"/>
      <c r="AE414" s="112"/>
      <c r="AF414" s="112"/>
      <c r="AG414" s="112"/>
      <c r="AH414" s="112"/>
      <c r="AI414" s="112"/>
      <c r="AJ414" s="112"/>
      <c r="AK414" s="112"/>
      <c r="AL414" s="112"/>
      <c r="AP414" s="112"/>
      <c r="AQ414" s="112"/>
      <c r="AR414" s="112"/>
      <c r="AS414" s="112"/>
      <c r="AT414" s="112"/>
      <c r="AU414" s="112"/>
      <c r="AV414" s="112"/>
      <c r="AW414" s="112"/>
      <c r="AX414" s="112"/>
      <c r="AY414" s="112"/>
      <c r="BA414" s="112"/>
      <c r="BB414" s="112"/>
      <c r="BC414" s="112"/>
      <c r="BD414" s="112"/>
      <c r="BE414" s="112"/>
      <c r="BF414" s="112"/>
      <c r="BG414" s="112"/>
      <c r="BH414" s="112"/>
      <c r="BI414" s="112"/>
      <c r="BK414" s="112"/>
      <c r="BL414" s="112"/>
      <c r="BM414" s="112"/>
      <c r="BN414" s="112"/>
    </row>
    <row r="415" spans="17:66" x14ac:dyDescent="0.25">
      <c r="Q415" s="112"/>
      <c r="R415" s="112"/>
      <c r="S415" s="112"/>
      <c r="T415" s="112"/>
      <c r="U415" s="112"/>
      <c r="V415" s="112"/>
      <c r="W415" s="112"/>
      <c r="X415" s="112"/>
      <c r="Y415" s="112"/>
      <c r="Z415" s="112"/>
      <c r="AA415" s="112"/>
      <c r="AB415" s="112"/>
      <c r="AC415" s="112"/>
      <c r="AD415" s="112"/>
      <c r="AE415" s="112"/>
      <c r="AF415" s="112"/>
      <c r="AG415" s="112"/>
      <c r="AH415" s="112"/>
      <c r="AI415" s="112"/>
      <c r="AJ415" s="112"/>
      <c r="AK415" s="112"/>
      <c r="AL415" s="112"/>
      <c r="AP415" s="112"/>
      <c r="AQ415" s="112"/>
      <c r="AR415" s="112"/>
      <c r="AS415" s="112"/>
      <c r="AT415" s="112"/>
      <c r="AU415" s="112"/>
      <c r="AV415" s="112"/>
      <c r="AW415" s="112"/>
      <c r="AX415" s="112"/>
      <c r="AY415" s="112"/>
      <c r="BA415" s="112"/>
      <c r="BB415" s="112"/>
      <c r="BC415" s="112"/>
      <c r="BD415" s="112"/>
      <c r="BE415" s="112"/>
      <c r="BF415" s="112"/>
      <c r="BG415" s="112"/>
      <c r="BH415" s="112"/>
      <c r="BI415" s="112"/>
      <c r="BK415" s="112"/>
      <c r="BL415" s="112"/>
      <c r="BM415" s="112"/>
      <c r="BN415" s="112"/>
    </row>
    <row r="416" spans="17:66" x14ac:dyDescent="0.25">
      <c r="Q416" s="112"/>
      <c r="R416" s="112"/>
      <c r="S416" s="112"/>
      <c r="T416" s="112"/>
      <c r="U416" s="112"/>
      <c r="V416" s="112"/>
      <c r="W416" s="112"/>
      <c r="X416" s="112"/>
      <c r="Y416" s="112"/>
      <c r="Z416" s="112"/>
      <c r="AA416" s="112"/>
      <c r="AB416" s="112"/>
      <c r="AC416" s="112"/>
      <c r="AD416" s="112"/>
      <c r="AE416" s="112"/>
      <c r="AF416" s="112"/>
      <c r="AG416" s="112"/>
      <c r="AH416" s="112"/>
      <c r="AI416" s="112"/>
      <c r="AJ416" s="112"/>
      <c r="AK416" s="112"/>
      <c r="AL416" s="112"/>
      <c r="AP416" s="112"/>
      <c r="AQ416" s="112"/>
      <c r="AR416" s="112"/>
      <c r="AS416" s="112"/>
      <c r="AT416" s="112"/>
      <c r="AU416" s="112"/>
      <c r="AV416" s="112"/>
      <c r="AW416" s="112"/>
      <c r="AX416" s="112"/>
      <c r="AY416" s="112"/>
      <c r="BA416" s="112"/>
      <c r="BB416" s="112"/>
      <c r="BC416" s="112"/>
      <c r="BD416" s="112"/>
      <c r="BE416" s="112"/>
      <c r="BF416" s="112"/>
      <c r="BG416" s="112"/>
      <c r="BH416" s="112"/>
      <c r="BI416" s="112"/>
      <c r="BK416" s="112"/>
      <c r="BL416" s="112"/>
      <c r="BM416" s="112"/>
      <c r="BN416" s="112"/>
    </row>
    <row r="417" spans="17:66" x14ac:dyDescent="0.25">
      <c r="Q417" s="112"/>
      <c r="R417" s="112"/>
      <c r="S417" s="112"/>
      <c r="T417" s="112"/>
      <c r="U417" s="112"/>
      <c r="V417" s="112"/>
      <c r="W417" s="112"/>
      <c r="X417" s="112"/>
      <c r="Y417" s="112"/>
      <c r="Z417" s="112"/>
      <c r="AA417" s="112"/>
      <c r="AB417" s="112"/>
      <c r="AC417" s="112"/>
      <c r="AD417" s="112"/>
      <c r="AE417" s="112"/>
      <c r="AF417" s="112"/>
      <c r="AG417" s="112"/>
      <c r="AH417" s="112"/>
      <c r="AI417" s="112"/>
      <c r="AJ417" s="112"/>
      <c r="AK417" s="112"/>
      <c r="AL417" s="112"/>
      <c r="AP417" s="112"/>
      <c r="AQ417" s="112"/>
      <c r="AR417" s="112"/>
      <c r="AS417" s="112"/>
      <c r="AT417" s="112"/>
      <c r="AU417" s="112"/>
      <c r="AV417" s="112"/>
      <c r="AW417" s="112"/>
      <c r="AX417" s="112"/>
      <c r="AY417" s="112"/>
      <c r="BA417" s="112"/>
      <c r="BB417" s="112"/>
      <c r="BC417" s="112"/>
      <c r="BD417" s="112"/>
      <c r="BE417" s="112"/>
      <c r="BF417" s="112"/>
      <c r="BG417" s="112"/>
      <c r="BH417" s="112"/>
      <c r="BI417" s="112"/>
      <c r="BK417" s="112"/>
      <c r="BL417" s="112"/>
      <c r="BM417" s="112"/>
      <c r="BN417" s="112"/>
    </row>
    <row r="418" spans="17:66" x14ac:dyDescent="0.25">
      <c r="Q418" s="112"/>
      <c r="R418" s="112"/>
      <c r="S418" s="112"/>
      <c r="T418" s="112"/>
      <c r="U418" s="112"/>
      <c r="V418" s="112"/>
      <c r="W418" s="112"/>
      <c r="X418" s="112"/>
      <c r="Y418" s="112"/>
      <c r="Z418" s="112"/>
      <c r="AA418" s="112"/>
      <c r="AB418" s="112"/>
      <c r="AC418" s="112"/>
      <c r="AD418" s="112"/>
      <c r="AE418" s="112"/>
      <c r="AF418" s="112"/>
      <c r="AG418" s="112"/>
      <c r="AH418" s="112"/>
      <c r="AI418" s="112"/>
      <c r="AJ418" s="112"/>
      <c r="AK418" s="112"/>
      <c r="AL418" s="112"/>
      <c r="AP418" s="112"/>
      <c r="AQ418" s="112"/>
      <c r="AR418" s="112"/>
      <c r="AS418" s="112"/>
      <c r="AT418" s="112"/>
      <c r="AU418" s="112"/>
      <c r="AV418" s="112"/>
      <c r="AW418" s="112"/>
      <c r="AX418" s="112"/>
      <c r="AY418" s="112"/>
      <c r="BA418" s="112"/>
      <c r="BB418" s="112"/>
      <c r="BC418" s="112"/>
      <c r="BD418" s="112"/>
      <c r="BE418" s="112"/>
      <c r="BF418" s="112"/>
      <c r="BG418" s="112"/>
      <c r="BH418" s="112"/>
      <c r="BI418" s="112"/>
      <c r="BK418" s="112"/>
      <c r="BL418" s="112"/>
      <c r="BM418" s="112"/>
      <c r="BN418" s="112"/>
    </row>
    <row r="419" spans="17:66" x14ac:dyDescent="0.25">
      <c r="Q419" s="112"/>
      <c r="R419" s="112"/>
      <c r="S419" s="112"/>
      <c r="T419" s="112"/>
      <c r="U419" s="112"/>
      <c r="V419" s="112"/>
      <c r="W419" s="112"/>
      <c r="X419" s="112"/>
      <c r="Y419" s="112"/>
      <c r="Z419" s="112"/>
      <c r="AA419" s="112"/>
      <c r="AB419" s="112"/>
      <c r="AC419" s="112"/>
      <c r="AD419" s="112"/>
      <c r="AE419" s="112"/>
      <c r="AF419" s="112"/>
      <c r="AG419" s="112"/>
      <c r="AH419" s="112"/>
      <c r="AI419" s="112"/>
      <c r="AJ419" s="112"/>
      <c r="AK419" s="112"/>
      <c r="AL419" s="112"/>
      <c r="AP419" s="112"/>
      <c r="AQ419" s="112"/>
      <c r="AR419" s="112"/>
      <c r="AS419" s="112"/>
      <c r="AT419" s="112"/>
      <c r="AU419" s="112"/>
      <c r="AV419" s="112"/>
      <c r="AW419" s="112"/>
      <c r="AX419" s="112"/>
      <c r="AY419" s="112"/>
      <c r="BA419" s="112"/>
      <c r="BB419" s="112"/>
      <c r="BC419" s="112"/>
      <c r="BD419" s="112"/>
      <c r="BE419" s="112"/>
      <c r="BF419" s="112"/>
      <c r="BG419" s="112"/>
      <c r="BH419" s="112"/>
      <c r="BI419" s="112"/>
      <c r="BK419" s="112"/>
      <c r="BL419" s="112"/>
      <c r="BM419" s="112"/>
      <c r="BN419" s="112"/>
    </row>
    <row r="420" spans="17:66" x14ac:dyDescent="0.25">
      <c r="Q420" s="112"/>
      <c r="R420" s="112"/>
      <c r="S420" s="112"/>
      <c r="T420" s="112"/>
      <c r="U420" s="112"/>
      <c r="V420" s="112"/>
      <c r="W420" s="112"/>
      <c r="X420" s="112"/>
      <c r="Y420" s="112"/>
      <c r="Z420" s="112"/>
      <c r="AA420" s="112"/>
      <c r="AB420" s="112"/>
      <c r="AC420" s="112"/>
      <c r="AD420" s="112"/>
      <c r="AE420" s="112"/>
      <c r="AF420" s="112"/>
      <c r="AG420" s="112"/>
      <c r="AH420" s="112"/>
      <c r="AI420" s="112"/>
      <c r="AJ420" s="112"/>
      <c r="AK420" s="112"/>
      <c r="AL420" s="112"/>
      <c r="AP420" s="112"/>
      <c r="AQ420" s="112"/>
      <c r="AR420" s="112"/>
      <c r="AS420" s="112"/>
      <c r="AT420" s="112"/>
      <c r="AU420" s="112"/>
      <c r="AV420" s="112"/>
      <c r="AW420" s="112"/>
      <c r="AX420" s="112"/>
      <c r="AY420" s="112"/>
      <c r="BA420" s="112"/>
      <c r="BB420" s="112"/>
      <c r="BC420" s="112"/>
      <c r="BD420" s="112"/>
      <c r="BE420" s="112"/>
      <c r="BF420" s="112"/>
      <c r="BG420" s="112"/>
      <c r="BH420" s="112"/>
      <c r="BI420" s="112"/>
      <c r="BK420" s="112"/>
      <c r="BL420" s="112"/>
      <c r="BM420" s="112"/>
      <c r="BN420" s="112"/>
    </row>
    <row r="421" spans="17:66" x14ac:dyDescent="0.25">
      <c r="Q421" s="112"/>
      <c r="R421" s="112"/>
      <c r="S421" s="112"/>
      <c r="T421" s="112"/>
      <c r="U421" s="112"/>
      <c r="V421" s="112"/>
      <c r="W421" s="112"/>
      <c r="X421" s="112"/>
      <c r="Y421" s="112"/>
      <c r="Z421" s="112"/>
      <c r="AA421" s="112"/>
      <c r="AB421" s="112"/>
      <c r="AC421" s="112"/>
      <c r="AD421" s="112"/>
      <c r="AE421" s="112"/>
      <c r="AF421" s="112"/>
      <c r="AG421" s="112"/>
      <c r="AH421" s="112"/>
      <c r="AI421" s="112"/>
      <c r="AJ421" s="112"/>
      <c r="AK421" s="112"/>
      <c r="AL421" s="112"/>
      <c r="AP421" s="112"/>
      <c r="AQ421" s="112"/>
      <c r="AR421" s="112"/>
      <c r="AS421" s="112"/>
      <c r="AT421" s="112"/>
      <c r="AU421" s="112"/>
      <c r="AV421" s="112"/>
      <c r="AW421" s="112"/>
      <c r="AX421" s="112"/>
      <c r="AY421" s="112"/>
      <c r="BA421" s="112"/>
      <c r="BB421" s="112"/>
      <c r="BC421" s="112"/>
      <c r="BD421" s="112"/>
      <c r="BE421" s="112"/>
      <c r="BF421" s="112"/>
      <c r="BG421" s="112"/>
      <c r="BH421" s="112"/>
      <c r="BI421" s="112"/>
      <c r="BK421" s="112"/>
      <c r="BL421" s="112"/>
      <c r="BM421" s="112"/>
      <c r="BN421" s="112"/>
    </row>
    <row r="422" spans="17:66" x14ac:dyDescent="0.25">
      <c r="Q422" s="112"/>
      <c r="R422" s="112"/>
      <c r="S422" s="112"/>
      <c r="T422" s="112"/>
      <c r="U422" s="112"/>
      <c r="V422" s="112"/>
      <c r="W422" s="112"/>
      <c r="X422" s="112"/>
      <c r="Y422" s="112"/>
      <c r="Z422" s="112"/>
      <c r="AA422" s="112"/>
      <c r="AB422" s="112"/>
      <c r="AC422" s="112"/>
      <c r="AD422" s="112"/>
      <c r="AE422" s="112"/>
      <c r="AF422" s="112"/>
      <c r="AG422" s="112"/>
      <c r="AH422" s="112"/>
      <c r="AI422" s="112"/>
      <c r="AJ422" s="112"/>
      <c r="AK422" s="112"/>
      <c r="AL422" s="112"/>
      <c r="AP422" s="112"/>
      <c r="AQ422" s="112"/>
      <c r="AR422" s="112"/>
      <c r="AS422" s="112"/>
      <c r="AT422" s="112"/>
      <c r="AU422" s="112"/>
      <c r="AV422" s="112"/>
      <c r="AW422" s="112"/>
      <c r="AX422" s="112"/>
      <c r="AY422" s="112"/>
      <c r="BA422" s="112"/>
      <c r="BB422" s="112"/>
      <c r="BC422" s="112"/>
      <c r="BD422" s="112"/>
      <c r="BE422" s="112"/>
      <c r="BF422" s="112"/>
      <c r="BG422" s="112"/>
      <c r="BH422" s="112"/>
      <c r="BI422" s="112"/>
      <c r="BK422" s="112"/>
      <c r="BL422" s="112"/>
      <c r="BM422" s="112"/>
      <c r="BN422" s="112"/>
    </row>
    <row r="423" spans="17:66" x14ac:dyDescent="0.25">
      <c r="Q423" s="112"/>
      <c r="R423" s="112"/>
      <c r="S423" s="112"/>
      <c r="T423" s="112"/>
      <c r="U423" s="112"/>
      <c r="V423" s="112"/>
      <c r="W423" s="112"/>
      <c r="X423" s="112"/>
      <c r="Y423" s="112"/>
      <c r="Z423" s="112"/>
      <c r="AA423" s="112"/>
      <c r="AB423" s="112"/>
      <c r="AC423" s="112"/>
      <c r="AD423" s="112"/>
      <c r="AE423" s="112"/>
      <c r="AF423" s="112"/>
      <c r="AG423" s="112"/>
      <c r="AH423" s="112"/>
      <c r="AI423" s="112"/>
      <c r="AJ423" s="112"/>
      <c r="AK423" s="112"/>
      <c r="AL423" s="112"/>
      <c r="AP423" s="112"/>
      <c r="AQ423" s="112"/>
      <c r="AR423" s="112"/>
      <c r="AS423" s="112"/>
      <c r="AT423" s="112"/>
      <c r="AU423" s="112"/>
      <c r="AV423" s="112"/>
      <c r="AW423" s="112"/>
      <c r="AX423" s="112"/>
      <c r="AY423" s="112"/>
      <c r="BA423" s="112"/>
      <c r="BB423" s="112"/>
      <c r="BC423" s="112"/>
      <c r="BD423" s="112"/>
      <c r="BE423" s="112"/>
      <c r="BF423" s="112"/>
      <c r="BG423" s="112"/>
      <c r="BH423" s="112"/>
      <c r="BI423" s="112"/>
      <c r="BK423" s="112"/>
      <c r="BL423" s="112"/>
      <c r="BM423" s="112"/>
      <c r="BN423" s="112"/>
    </row>
    <row r="424" spans="17:66" x14ac:dyDescent="0.25">
      <c r="Q424" s="112"/>
      <c r="R424" s="112"/>
      <c r="S424" s="112"/>
      <c r="T424" s="112"/>
      <c r="U424" s="112"/>
      <c r="V424" s="112"/>
      <c r="W424" s="112"/>
      <c r="X424" s="112"/>
      <c r="Y424" s="112"/>
      <c r="Z424" s="112"/>
      <c r="AA424" s="112"/>
      <c r="AB424" s="112"/>
      <c r="AC424" s="112"/>
      <c r="AD424" s="112"/>
      <c r="AE424" s="112"/>
      <c r="AF424" s="112"/>
      <c r="AG424" s="112"/>
      <c r="AH424" s="112"/>
      <c r="AI424" s="112"/>
      <c r="AJ424" s="112"/>
      <c r="AK424" s="112"/>
      <c r="AL424" s="112"/>
      <c r="AP424" s="112"/>
      <c r="AQ424" s="112"/>
      <c r="AR424" s="112"/>
      <c r="AS424" s="112"/>
      <c r="AT424" s="112"/>
      <c r="AU424" s="112"/>
      <c r="AV424" s="112"/>
      <c r="AW424" s="112"/>
      <c r="AX424" s="112"/>
      <c r="AY424" s="112"/>
      <c r="BA424" s="112"/>
      <c r="BB424" s="112"/>
      <c r="BC424" s="112"/>
      <c r="BD424" s="112"/>
      <c r="BE424" s="112"/>
      <c r="BF424" s="112"/>
      <c r="BG424" s="112"/>
      <c r="BH424" s="112"/>
      <c r="BI424" s="112"/>
      <c r="BK424" s="112"/>
      <c r="BL424" s="112"/>
      <c r="BM424" s="112"/>
      <c r="BN424" s="112"/>
    </row>
    <row r="425" spans="17:66" x14ac:dyDescent="0.25">
      <c r="Q425" s="112"/>
      <c r="R425" s="112"/>
      <c r="S425" s="112"/>
      <c r="T425" s="112"/>
      <c r="U425" s="112"/>
      <c r="V425" s="112"/>
      <c r="W425" s="112"/>
      <c r="X425" s="112"/>
      <c r="Y425" s="112"/>
      <c r="Z425" s="112"/>
      <c r="AA425" s="112"/>
      <c r="AB425" s="112"/>
      <c r="AC425" s="112"/>
      <c r="AD425" s="112"/>
      <c r="AE425" s="112"/>
      <c r="AF425" s="112"/>
      <c r="AG425" s="112"/>
      <c r="AH425" s="112"/>
      <c r="AI425" s="112"/>
      <c r="AJ425" s="112"/>
      <c r="AK425" s="112"/>
      <c r="AL425" s="112"/>
      <c r="AP425" s="112"/>
      <c r="AQ425" s="112"/>
      <c r="AR425" s="112"/>
      <c r="AS425" s="112"/>
      <c r="AT425" s="112"/>
      <c r="AU425" s="112"/>
      <c r="AV425" s="112"/>
      <c r="AW425" s="112"/>
      <c r="AX425" s="112"/>
      <c r="AY425" s="112"/>
      <c r="BA425" s="112"/>
      <c r="BB425" s="112"/>
      <c r="BC425" s="112"/>
      <c r="BD425" s="112"/>
      <c r="BE425" s="112"/>
      <c r="BF425" s="112"/>
      <c r="BG425" s="112"/>
      <c r="BH425" s="112"/>
      <c r="BI425" s="112"/>
      <c r="BK425" s="112"/>
      <c r="BL425" s="112"/>
      <c r="BM425" s="112"/>
      <c r="BN425" s="112"/>
    </row>
    <row r="426" spans="17:66" x14ac:dyDescent="0.25">
      <c r="Q426" s="112"/>
      <c r="R426" s="112"/>
      <c r="S426" s="112"/>
      <c r="T426" s="112"/>
      <c r="U426" s="112"/>
      <c r="V426" s="112"/>
      <c r="W426" s="112"/>
      <c r="X426" s="112"/>
      <c r="Y426" s="112"/>
      <c r="Z426" s="112"/>
      <c r="AA426" s="112"/>
      <c r="AB426" s="112"/>
      <c r="AC426" s="112"/>
      <c r="AD426" s="112"/>
      <c r="AE426" s="112"/>
      <c r="AF426" s="112"/>
      <c r="AG426" s="112"/>
      <c r="AH426" s="112"/>
      <c r="AI426" s="112"/>
      <c r="AJ426" s="112"/>
      <c r="AK426" s="112"/>
      <c r="AL426" s="112"/>
      <c r="AP426" s="112"/>
      <c r="AQ426" s="112"/>
      <c r="AR426" s="112"/>
      <c r="AS426" s="112"/>
      <c r="AT426" s="112"/>
      <c r="AU426" s="112"/>
      <c r="AV426" s="112"/>
      <c r="AW426" s="112"/>
      <c r="AX426" s="112"/>
      <c r="AY426" s="112"/>
      <c r="BA426" s="112"/>
      <c r="BB426" s="112"/>
      <c r="BC426" s="112"/>
      <c r="BD426" s="112"/>
      <c r="BE426" s="112"/>
      <c r="BF426" s="112"/>
      <c r="BG426" s="112"/>
      <c r="BH426" s="112"/>
      <c r="BI426" s="112"/>
      <c r="BK426" s="112"/>
      <c r="BL426" s="112"/>
      <c r="BM426" s="112"/>
      <c r="BN426" s="112"/>
    </row>
    <row r="427" spans="17:66" x14ac:dyDescent="0.25">
      <c r="Q427" s="112"/>
      <c r="R427" s="112"/>
      <c r="S427" s="112"/>
      <c r="T427" s="112"/>
      <c r="U427" s="112"/>
      <c r="V427" s="112"/>
      <c r="W427" s="112"/>
      <c r="X427" s="112"/>
      <c r="Y427" s="112"/>
      <c r="Z427" s="112"/>
      <c r="AA427" s="112"/>
      <c r="AB427" s="112"/>
      <c r="AC427" s="112"/>
      <c r="AD427" s="112"/>
      <c r="AE427" s="112"/>
      <c r="AF427" s="112"/>
      <c r="AG427" s="112"/>
      <c r="AH427" s="112"/>
      <c r="AI427" s="112"/>
      <c r="AJ427" s="112"/>
      <c r="AK427" s="112"/>
      <c r="AL427" s="112"/>
      <c r="AP427" s="112"/>
      <c r="AQ427" s="112"/>
      <c r="AR427" s="112"/>
      <c r="AS427" s="112"/>
      <c r="AT427" s="112"/>
      <c r="AU427" s="112"/>
      <c r="AV427" s="112"/>
      <c r="AW427" s="112"/>
      <c r="AX427" s="112"/>
      <c r="AY427" s="112"/>
      <c r="BA427" s="112"/>
      <c r="BB427" s="112"/>
      <c r="BC427" s="112"/>
      <c r="BD427" s="112"/>
      <c r="BE427" s="112"/>
      <c r="BF427" s="112"/>
      <c r="BG427" s="112"/>
      <c r="BH427" s="112"/>
      <c r="BI427" s="112"/>
      <c r="BK427" s="112"/>
      <c r="BL427" s="112"/>
      <c r="BM427" s="112"/>
      <c r="BN427" s="112"/>
    </row>
    <row r="428" spans="17:66" x14ac:dyDescent="0.25">
      <c r="Q428" s="112"/>
      <c r="R428" s="112"/>
      <c r="S428" s="112"/>
      <c r="T428" s="112"/>
      <c r="U428" s="112"/>
      <c r="V428" s="112"/>
      <c r="W428" s="112"/>
      <c r="X428" s="112"/>
      <c r="Y428" s="112"/>
      <c r="Z428" s="112"/>
      <c r="AA428" s="112"/>
      <c r="AB428" s="112"/>
      <c r="AC428" s="112"/>
      <c r="AD428" s="112"/>
      <c r="AE428" s="112"/>
      <c r="AF428" s="112"/>
      <c r="AG428" s="112"/>
      <c r="AH428" s="112"/>
      <c r="AI428" s="112"/>
      <c r="AJ428" s="112"/>
      <c r="AK428" s="112"/>
      <c r="AL428" s="112"/>
      <c r="AP428" s="112"/>
      <c r="AQ428" s="112"/>
      <c r="AR428" s="112"/>
      <c r="AS428" s="112"/>
      <c r="AT428" s="112"/>
      <c r="AU428" s="112"/>
      <c r="AV428" s="112"/>
      <c r="AW428" s="112"/>
      <c r="AX428" s="112"/>
      <c r="AY428" s="112"/>
      <c r="BA428" s="112"/>
      <c r="BB428" s="112"/>
      <c r="BC428" s="112"/>
      <c r="BD428" s="112"/>
      <c r="BE428" s="112"/>
      <c r="BF428" s="112"/>
      <c r="BG428" s="112"/>
      <c r="BH428" s="112"/>
      <c r="BI428" s="112"/>
      <c r="BK428" s="112"/>
      <c r="BL428" s="112"/>
      <c r="BM428" s="112"/>
      <c r="BN428" s="112"/>
    </row>
    <row r="429" spans="17:66" x14ac:dyDescent="0.25">
      <c r="Q429" s="112"/>
      <c r="R429" s="112"/>
      <c r="S429" s="112"/>
      <c r="T429" s="112"/>
      <c r="U429" s="112"/>
      <c r="V429" s="112"/>
      <c r="W429" s="112"/>
      <c r="X429" s="112"/>
      <c r="Y429" s="112"/>
      <c r="Z429" s="112"/>
      <c r="AA429" s="112"/>
      <c r="AB429" s="112"/>
      <c r="AC429" s="112"/>
      <c r="AD429" s="112"/>
      <c r="AE429" s="112"/>
      <c r="AF429" s="112"/>
      <c r="AG429" s="112"/>
      <c r="AH429" s="112"/>
      <c r="AI429" s="112"/>
      <c r="AJ429" s="112"/>
      <c r="AK429" s="112"/>
      <c r="AL429" s="112"/>
      <c r="AP429" s="112"/>
      <c r="AQ429" s="112"/>
      <c r="AR429" s="112"/>
      <c r="AS429" s="112"/>
      <c r="AT429" s="112"/>
      <c r="AU429" s="112"/>
      <c r="AV429" s="112"/>
      <c r="AW429" s="112"/>
      <c r="AX429" s="112"/>
      <c r="AY429" s="112"/>
      <c r="BA429" s="112"/>
      <c r="BB429" s="112"/>
      <c r="BC429" s="112"/>
      <c r="BD429" s="112"/>
      <c r="BE429" s="112"/>
      <c r="BF429" s="112"/>
      <c r="BG429" s="112"/>
      <c r="BH429" s="112"/>
      <c r="BI429" s="112"/>
      <c r="BK429" s="112"/>
      <c r="BL429" s="112"/>
      <c r="BM429" s="112"/>
      <c r="BN429" s="112"/>
    </row>
    <row r="430" spans="17:66" x14ac:dyDescent="0.25">
      <c r="Q430" s="112"/>
      <c r="R430" s="112"/>
      <c r="S430" s="112"/>
      <c r="T430" s="112"/>
      <c r="U430" s="112"/>
      <c r="V430" s="112"/>
      <c r="W430" s="112"/>
      <c r="X430" s="112"/>
      <c r="Y430" s="112"/>
      <c r="Z430" s="112"/>
      <c r="AA430" s="112"/>
      <c r="AB430" s="112"/>
      <c r="AC430" s="112"/>
      <c r="AD430" s="112"/>
      <c r="AE430" s="112"/>
      <c r="AF430" s="112"/>
      <c r="AG430" s="112"/>
      <c r="AH430" s="112"/>
      <c r="AI430" s="112"/>
      <c r="AJ430" s="112"/>
      <c r="AK430" s="112"/>
      <c r="AL430" s="112"/>
      <c r="AP430" s="112"/>
      <c r="AQ430" s="112"/>
      <c r="AR430" s="112"/>
      <c r="AS430" s="112"/>
      <c r="AT430" s="112"/>
      <c r="AU430" s="112"/>
      <c r="AV430" s="112"/>
      <c r="AW430" s="112"/>
      <c r="AX430" s="112"/>
      <c r="AY430" s="112"/>
      <c r="BA430" s="112"/>
      <c r="BB430" s="112"/>
      <c r="BC430" s="112"/>
      <c r="BD430" s="112"/>
      <c r="BE430" s="112"/>
      <c r="BF430" s="112"/>
      <c r="BG430" s="112"/>
      <c r="BH430" s="112"/>
      <c r="BI430" s="112"/>
      <c r="BK430" s="112"/>
      <c r="BL430" s="112"/>
      <c r="BM430" s="112"/>
      <c r="BN430" s="112"/>
    </row>
    <row r="431" spans="17:66" x14ac:dyDescent="0.25">
      <c r="Q431" s="112"/>
      <c r="R431" s="112"/>
      <c r="S431" s="112"/>
      <c r="T431" s="112"/>
      <c r="U431" s="112"/>
      <c r="V431" s="112"/>
      <c r="W431" s="112"/>
      <c r="X431" s="112"/>
      <c r="Y431" s="112"/>
      <c r="Z431" s="112"/>
      <c r="AA431" s="112"/>
      <c r="AB431" s="112"/>
      <c r="AC431" s="112"/>
      <c r="AD431" s="112"/>
      <c r="AE431" s="112"/>
      <c r="AF431" s="112"/>
      <c r="AG431" s="112"/>
      <c r="AH431" s="112"/>
      <c r="AI431" s="112"/>
      <c r="AJ431" s="112"/>
      <c r="AK431" s="112"/>
      <c r="AL431" s="112"/>
      <c r="AP431" s="112"/>
      <c r="AQ431" s="112"/>
      <c r="AR431" s="112"/>
      <c r="AS431" s="112"/>
      <c r="AT431" s="112"/>
      <c r="AU431" s="112"/>
      <c r="AV431" s="112"/>
      <c r="AW431" s="112"/>
      <c r="AX431" s="112"/>
      <c r="AY431" s="112"/>
      <c r="BA431" s="112"/>
      <c r="BB431" s="112"/>
      <c r="BC431" s="112"/>
      <c r="BD431" s="112"/>
      <c r="BE431" s="112"/>
      <c r="BF431" s="112"/>
      <c r="BG431" s="112"/>
      <c r="BH431" s="112"/>
      <c r="BI431" s="112"/>
      <c r="BK431" s="112"/>
      <c r="BL431" s="112"/>
      <c r="BM431" s="112"/>
      <c r="BN431" s="112"/>
    </row>
    <row r="432" spans="17:66" x14ac:dyDescent="0.25">
      <c r="Q432" s="112"/>
      <c r="R432" s="112"/>
      <c r="S432" s="112"/>
      <c r="T432" s="112"/>
      <c r="U432" s="112"/>
      <c r="V432" s="112"/>
      <c r="W432" s="112"/>
      <c r="X432" s="112"/>
      <c r="Y432" s="112"/>
      <c r="Z432" s="112"/>
      <c r="AA432" s="112"/>
      <c r="AB432" s="112"/>
      <c r="AC432" s="112"/>
      <c r="AD432" s="112"/>
      <c r="AE432" s="112"/>
      <c r="AF432" s="112"/>
      <c r="AG432" s="112"/>
      <c r="AH432" s="112"/>
      <c r="AI432" s="112"/>
      <c r="AJ432" s="112"/>
      <c r="AK432" s="112"/>
      <c r="AL432" s="112"/>
      <c r="AP432" s="112"/>
      <c r="AQ432" s="112"/>
      <c r="AR432" s="112"/>
      <c r="AS432" s="112"/>
      <c r="AT432" s="112"/>
      <c r="AU432" s="112"/>
      <c r="AV432" s="112"/>
      <c r="AW432" s="112"/>
      <c r="AX432" s="112"/>
      <c r="AY432" s="112"/>
      <c r="BA432" s="112"/>
      <c r="BB432" s="112"/>
      <c r="BC432" s="112"/>
      <c r="BD432" s="112"/>
      <c r="BE432" s="112"/>
      <c r="BF432" s="112"/>
      <c r="BG432" s="112"/>
      <c r="BH432" s="112"/>
      <c r="BI432" s="112"/>
      <c r="BK432" s="112"/>
      <c r="BL432" s="112"/>
      <c r="BM432" s="112"/>
      <c r="BN432" s="112"/>
    </row>
    <row r="433" spans="17:66" x14ac:dyDescent="0.25">
      <c r="Q433" s="112"/>
      <c r="R433" s="112"/>
      <c r="S433" s="112"/>
      <c r="T433" s="112"/>
      <c r="U433" s="112"/>
      <c r="V433" s="112"/>
      <c r="W433" s="112"/>
      <c r="X433" s="112"/>
      <c r="Y433" s="112"/>
      <c r="Z433" s="112"/>
      <c r="AA433" s="112"/>
      <c r="AB433" s="112"/>
      <c r="AC433" s="112"/>
      <c r="AD433" s="112"/>
      <c r="AE433" s="112"/>
      <c r="AF433" s="112"/>
      <c r="AG433" s="112"/>
      <c r="AH433" s="112"/>
      <c r="AI433" s="112"/>
      <c r="AJ433" s="112"/>
      <c r="AK433" s="112"/>
      <c r="AL433" s="112"/>
      <c r="AP433" s="112"/>
      <c r="AQ433" s="112"/>
      <c r="AR433" s="112"/>
      <c r="AS433" s="112"/>
      <c r="AT433" s="112"/>
      <c r="AU433" s="112"/>
      <c r="AV433" s="112"/>
      <c r="AW433" s="112"/>
      <c r="AX433" s="112"/>
      <c r="AY433" s="112"/>
      <c r="BA433" s="112"/>
      <c r="BB433" s="112"/>
      <c r="BC433" s="112"/>
      <c r="BD433" s="112"/>
      <c r="BE433" s="112"/>
      <c r="BF433" s="112"/>
      <c r="BG433" s="112"/>
      <c r="BH433" s="112"/>
      <c r="BI433" s="112"/>
      <c r="BK433" s="112"/>
      <c r="BL433" s="112"/>
      <c r="BM433" s="112"/>
      <c r="BN433" s="112"/>
    </row>
    <row r="434" spans="17:66" x14ac:dyDescent="0.25">
      <c r="Q434" s="112"/>
      <c r="R434" s="112"/>
      <c r="S434" s="112"/>
      <c r="T434" s="112"/>
      <c r="U434" s="112"/>
      <c r="V434" s="112"/>
      <c r="W434" s="112"/>
      <c r="X434" s="112"/>
      <c r="Y434" s="112"/>
      <c r="Z434" s="112"/>
      <c r="AA434" s="112"/>
      <c r="AB434" s="112"/>
      <c r="AC434" s="112"/>
      <c r="AD434" s="112"/>
      <c r="AE434" s="112"/>
      <c r="AF434" s="112"/>
      <c r="AG434" s="112"/>
      <c r="AH434" s="112"/>
      <c r="AI434" s="112"/>
      <c r="AJ434" s="112"/>
      <c r="AK434" s="112"/>
      <c r="AL434" s="112"/>
      <c r="AP434" s="112"/>
      <c r="AQ434" s="112"/>
      <c r="AR434" s="112"/>
      <c r="AS434" s="112"/>
      <c r="AT434" s="112"/>
      <c r="AU434" s="112"/>
      <c r="AV434" s="112"/>
      <c r="AW434" s="112"/>
      <c r="AX434" s="112"/>
      <c r="AY434" s="112"/>
      <c r="BA434" s="112"/>
      <c r="BB434" s="112"/>
      <c r="BC434" s="112"/>
      <c r="BD434" s="112"/>
      <c r="BE434" s="112"/>
      <c r="BF434" s="112"/>
      <c r="BG434" s="112"/>
      <c r="BH434" s="112"/>
      <c r="BI434" s="112"/>
      <c r="BK434" s="112"/>
      <c r="BL434" s="112"/>
      <c r="BM434" s="112"/>
      <c r="BN434" s="112"/>
    </row>
    <row r="435" spans="17:66" x14ac:dyDescent="0.25">
      <c r="Q435" s="112"/>
      <c r="R435" s="112"/>
      <c r="S435" s="112"/>
      <c r="T435" s="112"/>
      <c r="U435" s="112"/>
      <c r="V435" s="112"/>
      <c r="W435" s="112"/>
      <c r="X435" s="112"/>
      <c r="Y435" s="112"/>
      <c r="Z435" s="112"/>
      <c r="AA435" s="112"/>
      <c r="AB435" s="112"/>
      <c r="AC435" s="112"/>
      <c r="AD435" s="112"/>
      <c r="AE435" s="112"/>
      <c r="AF435" s="112"/>
      <c r="AG435" s="112"/>
      <c r="AH435" s="112"/>
      <c r="AI435" s="112"/>
      <c r="AJ435" s="112"/>
      <c r="AK435" s="112"/>
      <c r="AL435" s="112"/>
      <c r="AP435" s="112"/>
      <c r="AQ435" s="112"/>
      <c r="AR435" s="112"/>
      <c r="AS435" s="112"/>
      <c r="AT435" s="112"/>
      <c r="AU435" s="112"/>
      <c r="AV435" s="112"/>
      <c r="AW435" s="112"/>
      <c r="AX435" s="112"/>
      <c r="AY435" s="112"/>
      <c r="BA435" s="112"/>
      <c r="BB435" s="112"/>
      <c r="BC435" s="112"/>
      <c r="BD435" s="112"/>
      <c r="BE435" s="112"/>
      <c r="BF435" s="112"/>
      <c r="BG435" s="112"/>
      <c r="BH435" s="112"/>
      <c r="BI435" s="112"/>
      <c r="BK435" s="112"/>
      <c r="BL435" s="112"/>
      <c r="BM435" s="112"/>
      <c r="BN435" s="112"/>
    </row>
    <row r="436" spans="17:66" x14ac:dyDescent="0.25">
      <c r="Q436" s="112"/>
      <c r="R436" s="112"/>
      <c r="S436" s="112"/>
      <c r="T436" s="112"/>
      <c r="U436" s="112"/>
      <c r="V436" s="112"/>
      <c r="W436" s="112"/>
      <c r="X436" s="112"/>
      <c r="Y436" s="112"/>
      <c r="Z436" s="112"/>
      <c r="AA436" s="112"/>
      <c r="AB436" s="112"/>
      <c r="AC436" s="112"/>
      <c r="AD436" s="112"/>
      <c r="AE436" s="112"/>
      <c r="AF436" s="112"/>
      <c r="AG436" s="112"/>
      <c r="AH436" s="112"/>
      <c r="AI436" s="112"/>
      <c r="AJ436" s="112"/>
      <c r="AK436" s="112"/>
      <c r="AL436" s="112"/>
      <c r="AP436" s="112"/>
      <c r="AQ436" s="112"/>
      <c r="AR436" s="112"/>
      <c r="AS436" s="112"/>
      <c r="AT436" s="112"/>
      <c r="AU436" s="112"/>
      <c r="AV436" s="112"/>
      <c r="AW436" s="112"/>
      <c r="AX436" s="112"/>
      <c r="AY436" s="112"/>
      <c r="BA436" s="112"/>
      <c r="BB436" s="112"/>
      <c r="BC436" s="112"/>
      <c r="BD436" s="112"/>
      <c r="BE436" s="112"/>
      <c r="BF436" s="112"/>
      <c r="BG436" s="112"/>
      <c r="BH436" s="112"/>
      <c r="BI436" s="112"/>
      <c r="BK436" s="112"/>
      <c r="BL436" s="112"/>
      <c r="BM436" s="112"/>
      <c r="BN436" s="112"/>
    </row>
    <row r="437" spans="17:66" x14ac:dyDescent="0.25">
      <c r="Q437" s="112"/>
      <c r="R437" s="112"/>
      <c r="S437" s="112"/>
      <c r="T437" s="112"/>
      <c r="U437" s="112"/>
      <c r="V437" s="112"/>
      <c r="W437" s="112"/>
      <c r="X437" s="112"/>
      <c r="Y437" s="112"/>
      <c r="Z437" s="112"/>
      <c r="AA437" s="112"/>
      <c r="AB437" s="112"/>
      <c r="AC437" s="112"/>
      <c r="AD437" s="112"/>
      <c r="AE437" s="112"/>
      <c r="AF437" s="112"/>
      <c r="AG437" s="112"/>
      <c r="AH437" s="112"/>
      <c r="AI437" s="112"/>
      <c r="AJ437" s="112"/>
      <c r="AK437" s="112"/>
      <c r="AL437" s="112"/>
      <c r="AP437" s="112"/>
      <c r="AQ437" s="112"/>
      <c r="AR437" s="112"/>
      <c r="AS437" s="112"/>
      <c r="AT437" s="112"/>
      <c r="AU437" s="112"/>
      <c r="AV437" s="112"/>
      <c r="AW437" s="112"/>
      <c r="AX437" s="112"/>
      <c r="AY437" s="112"/>
      <c r="BA437" s="112"/>
      <c r="BB437" s="112"/>
      <c r="BC437" s="112"/>
      <c r="BD437" s="112"/>
      <c r="BE437" s="112"/>
      <c r="BF437" s="112"/>
      <c r="BG437" s="112"/>
      <c r="BH437" s="112"/>
      <c r="BI437" s="112"/>
      <c r="BK437" s="112"/>
      <c r="BL437" s="112"/>
      <c r="BM437" s="112"/>
      <c r="BN437" s="112"/>
    </row>
    <row r="438" spans="17:66" x14ac:dyDescent="0.25">
      <c r="Q438" s="112"/>
      <c r="R438" s="112"/>
      <c r="S438" s="112"/>
      <c r="T438" s="112"/>
      <c r="U438" s="112"/>
      <c r="V438" s="112"/>
      <c r="W438" s="112"/>
      <c r="X438" s="112"/>
      <c r="Y438" s="112"/>
      <c r="Z438" s="112"/>
      <c r="AA438" s="112"/>
      <c r="AB438" s="112"/>
      <c r="AC438" s="112"/>
      <c r="AD438" s="112"/>
      <c r="AE438" s="112"/>
      <c r="AF438" s="112"/>
      <c r="AG438" s="112"/>
      <c r="AH438" s="112"/>
      <c r="AI438" s="112"/>
      <c r="AJ438" s="112"/>
      <c r="AK438" s="112"/>
      <c r="AL438" s="112"/>
      <c r="AP438" s="112"/>
      <c r="AQ438" s="112"/>
      <c r="AR438" s="112"/>
      <c r="AS438" s="112"/>
      <c r="AT438" s="112"/>
      <c r="AU438" s="112"/>
      <c r="AV438" s="112"/>
      <c r="AW438" s="112"/>
      <c r="AX438" s="112"/>
      <c r="AY438" s="112"/>
      <c r="BA438" s="112"/>
      <c r="BB438" s="112"/>
      <c r="BC438" s="112"/>
      <c r="BD438" s="112"/>
      <c r="BE438" s="112"/>
      <c r="BF438" s="112"/>
      <c r="BG438" s="112"/>
      <c r="BH438" s="112"/>
      <c r="BI438" s="112"/>
      <c r="BK438" s="112"/>
      <c r="BL438" s="112"/>
      <c r="BM438" s="112"/>
      <c r="BN438" s="112"/>
    </row>
    <row r="439" spans="17:66" x14ac:dyDescent="0.25">
      <c r="Q439" s="112"/>
      <c r="R439" s="112"/>
      <c r="S439" s="112"/>
      <c r="T439" s="112"/>
      <c r="U439" s="112"/>
      <c r="V439" s="112"/>
      <c r="W439" s="112"/>
      <c r="X439" s="112"/>
      <c r="Y439" s="112"/>
      <c r="Z439" s="112"/>
      <c r="AA439" s="112"/>
      <c r="AB439" s="112"/>
      <c r="AC439" s="112"/>
      <c r="AD439" s="112"/>
      <c r="AE439" s="112"/>
      <c r="AF439" s="112"/>
      <c r="AG439" s="112"/>
      <c r="AH439" s="112"/>
      <c r="AI439" s="112"/>
      <c r="AJ439" s="112"/>
      <c r="AK439" s="112"/>
      <c r="AL439" s="112"/>
      <c r="AP439" s="112"/>
      <c r="AQ439" s="112"/>
      <c r="AR439" s="112"/>
      <c r="AS439" s="112"/>
      <c r="AT439" s="112"/>
      <c r="AU439" s="112"/>
      <c r="AV439" s="112"/>
      <c r="AW439" s="112"/>
      <c r="AX439" s="112"/>
      <c r="AY439" s="112"/>
      <c r="BA439" s="112"/>
      <c r="BB439" s="112"/>
      <c r="BC439" s="112"/>
      <c r="BD439" s="112"/>
      <c r="BE439" s="112"/>
      <c r="BF439" s="112"/>
      <c r="BG439" s="112"/>
      <c r="BH439" s="112"/>
      <c r="BI439" s="112"/>
      <c r="BK439" s="112"/>
      <c r="BL439" s="112"/>
      <c r="BM439" s="112"/>
      <c r="BN439" s="112"/>
    </row>
    <row r="440" spans="17:66" x14ac:dyDescent="0.25">
      <c r="Q440" s="112"/>
      <c r="R440" s="112"/>
      <c r="S440" s="112"/>
      <c r="T440" s="112"/>
      <c r="U440" s="112"/>
      <c r="V440" s="112"/>
      <c r="W440" s="112"/>
      <c r="X440" s="112"/>
      <c r="Y440" s="112"/>
      <c r="Z440" s="112"/>
      <c r="AA440" s="112"/>
      <c r="AB440" s="112"/>
      <c r="AC440" s="112"/>
      <c r="AD440" s="112"/>
      <c r="AE440" s="112"/>
      <c r="AF440" s="112"/>
      <c r="AG440" s="112"/>
      <c r="AH440" s="112"/>
      <c r="AI440" s="112"/>
      <c r="AJ440" s="112"/>
      <c r="AK440" s="112"/>
      <c r="AL440" s="112"/>
      <c r="AP440" s="112"/>
      <c r="AQ440" s="112"/>
      <c r="AR440" s="112"/>
      <c r="AS440" s="112"/>
      <c r="AT440" s="112"/>
      <c r="AU440" s="112"/>
      <c r="AV440" s="112"/>
      <c r="AW440" s="112"/>
      <c r="AX440" s="112"/>
      <c r="AY440" s="112"/>
      <c r="BA440" s="112"/>
      <c r="BB440" s="112"/>
      <c r="BC440" s="112"/>
      <c r="BD440" s="112"/>
      <c r="BE440" s="112"/>
      <c r="BF440" s="112"/>
      <c r="BG440" s="112"/>
      <c r="BH440" s="112"/>
      <c r="BI440" s="112"/>
      <c r="BK440" s="112"/>
      <c r="BL440" s="112"/>
      <c r="BM440" s="112"/>
      <c r="BN440" s="112"/>
    </row>
    <row r="441" spans="17:66" x14ac:dyDescent="0.25">
      <c r="Q441" s="112"/>
      <c r="R441" s="112"/>
      <c r="S441" s="112"/>
      <c r="T441" s="112"/>
      <c r="U441" s="112"/>
      <c r="V441" s="112"/>
      <c r="W441" s="112"/>
      <c r="X441" s="112"/>
      <c r="Y441" s="112"/>
      <c r="Z441" s="112"/>
      <c r="AA441" s="112"/>
      <c r="AB441" s="112"/>
      <c r="AC441" s="112"/>
      <c r="AD441" s="112"/>
      <c r="AE441" s="112"/>
      <c r="AF441" s="112"/>
      <c r="AG441" s="112"/>
      <c r="AH441" s="112"/>
      <c r="AI441" s="112"/>
      <c r="AJ441" s="112"/>
      <c r="AK441" s="112"/>
      <c r="AL441" s="112"/>
      <c r="AP441" s="112"/>
      <c r="AQ441" s="112"/>
      <c r="AR441" s="112"/>
      <c r="AS441" s="112"/>
      <c r="AT441" s="112"/>
      <c r="AU441" s="112"/>
      <c r="AV441" s="112"/>
      <c r="AW441" s="112"/>
      <c r="AX441" s="112"/>
      <c r="AY441" s="112"/>
      <c r="BA441" s="112"/>
      <c r="BB441" s="112"/>
      <c r="BC441" s="112"/>
      <c r="BD441" s="112"/>
      <c r="BE441" s="112"/>
      <c r="BF441" s="112"/>
      <c r="BG441" s="112"/>
      <c r="BH441" s="112"/>
      <c r="BI441" s="112"/>
      <c r="BK441" s="112"/>
      <c r="BL441" s="112"/>
      <c r="BM441" s="112"/>
      <c r="BN441" s="112"/>
    </row>
    <row r="442" spans="17:66" x14ac:dyDescent="0.25">
      <c r="Q442" s="112"/>
      <c r="R442" s="112"/>
      <c r="S442" s="112"/>
      <c r="T442" s="112"/>
      <c r="U442" s="112"/>
      <c r="V442" s="112"/>
      <c r="W442" s="112"/>
      <c r="X442" s="112"/>
      <c r="Y442" s="112"/>
      <c r="Z442" s="112"/>
      <c r="AA442" s="112"/>
      <c r="AB442" s="112"/>
      <c r="AC442" s="112"/>
      <c r="AD442" s="112"/>
      <c r="AE442" s="112"/>
      <c r="AF442" s="112"/>
      <c r="AG442" s="112"/>
      <c r="AH442" s="112"/>
      <c r="AI442" s="112"/>
      <c r="AJ442" s="112"/>
      <c r="AK442" s="112"/>
      <c r="AL442" s="112"/>
      <c r="AP442" s="112"/>
      <c r="AQ442" s="112"/>
      <c r="AR442" s="112"/>
      <c r="AS442" s="112"/>
      <c r="AT442" s="112"/>
      <c r="AU442" s="112"/>
      <c r="AV442" s="112"/>
      <c r="AW442" s="112"/>
      <c r="AX442" s="112"/>
      <c r="AY442" s="112"/>
      <c r="BA442" s="112"/>
      <c r="BB442" s="112"/>
      <c r="BC442" s="112"/>
      <c r="BD442" s="112"/>
      <c r="BE442" s="112"/>
      <c r="BF442" s="112"/>
      <c r="BG442" s="112"/>
      <c r="BH442" s="112"/>
      <c r="BI442" s="112"/>
      <c r="BK442" s="112"/>
      <c r="BL442" s="112"/>
      <c r="BM442" s="112"/>
      <c r="BN442" s="112"/>
    </row>
    <row r="443" spans="17:66" x14ac:dyDescent="0.25">
      <c r="Q443" s="112"/>
      <c r="R443" s="112"/>
      <c r="S443" s="112"/>
      <c r="T443" s="112"/>
      <c r="U443" s="112"/>
      <c r="V443" s="112"/>
      <c r="W443" s="112"/>
      <c r="X443" s="112"/>
      <c r="Y443" s="112"/>
      <c r="Z443" s="112"/>
      <c r="AA443" s="112"/>
      <c r="AB443" s="112"/>
      <c r="AC443" s="112"/>
      <c r="AD443" s="112"/>
      <c r="AE443" s="112"/>
      <c r="AF443" s="112"/>
      <c r="AG443" s="112"/>
      <c r="AH443" s="112"/>
      <c r="AI443" s="112"/>
      <c r="AJ443" s="112"/>
      <c r="AK443" s="112"/>
      <c r="AL443" s="112"/>
      <c r="AP443" s="112"/>
      <c r="AQ443" s="112"/>
      <c r="AR443" s="112"/>
      <c r="AS443" s="112"/>
      <c r="AT443" s="112"/>
      <c r="AU443" s="112"/>
      <c r="AV443" s="112"/>
      <c r="AW443" s="112"/>
      <c r="AX443" s="112"/>
      <c r="AY443" s="112"/>
      <c r="BA443" s="112"/>
      <c r="BB443" s="112"/>
      <c r="BC443" s="112"/>
      <c r="BD443" s="112"/>
      <c r="BE443" s="112"/>
      <c r="BF443" s="112"/>
      <c r="BG443" s="112"/>
      <c r="BH443" s="112"/>
      <c r="BI443" s="112"/>
      <c r="BK443" s="112"/>
      <c r="BL443" s="112"/>
      <c r="BM443" s="112"/>
      <c r="BN443" s="112"/>
    </row>
    <row r="444" spans="17:66" x14ac:dyDescent="0.25">
      <c r="Q444" s="112"/>
      <c r="R444" s="112"/>
      <c r="S444" s="112"/>
      <c r="T444" s="112"/>
      <c r="U444" s="112"/>
      <c r="V444" s="112"/>
      <c r="W444" s="112"/>
      <c r="X444" s="112"/>
      <c r="Y444" s="112"/>
      <c r="Z444" s="112"/>
      <c r="AA444" s="112"/>
      <c r="AB444" s="112"/>
      <c r="AC444" s="112"/>
      <c r="AD444" s="112"/>
      <c r="AE444" s="112"/>
      <c r="AF444" s="112"/>
      <c r="AG444" s="112"/>
      <c r="AH444" s="112"/>
      <c r="AI444" s="112"/>
      <c r="AJ444" s="112"/>
      <c r="AK444" s="112"/>
      <c r="AL444" s="112"/>
      <c r="AP444" s="112"/>
      <c r="AQ444" s="112"/>
      <c r="AR444" s="112"/>
      <c r="AS444" s="112"/>
      <c r="AT444" s="112"/>
      <c r="AU444" s="112"/>
      <c r="AV444" s="112"/>
      <c r="AW444" s="112"/>
      <c r="AX444" s="112"/>
      <c r="AY444" s="112"/>
      <c r="BA444" s="112"/>
      <c r="BB444" s="112"/>
      <c r="BC444" s="112"/>
      <c r="BD444" s="112"/>
      <c r="BE444" s="112"/>
      <c r="BF444" s="112"/>
      <c r="BG444" s="112"/>
      <c r="BH444" s="112"/>
      <c r="BI444" s="112"/>
      <c r="BK444" s="112"/>
      <c r="BL444" s="112"/>
      <c r="BM444" s="112"/>
      <c r="BN444" s="112"/>
    </row>
    <row r="445" spans="17:66" x14ac:dyDescent="0.25">
      <c r="Q445" s="112"/>
      <c r="R445" s="112"/>
      <c r="S445" s="112"/>
      <c r="T445" s="112"/>
      <c r="U445" s="112"/>
      <c r="V445" s="112"/>
      <c r="W445" s="112"/>
      <c r="X445" s="112"/>
      <c r="Y445" s="112"/>
      <c r="Z445" s="112"/>
      <c r="AA445" s="112"/>
      <c r="AB445" s="112"/>
      <c r="AC445" s="112"/>
      <c r="AD445" s="112"/>
      <c r="AE445" s="112"/>
      <c r="AF445" s="112"/>
      <c r="AG445" s="112"/>
      <c r="AH445" s="112"/>
      <c r="AI445" s="112"/>
      <c r="AJ445" s="112"/>
      <c r="AK445" s="112"/>
      <c r="AL445" s="112"/>
      <c r="AP445" s="112"/>
      <c r="AQ445" s="112"/>
      <c r="AR445" s="112"/>
      <c r="AS445" s="112"/>
      <c r="AT445" s="112"/>
      <c r="AU445" s="112"/>
      <c r="AV445" s="112"/>
      <c r="AW445" s="112"/>
      <c r="AX445" s="112"/>
      <c r="AY445" s="112"/>
      <c r="BA445" s="112"/>
      <c r="BB445" s="112"/>
      <c r="BC445" s="112"/>
      <c r="BD445" s="112"/>
      <c r="BE445" s="112"/>
      <c r="BF445" s="112"/>
      <c r="BG445" s="112"/>
      <c r="BH445" s="112"/>
      <c r="BI445" s="112"/>
      <c r="BK445" s="112"/>
      <c r="BL445" s="112"/>
      <c r="BM445" s="112"/>
      <c r="BN445" s="112"/>
    </row>
    <row r="446" spans="17:66" x14ac:dyDescent="0.25">
      <c r="Q446" s="112"/>
      <c r="R446" s="112"/>
      <c r="S446" s="112"/>
      <c r="T446" s="112"/>
      <c r="U446" s="112"/>
      <c r="V446" s="112"/>
      <c r="W446" s="112"/>
      <c r="X446" s="112"/>
      <c r="Y446" s="112"/>
      <c r="Z446" s="112"/>
      <c r="AA446" s="112"/>
      <c r="AB446" s="112"/>
      <c r="AC446" s="112"/>
      <c r="AD446" s="112"/>
      <c r="AE446" s="112"/>
      <c r="AF446" s="112"/>
      <c r="AG446" s="112"/>
      <c r="AH446" s="112"/>
      <c r="AI446" s="112"/>
      <c r="AJ446" s="112"/>
      <c r="AK446" s="112"/>
      <c r="AL446" s="112"/>
      <c r="AP446" s="112"/>
      <c r="AQ446" s="112"/>
      <c r="AR446" s="112"/>
      <c r="AS446" s="112"/>
      <c r="AT446" s="112"/>
      <c r="AU446" s="112"/>
      <c r="AV446" s="112"/>
      <c r="AW446" s="112"/>
      <c r="AX446" s="112"/>
      <c r="AY446" s="112"/>
      <c r="BA446" s="112"/>
      <c r="BB446" s="112"/>
      <c r="BC446" s="112"/>
      <c r="BD446" s="112"/>
      <c r="BE446" s="112"/>
      <c r="BF446" s="112"/>
      <c r="BG446" s="112"/>
      <c r="BH446" s="112"/>
      <c r="BI446" s="112"/>
      <c r="BK446" s="112"/>
      <c r="BL446" s="112"/>
      <c r="BM446" s="112"/>
      <c r="BN446" s="112"/>
    </row>
    <row r="447" spans="17:66" x14ac:dyDescent="0.25">
      <c r="Q447" s="112"/>
      <c r="R447" s="112"/>
      <c r="S447" s="112"/>
      <c r="T447" s="112"/>
      <c r="U447" s="112"/>
      <c r="V447" s="112"/>
      <c r="W447" s="112"/>
      <c r="X447" s="112"/>
      <c r="Y447" s="112"/>
      <c r="Z447" s="112"/>
      <c r="AA447" s="112"/>
      <c r="AB447" s="112"/>
      <c r="AC447" s="112"/>
      <c r="AD447" s="112"/>
      <c r="AE447" s="112"/>
      <c r="AF447" s="112"/>
      <c r="AG447" s="112"/>
      <c r="AH447" s="112"/>
      <c r="AI447" s="112"/>
      <c r="AJ447" s="112"/>
      <c r="AK447" s="112"/>
      <c r="AL447" s="112"/>
      <c r="AP447" s="112"/>
      <c r="AQ447" s="112"/>
      <c r="AR447" s="112"/>
      <c r="AS447" s="112"/>
      <c r="AT447" s="112"/>
      <c r="AU447" s="112"/>
      <c r="AV447" s="112"/>
      <c r="AW447" s="112"/>
      <c r="AX447" s="112"/>
      <c r="AY447" s="112"/>
      <c r="BA447" s="112"/>
      <c r="BB447" s="112"/>
      <c r="BC447" s="112"/>
      <c r="BD447" s="112"/>
      <c r="BE447" s="112"/>
      <c r="BF447" s="112"/>
      <c r="BG447" s="112"/>
      <c r="BH447" s="112"/>
      <c r="BI447" s="112"/>
      <c r="BK447" s="112"/>
      <c r="BL447" s="112"/>
      <c r="BM447" s="112"/>
      <c r="BN447" s="112"/>
    </row>
    <row r="448" spans="17:66" x14ac:dyDescent="0.25">
      <c r="Q448" s="112"/>
      <c r="R448" s="112"/>
      <c r="S448" s="112"/>
      <c r="T448" s="112"/>
      <c r="U448" s="112"/>
      <c r="V448" s="112"/>
      <c r="W448" s="112"/>
      <c r="X448" s="112"/>
      <c r="Y448" s="112"/>
      <c r="Z448" s="112"/>
      <c r="AA448" s="112"/>
      <c r="AB448" s="112"/>
      <c r="AC448" s="112"/>
      <c r="AD448" s="112"/>
      <c r="AE448" s="112"/>
      <c r="AF448" s="112"/>
      <c r="AG448" s="112"/>
      <c r="AH448" s="112"/>
      <c r="AI448" s="112"/>
      <c r="AJ448" s="112"/>
      <c r="AK448" s="112"/>
      <c r="AL448" s="112"/>
      <c r="AP448" s="112"/>
      <c r="AQ448" s="112"/>
      <c r="AR448" s="112"/>
      <c r="AS448" s="112"/>
      <c r="AT448" s="112"/>
      <c r="AU448" s="112"/>
      <c r="AV448" s="112"/>
      <c r="AW448" s="112"/>
      <c r="AX448" s="112"/>
      <c r="AY448" s="112"/>
      <c r="BA448" s="112"/>
      <c r="BB448" s="112"/>
      <c r="BC448" s="112"/>
      <c r="BD448" s="112"/>
      <c r="BE448" s="112"/>
      <c r="BF448" s="112"/>
      <c r="BG448" s="112"/>
      <c r="BH448" s="112"/>
      <c r="BI448" s="112"/>
      <c r="BK448" s="112"/>
      <c r="BL448" s="112"/>
      <c r="BM448" s="112"/>
      <c r="BN448" s="112"/>
    </row>
    <row r="449" spans="17:66" x14ac:dyDescent="0.25">
      <c r="Q449" s="112"/>
      <c r="R449" s="112"/>
      <c r="S449" s="112"/>
      <c r="T449" s="112"/>
      <c r="U449" s="112"/>
      <c r="V449" s="112"/>
      <c r="W449" s="112"/>
      <c r="X449" s="112"/>
      <c r="Y449" s="112"/>
      <c r="Z449" s="112"/>
      <c r="AA449" s="112"/>
      <c r="AB449" s="112"/>
      <c r="AC449" s="112"/>
      <c r="AD449" s="112"/>
      <c r="AE449" s="112"/>
      <c r="AF449" s="112"/>
      <c r="AG449" s="112"/>
      <c r="AH449" s="112"/>
      <c r="AI449" s="112"/>
      <c r="AJ449" s="112"/>
      <c r="AK449" s="112"/>
      <c r="AL449" s="112"/>
      <c r="AP449" s="112"/>
      <c r="AQ449" s="112"/>
      <c r="AR449" s="112"/>
      <c r="AS449" s="112"/>
      <c r="AT449" s="112"/>
      <c r="AU449" s="112"/>
      <c r="AV449" s="112"/>
      <c r="AW449" s="112"/>
      <c r="AX449" s="112"/>
      <c r="AY449" s="112"/>
      <c r="BA449" s="112"/>
      <c r="BB449" s="112"/>
      <c r="BC449" s="112"/>
      <c r="BD449" s="112"/>
      <c r="BE449" s="112"/>
      <c r="BF449" s="112"/>
      <c r="BG449" s="112"/>
      <c r="BH449" s="112"/>
      <c r="BI449" s="112"/>
      <c r="BK449" s="112"/>
      <c r="BL449" s="112"/>
      <c r="BM449" s="112"/>
      <c r="BN449" s="112"/>
    </row>
    <row r="450" spans="17:66" x14ac:dyDescent="0.25">
      <c r="Q450" s="112"/>
      <c r="R450" s="112"/>
      <c r="S450" s="112"/>
      <c r="T450" s="112"/>
      <c r="U450" s="112"/>
      <c r="V450" s="112"/>
      <c r="W450" s="112"/>
      <c r="X450" s="112"/>
      <c r="Y450" s="112"/>
      <c r="Z450" s="112"/>
      <c r="AA450" s="112"/>
      <c r="AB450" s="112"/>
      <c r="AC450" s="112"/>
      <c r="AD450" s="112"/>
      <c r="AE450" s="112"/>
      <c r="AF450" s="112"/>
      <c r="AG450" s="112"/>
      <c r="AH450" s="112"/>
      <c r="AI450" s="112"/>
      <c r="AJ450" s="112"/>
      <c r="AK450" s="112"/>
      <c r="AL450" s="112"/>
      <c r="AP450" s="112"/>
      <c r="AQ450" s="112"/>
      <c r="AR450" s="112"/>
      <c r="AS450" s="112"/>
      <c r="AT450" s="112"/>
      <c r="AU450" s="112"/>
      <c r="AV450" s="112"/>
      <c r="AW450" s="112"/>
      <c r="AX450" s="112"/>
      <c r="AY450" s="112"/>
      <c r="BA450" s="112"/>
      <c r="BB450" s="112"/>
      <c r="BC450" s="112"/>
      <c r="BD450" s="112"/>
      <c r="BE450" s="112"/>
      <c r="BF450" s="112"/>
      <c r="BG450" s="112"/>
      <c r="BH450" s="112"/>
      <c r="BI450" s="112"/>
      <c r="BK450" s="112"/>
      <c r="BL450" s="112"/>
      <c r="BM450" s="112"/>
      <c r="BN450" s="112"/>
    </row>
    <row r="451" spans="17:66" x14ac:dyDescent="0.25">
      <c r="Q451" s="112"/>
      <c r="R451" s="112"/>
      <c r="S451" s="112"/>
      <c r="T451" s="112"/>
      <c r="U451" s="112"/>
      <c r="V451" s="112"/>
      <c r="W451" s="112"/>
      <c r="X451" s="112"/>
      <c r="Y451" s="112"/>
      <c r="Z451" s="112"/>
      <c r="AA451" s="112"/>
      <c r="AB451" s="112"/>
      <c r="AC451" s="112"/>
      <c r="AD451" s="112"/>
      <c r="AE451" s="112"/>
      <c r="AF451" s="112"/>
      <c r="AG451" s="112"/>
      <c r="AH451" s="112"/>
      <c r="AI451" s="112"/>
      <c r="AJ451" s="112"/>
      <c r="AK451" s="112"/>
      <c r="AL451" s="112"/>
      <c r="AP451" s="112"/>
      <c r="AQ451" s="112"/>
      <c r="AR451" s="112"/>
      <c r="AS451" s="112"/>
      <c r="AT451" s="112"/>
      <c r="AU451" s="112"/>
      <c r="AV451" s="112"/>
      <c r="AW451" s="112"/>
      <c r="AX451" s="112"/>
      <c r="AY451" s="112"/>
      <c r="BA451" s="112"/>
      <c r="BB451" s="112"/>
      <c r="BC451" s="112"/>
      <c r="BD451" s="112"/>
      <c r="BE451" s="112"/>
      <c r="BF451" s="112"/>
      <c r="BG451" s="112"/>
      <c r="BH451" s="112"/>
      <c r="BI451" s="112"/>
      <c r="BK451" s="112"/>
      <c r="BL451" s="112"/>
      <c r="BM451" s="112"/>
      <c r="BN451" s="112"/>
    </row>
    <row r="452" spans="17:66" x14ac:dyDescent="0.25">
      <c r="Q452" s="112"/>
      <c r="R452" s="112"/>
      <c r="S452" s="112"/>
      <c r="T452" s="112"/>
      <c r="U452" s="112"/>
      <c r="V452" s="112"/>
      <c r="W452" s="112"/>
      <c r="X452" s="112"/>
      <c r="Y452" s="112"/>
      <c r="Z452" s="112"/>
      <c r="AA452" s="112"/>
      <c r="AB452" s="112"/>
      <c r="AC452" s="112"/>
      <c r="AD452" s="112"/>
      <c r="AE452" s="112"/>
      <c r="AF452" s="112"/>
      <c r="AG452" s="112"/>
      <c r="AH452" s="112"/>
      <c r="AI452" s="112"/>
      <c r="AJ452" s="112"/>
      <c r="AK452" s="112"/>
      <c r="AL452" s="112"/>
      <c r="AP452" s="112"/>
      <c r="AQ452" s="112"/>
      <c r="AR452" s="112"/>
      <c r="AS452" s="112"/>
      <c r="AT452" s="112"/>
      <c r="AU452" s="112"/>
      <c r="AV452" s="112"/>
      <c r="AW452" s="112"/>
      <c r="AX452" s="112"/>
      <c r="AY452" s="112"/>
      <c r="BA452" s="112"/>
      <c r="BB452" s="112"/>
      <c r="BC452" s="112"/>
      <c r="BD452" s="112"/>
      <c r="BE452" s="112"/>
      <c r="BF452" s="112"/>
      <c r="BG452" s="112"/>
      <c r="BH452" s="112"/>
      <c r="BI452" s="112"/>
      <c r="BK452" s="112"/>
      <c r="BL452" s="112"/>
      <c r="BM452" s="112"/>
      <c r="BN452" s="112"/>
    </row>
    <row r="453" spans="17:66" x14ac:dyDescent="0.25">
      <c r="Q453" s="112"/>
      <c r="R453" s="112"/>
      <c r="S453" s="112"/>
      <c r="T453" s="112"/>
      <c r="U453" s="112"/>
      <c r="V453" s="112"/>
      <c r="W453" s="112"/>
      <c r="X453" s="112"/>
      <c r="Y453" s="112"/>
      <c r="Z453" s="112"/>
      <c r="AA453" s="112"/>
      <c r="AB453" s="112"/>
      <c r="AC453" s="112"/>
      <c r="AD453" s="112"/>
      <c r="AE453" s="112"/>
      <c r="AF453" s="112"/>
      <c r="AG453" s="112"/>
      <c r="AH453" s="112"/>
      <c r="AI453" s="112"/>
      <c r="AJ453" s="112"/>
      <c r="AK453" s="112"/>
      <c r="AL453" s="112"/>
      <c r="AP453" s="112"/>
      <c r="AQ453" s="112"/>
      <c r="AR453" s="112"/>
      <c r="AS453" s="112"/>
      <c r="AT453" s="112"/>
      <c r="AU453" s="112"/>
      <c r="AV453" s="112"/>
      <c r="AW453" s="112"/>
      <c r="AX453" s="112"/>
      <c r="AY453" s="112"/>
      <c r="BA453" s="112"/>
      <c r="BB453" s="112"/>
      <c r="BC453" s="112"/>
      <c r="BD453" s="112"/>
      <c r="BE453" s="112"/>
      <c r="BF453" s="112"/>
      <c r="BG453" s="112"/>
      <c r="BH453" s="112"/>
      <c r="BI453" s="112"/>
      <c r="BK453" s="112"/>
      <c r="BL453" s="112"/>
      <c r="BM453" s="112"/>
      <c r="BN453" s="112"/>
    </row>
    <row r="454" spans="17:66" x14ac:dyDescent="0.25">
      <c r="Q454" s="112"/>
      <c r="R454" s="112"/>
      <c r="S454" s="112"/>
      <c r="T454" s="112"/>
      <c r="U454" s="112"/>
      <c r="V454" s="112"/>
      <c r="W454" s="112"/>
      <c r="X454" s="112"/>
      <c r="Y454" s="112"/>
      <c r="Z454" s="112"/>
      <c r="AA454" s="112"/>
      <c r="AB454" s="112"/>
      <c r="AC454" s="112"/>
      <c r="AD454" s="112"/>
      <c r="AE454" s="112"/>
      <c r="AF454" s="112"/>
      <c r="AG454" s="112"/>
      <c r="AH454" s="112"/>
      <c r="AI454" s="112"/>
      <c r="AJ454" s="112"/>
      <c r="AK454" s="112"/>
      <c r="AL454" s="112"/>
      <c r="AP454" s="112"/>
      <c r="AQ454" s="112"/>
      <c r="AR454" s="112"/>
      <c r="AS454" s="112"/>
      <c r="AT454" s="112"/>
      <c r="AU454" s="112"/>
      <c r="AV454" s="112"/>
      <c r="AW454" s="112"/>
      <c r="AX454" s="112"/>
      <c r="AY454" s="112"/>
      <c r="BA454" s="112"/>
      <c r="BB454" s="112"/>
      <c r="BC454" s="112"/>
      <c r="BD454" s="112"/>
      <c r="BE454" s="112"/>
      <c r="BF454" s="112"/>
      <c r="BG454" s="112"/>
      <c r="BH454" s="112"/>
      <c r="BI454" s="112"/>
      <c r="BK454" s="112"/>
      <c r="BL454" s="112"/>
      <c r="BM454" s="112"/>
      <c r="BN454" s="112"/>
    </row>
    <row r="455" spans="17:66" x14ac:dyDescent="0.25">
      <c r="Q455" s="112"/>
      <c r="R455" s="112"/>
      <c r="S455" s="112"/>
      <c r="T455" s="112"/>
      <c r="U455" s="112"/>
      <c r="V455" s="112"/>
      <c r="W455" s="112"/>
      <c r="X455" s="112"/>
      <c r="Y455" s="112"/>
      <c r="Z455" s="112"/>
      <c r="AA455" s="112"/>
      <c r="AB455" s="112"/>
      <c r="AC455" s="112"/>
      <c r="AD455" s="112"/>
      <c r="AE455" s="112"/>
      <c r="AF455" s="112"/>
      <c r="AG455" s="112"/>
      <c r="AH455" s="112"/>
      <c r="AI455" s="112"/>
      <c r="AJ455" s="112"/>
      <c r="AK455" s="112"/>
      <c r="AL455" s="112"/>
      <c r="AP455" s="112"/>
      <c r="AQ455" s="112"/>
      <c r="AR455" s="112"/>
      <c r="AS455" s="112"/>
      <c r="AT455" s="112"/>
      <c r="AU455" s="112"/>
      <c r="AV455" s="112"/>
      <c r="AW455" s="112"/>
      <c r="AX455" s="112"/>
      <c r="AY455" s="112"/>
      <c r="BA455" s="112"/>
      <c r="BB455" s="112"/>
      <c r="BC455" s="112"/>
      <c r="BD455" s="112"/>
      <c r="BE455" s="112"/>
      <c r="BF455" s="112"/>
      <c r="BG455" s="112"/>
      <c r="BH455" s="112"/>
      <c r="BI455" s="112"/>
      <c r="BK455" s="112"/>
      <c r="BL455" s="112"/>
      <c r="BM455" s="112"/>
      <c r="BN455" s="112"/>
    </row>
    <row r="456" spans="17:66" x14ac:dyDescent="0.25">
      <c r="Q456" s="112"/>
      <c r="R456" s="112"/>
      <c r="S456" s="112"/>
      <c r="T456" s="112"/>
      <c r="U456" s="112"/>
      <c r="V456" s="112"/>
      <c r="W456" s="112"/>
      <c r="X456" s="112"/>
      <c r="Y456" s="112"/>
      <c r="Z456" s="112"/>
      <c r="AA456" s="112"/>
      <c r="AB456" s="112"/>
      <c r="AC456" s="112"/>
      <c r="AD456" s="112"/>
      <c r="AE456" s="112"/>
      <c r="AF456" s="112"/>
      <c r="AG456" s="112"/>
      <c r="AH456" s="112"/>
      <c r="AI456" s="112"/>
      <c r="AJ456" s="112"/>
      <c r="AK456" s="112"/>
      <c r="AL456" s="112"/>
      <c r="AP456" s="112"/>
      <c r="AQ456" s="112"/>
      <c r="AR456" s="112"/>
      <c r="AS456" s="112"/>
      <c r="AT456" s="112"/>
      <c r="AU456" s="112"/>
      <c r="AV456" s="112"/>
      <c r="AW456" s="112"/>
      <c r="AX456" s="112"/>
      <c r="AY456" s="112"/>
      <c r="BA456" s="112"/>
      <c r="BB456" s="112"/>
      <c r="BC456" s="112"/>
      <c r="BD456" s="112"/>
      <c r="BE456" s="112"/>
      <c r="BF456" s="112"/>
      <c r="BG456" s="112"/>
      <c r="BH456" s="112"/>
      <c r="BI456" s="112"/>
      <c r="BK456" s="112"/>
      <c r="BL456" s="112"/>
      <c r="BM456" s="112"/>
      <c r="BN456" s="112"/>
    </row>
    <row r="457" spans="17:66" x14ac:dyDescent="0.25">
      <c r="Q457" s="112"/>
      <c r="R457" s="112"/>
      <c r="S457" s="112"/>
      <c r="T457" s="112"/>
      <c r="U457" s="112"/>
      <c r="V457" s="112"/>
      <c r="W457" s="112"/>
      <c r="X457" s="112"/>
      <c r="Y457" s="112"/>
      <c r="Z457" s="112"/>
      <c r="AA457" s="112"/>
      <c r="AB457" s="112"/>
      <c r="AC457" s="112"/>
      <c r="AD457" s="112"/>
      <c r="AE457" s="112"/>
      <c r="AF457" s="112"/>
      <c r="AG457" s="112"/>
      <c r="AH457" s="112"/>
      <c r="AI457" s="112"/>
      <c r="AJ457" s="112"/>
      <c r="AK457" s="112"/>
      <c r="AL457" s="112"/>
      <c r="AP457" s="112"/>
      <c r="AQ457" s="112"/>
      <c r="AR457" s="112"/>
      <c r="AS457" s="112"/>
      <c r="AT457" s="112"/>
      <c r="AU457" s="112"/>
      <c r="AV457" s="112"/>
      <c r="AW457" s="112"/>
      <c r="AX457" s="112"/>
      <c r="AY457" s="112"/>
      <c r="BA457" s="112"/>
      <c r="BB457" s="112"/>
      <c r="BC457" s="112"/>
      <c r="BD457" s="112"/>
      <c r="BE457" s="112"/>
      <c r="BF457" s="112"/>
      <c r="BG457" s="112"/>
      <c r="BH457" s="112"/>
      <c r="BI457" s="112"/>
      <c r="BK457" s="112"/>
      <c r="BL457" s="112"/>
      <c r="BM457" s="112"/>
      <c r="BN457" s="112"/>
    </row>
    <row r="458" spans="17:66" x14ac:dyDescent="0.25">
      <c r="Q458" s="112"/>
      <c r="R458" s="112"/>
      <c r="S458" s="112"/>
      <c r="T458" s="112"/>
      <c r="U458" s="112"/>
      <c r="V458" s="112"/>
      <c r="W458" s="112"/>
      <c r="X458" s="112"/>
      <c r="Y458" s="112"/>
      <c r="Z458" s="112"/>
      <c r="AA458" s="112"/>
      <c r="AB458" s="112"/>
      <c r="AC458" s="112"/>
      <c r="AD458" s="112"/>
      <c r="AE458" s="112"/>
      <c r="AF458" s="112"/>
      <c r="AG458" s="112"/>
      <c r="AH458" s="112"/>
      <c r="AI458" s="112"/>
      <c r="AJ458" s="112"/>
      <c r="AK458" s="112"/>
      <c r="AL458" s="112"/>
      <c r="AP458" s="112"/>
      <c r="AQ458" s="112"/>
      <c r="AR458" s="112"/>
      <c r="AS458" s="112"/>
      <c r="AT458" s="112"/>
      <c r="AU458" s="112"/>
      <c r="AV458" s="112"/>
      <c r="AW458" s="112"/>
      <c r="AX458" s="112"/>
      <c r="AY458" s="112"/>
      <c r="BA458" s="112"/>
      <c r="BB458" s="112"/>
      <c r="BC458" s="112"/>
      <c r="BD458" s="112"/>
      <c r="BE458" s="112"/>
      <c r="BF458" s="112"/>
      <c r="BG458" s="112"/>
      <c r="BH458" s="112"/>
      <c r="BI458" s="112"/>
      <c r="BK458" s="112"/>
      <c r="BL458" s="112"/>
      <c r="BM458" s="112"/>
      <c r="BN458" s="112"/>
    </row>
    <row r="459" spans="17:66" x14ac:dyDescent="0.25">
      <c r="Q459" s="112"/>
      <c r="R459" s="112"/>
      <c r="S459" s="112"/>
      <c r="T459" s="112"/>
      <c r="U459" s="112"/>
      <c r="V459" s="112"/>
      <c r="W459" s="112"/>
      <c r="X459" s="112"/>
      <c r="Y459" s="112"/>
      <c r="Z459" s="112"/>
      <c r="AA459" s="112"/>
      <c r="AB459" s="112"/>
      <c r="AC459" s="112"/>
      <c r="AD459" s="112"/>
      <c r="AE459" s="112"/>
      <c r="AF459" s="112"/>
      <c r="AG459" s="112"/>
      <c r="AH459" s="112"/>
      <c r="AI459" s="112"/>
      <c r="AJ459" s="112"/>
      <c r="AK459" s="112"/>
      <c r="AL459" s="112"/>
      <c r="AP459" s="112"/>
      <c r="AQ459" s="112"/>
      <c r="AR459" s="112"/>
      <c r="AS459" s="112"/>
      <c r="AT459" s="112"/>
      <c r="AU459" s="112"/>
      <c r="AV459" s="112"/>
      <c r="AW459" s="112"/>
      <c r="AX459" s="112"/>
      <c r="AY459" s="112"/>
      <c r="BA459" s="112"/>
      <c r="BB459" s="112"/>
      <c r="BC459" s="112"/>
      <c r="BD459" s="112"/>
      <c r="BE459" s="112"/>
      <c r="BF459" s="112"/>
      <c r="BG459" s="112"/>
      <c r="BH459" s="112"/>
      <c r="BI459" s="112"/>
      <c r="BK459" s="112"/>
      <c r="BL459" s="112"/>
      <c r="BM459" s="112"/>
      <c r="BN459" s="112"/>
    </row>
    <row r="460" spans="17:66" x14ac:dyDescent="0.25">
      <c r="Q460" s="112"/>
      <c r="R460" s="112"/>
      <c r="S460" s="112"/>
      <c r="T460" s="112"/>
      <c r="U460" s="112"/>
      <c r="V460" s="112"/>
      <c r="W460" s="112"/>
      <c r="X460" s="112"/>
      <c r="Y460" s="112"/>
      <c r="Z460" s="112"/>
      <c r="AA460" s="112"/>
      <c r="AB460" s="112"/>
      <c r="AC460" s="112"/>
      <c r="AD460" s="112"/>
      <c r="AE460" s="112"/>
      <c r="AF460" s="112"/>
      <c r="AG460" s="112"/>
      <c r="AH460" s="112"/>
      <c r="AI460" s="112"/>
      <c r="AJ460" s="112"/>
      <c r="AK460" s="112"/>
      <c r="AL460" s="112"/>
      <c r="AP460" s="112"/>
      <c r="AQ460" s="112"/>
      <c r="AR460" s="112"/>
      <c r="AS460" s="112"/>
      <c r="AT460" s="112"/>
      <c r="AU460" s="112"/>
      <c r="AV460" s="112"/>
      <c r="AW460" s="112"/>
      <c r="AX460" s="112"/>
      <c r="AY460" s="112"/>
      <c r="BA460" s="112"/>
      <c r="BB460" s="112"/>
      <c r="BC460" s="112"/>
      <c r="BD460" s="112"/>
      <c r="BE460" s="112"/>
      <c r="BF460" s="112"/>
      <c r="BG460" s="112"/>
      <c r="BH460" s="112"/>
      <c r="BI460" s="112"/>
      <c r="BK460" s="112"/>
      <c r="BL460" s="112"/>
      <c r="BM460" s="112"/>
      <c r="BN460" s="112"/>
    </row>
    <row r="461" spans="17:66" x14ac:dyDescent="0.25">
      <c r="Q461" s="112"/>
      <c r="R461" s="112"/>
      <c r="S461" s="112"/>
      <c r="T461" s="112"/>
      <c r="U461" s="112"/>
      <c r="V461" s="112"/>
      <c r="W461" s="112"/>
      <c r="X461" s="112"/>
      <c r="Y461" s="112"/>
      <c r="Z461" s="112"/>
      <c r="AA461" s="112"/>
      <c r="AB461" s="112"/>
      <c r="AC461" s="112"/>
      <c r="AD461" s="112"/>
      <c r="AE461" s="112"/>
      <c r="AF461" s="112"/>
      <c r="AG461" s="112"/>
      <c r="AH461" s="112"/>
      <c r="AI461" s="112"/>
      <c r="AJ461" s="112"/>
      <c r="AK461" s="112"/>
      <c r="AL461" s="112"/>
      <c r="AP461" s="112"/>
      <c r="AQ461" s="112"/>
      <c r="AR461" s="112"/>
      <c r="AS461" s="112"/>
      <c r="AT461" s="112"/>
      <c r="AU461" s="112"/>
      <c r="AV461" s="112"/>
      <c r="AW461" s="112"/>
      <c r="AX461" s="112"/>
      <c r="AY461" s="112"/>
      <c r="BA461" s="112"/>
      <c r="BB461" s="112"/>
      <c r="BC461" s="112"/>
      <c r="BD461" s="112"/>
      <c r="BE461" s="112"/>
      <c r="BF461" s="112"/>
      <c r="BG461" s="112"/>
      <c r="BH461" s="112"/>
      <c r="BI461" s="112"/>
      <c r="BK461" s="112"/>
      <c r="BL461" s="112"/>
      <c r="BM461" s="112"/>
      <c r="BN461" s="112"/>
    </row>
    <row r="462" spans="17:66" x14ac:dyDescent="0.25">
      <c r="Q462" s="112"/>
      <c r="R462" s="112"/>
      <c r="S462" s="112"/>
      <c r="T462" s="112"/>
      <c r="U462" s="112"/>
      <c r="V462" s="112"/>
      <c r="W462" s="112"/>
      <c r="X462" s="112"/>
      <c r="Y462" s="112"/>
      <c r="Z462" s="112"/>
      <c r="AA462" s="112"/>
      <c r="AB462" s="112"/>
      <c r="AC462" s="112"/>
      <c r="AD462" s="112"/>
      <c r="AE462" s="112"/>
      <c r="AF462" s="112"/>
      <c r="AG462" s="112"/>
      <c r="AH462" s="112"/>
      <c r="AI462" s="112"/>
      <c r="AJ462" s="112"/>
      <c r="AK462" s="112"/>
      <c r="AL462" s="112"/>
      <c r="AP462" s="112"/>
      <c r="AQ462" s="112"/>
      <c r="AR462" s="112"/>
      <c r="AS462" s="112"/>
      <c r="AT462" s="112"/>
      <c r="AU462" s="112"/>
      <c r="AV462" s="112"/>
      <c r="AW462" s="112"/>
      <c r="AX462" s="112"/>
      <c r="AY462" s="112"/>
      <c r="BA462" s="112"/>
      <c r="BB462" s="112"/>
      <c r="BC462" s="112"/>
      <c r="BD462" s="112"/>
      <c r="BE462" s="112"/>
      <c r="BF462" s="112"/>
      <c r="BG462" s="112"/>
      <c r="BH462" s="112"/>
      <c r="BI462" s="112"/>
      <c r="BK462" s="112"/>
      <c r="BL462" s="112"/>
      <c r="BM462" s="112"/>
      <c r="BN462" s="112"/>
    </row>
    <row r="463" spans="17:66" x14ac:dyDescent="0.25">
      <c r="Q463" s="112"/>
      <c r="R463" s="112"/>
      <c r="S463" s="112"/>
      <c r="T463" s="112"/>
      <c r="U463" s="112"/>
      <c r="V463" s="112"/>
      <c r="W463" s="112"/>
      <c r="X463" s="112"/>
      <c r="Y463" s="112"/>
      <c r="Z463" s="112"/>
      <c r="AA463" s="112"/>
      <c r="AB463" s="112"/>
      <c r="AC463" s="112"/>
      <c r="AD463" s="112"/>
      <c r="AE463" s="112"/>
      <c r="AF463" s="112"/>
      <c r="AG463" s="112"/>
      <c r="AH463" s="112"/>
      <c r="AI463" s="112"/>
      <c r="AJ463" s="112"/>
      <c r="AK463" s="112"/>
      <c r="AL463" s="112"/>
      <c r="AP463" s="112"/>
      <c r="AQ463" s="112"/>
      <c r="AR463" s="112"/>
      <c r="AS463" s="112"/>
      <c r="AT463" s="112"/>
      <c r="AU463" s="112"/>
      <c r="AV463" s="112"/>
      <c r="AW463" s="112"/>
      <c r="AX463" s="112"/>
      <c r="AY463" s="112"/>
      <c r="BA463" s="112"/>
      <c r="BB463" s="112"/>
      <c r="BC463" s="112"/>
      <c r="BD463" s="112"/>
      <c r="BE463" s="112"/>
      <c r="BF463" s="112"/>
      <c r="BG463" s="112"/>
      <c r="BH463" s="112"/>
      <c r="BI463" s="112"/>
      <c r="BK463" s="112"/>
      <c r="BL463" s="112"/>
      <c r="BM463" s="112"/>
      <c r="BN463" s="112"/>
    </row>
    <row r="464" spans="17:66" x14ac:dyDescent="0.25">
      <c r="Q464" s="112"/>
      <c r="R464" s="112"/>
      <c r="S464" s="112"/>
      <c r="T464" s="112"/>
      <c r="U464" s="112"/>
      <c r="V464" s="112"/>
      <c r="W464" s="112"/>
      <c r="X464" s="112"/>
      <c r="Y464" s="112"/>
      <c r="Z464" s="112"/>
      <c r="AA464" s="112"/>
      <c r="AB464" s="112"/>
      <c r="AC464" s="112"/>
      <c r="AD464" s="112"/>
      <c r="AE464" s="112"/>
      <c r="AF464" s="112"/>
      <c r="AG464" s="112"/>
      <c r="AH464" s="112"/>
      <c r="AI464" s="112"/>
      <c r="AJ464" s="112"/>
      <c r="AK464" s="112"/>
      <c r="AL464" s="112"/>
      <c r="AP464" s="112"/>
      <c r="AQ464" s="112"/>
      <c r="AR464" s="112"/>
      <c r="AS464" s="112"/>
      <c r="AT464" s="112"/>
      <c r="AU464" s="112"/>
      <c r="AV464" s="112"/>
      <c r="AW464" s="112"/>
      <c r="AX464" s="112"/>
      <c r="AY464" s="112"/>
      <c r="BA464" s="112"/>
      <c r="BB464" s="112"/>
      <c r="BC464" s="112"/>
      <c r="BD464" s="112"/>
      <c r="BE464" s="112"/>
      <c r="BF464" s="112"/>
      <c r="BG464" s="112"/>
      <c r="BH464" s="112"/>
      <c r="BI464" s="112"/>
      <c r="BK464" s="112"/>
      <c r="BL464" s="112"/>
      <c r="BM464" s="112"/>
      <c r="BN464" s="112"/>
    </row>
    <row r="465" spans="17:66" x14ac:dyDescent="0.25">
      <c r="Q465" s="112"/>
      <c r="R465" s="112"/>
      <c r="S465" s="112"/>
      <c r="T465" s="112"/>
      <c r="U465" s="112"/>
      <c r="V465" s="112"/>
      <c r="W465" s="112"/>
      <c r="X465" s="112"/>
      <c r="Y465" s="112"/>
      <c r="Z465" s="112"/>
      <c r="AA465" s="112"/>
      <c r="AB465" s="112"/>
      <c r="AC465" s="112"/>
      <c r="AD465" s="112"/>
      <c r="AE465" s="112"/>
      <c r="AF465" s="112"/>
      <c r="AG465" s="112"/>
      <c r="AH465" s="112"/>
      <c r="AI465" s="112"/>
      <c r="AJ465" s="112"/>
      <c r="AK465" s="112"/>
      <c r="AL465" s="112"/>
      <c r="AP465" s="112"/>
      <c r="AQ465" s="112"/>
      <c r="AR465" s="112"/>
      <c r="AS465" s="112"/>
      <c r="AT465" s="112"/>
      <c r="AU465" s="112"/>
      <c r="AV465" s="112"/>
      <c r="AW465" s="112"/>
      <c r="AX465" s="112"/>
      <c r="AY465" s="112"/>
      <c r="BA465" s="112"/>
      <c r="BB465" s="112"/>
      <c r="BC465" s="112"/>
      <c r="BD465" s="112"/>
      <c r="BE465" s="112"/>
      <c r="BF465" s="112"/>
      <c r="BG465" s="112"/>
      <c r="BH465" s="112"/>
      <c r="BI465" s="112"/>
      <c r="BK465" s="112"/>
      <c r="BL465" s="112"/>
      <c r="BM465" s="112"/>
      <c r="BN465" s="112"/>
    </row>
    <row r="466" spans="17:66" x14ac:dyDescent="0.25">
      <c r="Q466" s="112"/>
      <c r="R466" s="112"/>
      <c r="S466" s="112"/>
      <c r="T466" s="112"/>
      <c r="U466" s="112"/>
      <c r="V466" s="112"/>
      <c r="W466" s="112"/>
      <c r="X466" s="112"/>
      <c r="Y466" s="112"/>
      <c r="Z466" s="112"/>
      <c r="AA466" s="112"/>
      <c r="AB466" s="112"/>
      <c r="AC466" s="112"/>
      <c r="AD466" s="112"/>
      <c r="AE466" s="112"/>
      <c r="AF466" s="112"/>
      <c r="AG466" s="112"/>
      <c r="AH466" s="112"/>
      <c r="AI466" s="112"/>
      <c r="AJ466" s="112"/>
      <c r="AK466" s="112"/>
      <c r="AL466" s="112"/>
      <c r="AP466" s="112"/>
      <c r="AQ466" s="112"/>
      <c r="AR466" s="112"/>
      <c r="AS466" s="112"/>
      <c r="AT466" s="112"/>
      <c r="AU466" s="112"/>
      <c r="AV466" s="112"/>
      <c r="AW466" s="112"/>
      <c r="AX466" s="112"/>
      <c r="AY466" s="112"/>
      <c r="BA466" s="112"/>
      <c r="BB466" s="112"/>
      <c r="BC466" s="112"/>
      <c r="BD466" s="112"/>
      <c r="BE466" s="112"/>
      <c r="BF466" s="112"/>
      <c r="BG466" s="112"/>
      <c r="BH466" s="112"/>
      <c r="BI466" s="112"/>
      <c r="BK466" s="112"/>
      <c r="BL466" s="112"/>
      <c r="BM466" s="112"/>
      <c r="BN466" s="112"/>
    </row>
    <row r="467" spans="17:66" x14ac:dyDescent="0.25">
      <c r="Q467" s="112"/>
      <c r="R467" s="112"/>
      <c r="S467" s="112"/>
      <c r="T467" s="112"/>
      <c r="U467" s="112"/>
      <c r="V467" s="112"/>
      <c r="W467" s="112"/>
      <c r="X467" s="112"/>
      <c r="Y467" s="112"/>
      <c r="Z467" s="112"/>
      <c r="AA467" s="112"/>
      <c r="AB467" s="112"/>
      <c r="AC467" s="112"/>
      <c r="AD467" s="112"/>
      <c r="AE467" s="112"/>
      <c r="AF467" s="112"/>
      <c r="AG467" s="112"/>
      <c r="AH467" s="112"/>
      <c r="AI467" s="112"/>
      <c r="AJ467" s="112"/>
      <c r="AK467" s="112"/>
      <c r="AL467" s="112"/>
      <c r="AP467" s="112"/>
      <c r="AQ467" s="112"/>
      <c r="AR467" s="112"/>
      <c r="AS467" s="112"/>
      <c r="AT467" s="112"/>
      <c r="AU467" s="112"/>
      <c r="AV467" s="112"/>
      <c r="AW467" s="112"/>
      <c r="AX467" s="112"/>
      <c r="AY467" s="112"/>
      <c r="BA467" s="112"/>
      <c r="BB467" s="112"/>
      <c r="BC467" s="112"/>
      <c r="BD467" s="112"/>
      <c r="BE467" s="112"/>
      <c r="BF467" s="112"/>
      <c r="BG467" s="112"/>
      <c r="BH467" s="112"/>
      <c r="BI467" s="112"/>
      <c r="BK467" s="112"/>
      <c r="BL467" s="112"/>
      <c r="BM467" s="112"/>
      <c r="BN467" s="112"/>
    </row>
    <row r="468" spans="17:66" x14ac:dyDescent="0.25">
      <c r="Q468" s="112"/>
      <c r="R468" s="112"/>
      <c r="S468" s="112"/>
      <c r="T468" s="112"/>
      <c r="U468" s="112"/>
      <c r="V468" s="112"/>
      <c r="W468" s="112"/>
      <c r="X468" s="112"/>
      <c r="Y468" s="112"/>
      <c r="Z468" s="112"/>
      <c r="AA468" s="112"/>
      <c r="AB468" s="112"/>
      <c r="AC468" s="112"/>
      <c r="AD468" s="112"/>
      <c r="AE468" s="112"/>
      <c r="AF468" s="112"/>
      <c r="AG468" s="112"/>
      <c r="AH468" s="112"/>
      <c r="AI468" s="112"/>
      <c r="AJ468" s="112"/>
      <c r="AK468" s="112"/>
      <c r="AL468" s="112"/>
      <c r="AP468" s="112"/>
      <c r="AQ468" s="112"/>
      <c r="AR468" s="112"/>
      <c r="AS468" s="112"/>
      <c r="AT468" s="112"/>
      <c r="AU468" s="112"/>
      <c r="AV468" s="112"/>
      <c r="AW468" s="112"/>
      <c r="AX468" s="112"/>
      <c r="AY468" s="112"/>
      <c r="BA468" s="112"/>
      <c r="BB468" s="112"/>
      <c r="BC468" s="112"/>
      <c r="BD468" s="112"/>
      <c r="BE468" s="112"/>
      <c r="BF468" s="112"/>
      <c r="BG468" s="112"/>
      <c r="BH468" s="112"/>
      <c r="BI468" s="112"/>
      <c r="BK468" s="112"/>
      <c r="BL468" s="112"/>
      <c r="BM468" s="112"/>
      <c r="BN468" s="112"/>
    </row>
    <row r="469" spans="17:66" x14ac:dyDescent="0.25">
      <c r="Q469" s="112"/>
      <c r="R469" s="112"/>
      <c r="S469" s="112"/>
      <c r="T469" s="112"/>
      <c r="U469" s="112"/>
      <c r="V469" s="112"/>
      <c r="W469" s="112"/>
      <c r="X469" s="112"/>
      <c r="Y469" s="112"/>
      <c r="Z469" s="112"/>
      <c r="AA469" s="112"/>
      <c r="AB469" s="112"/>
      <c r="AC469" s="112"/>
      <c r="AD469" s="112"/>
      <c r="AE469" s="112"/>
      <c r="AF469" s="112"/>
      <c r="AG469" s="112"/>
      <c r="AH469" s="112"/>
      <c r="AI469" s="112"/>
      <c r="AJ469" s="112"/>
      <c r="AK469" s="112"/>
      <c r="AL469" s="112"/>
      <c r="AP469" s="112"/>
      <c r="AQ469" s="112"/>
      <c r="AR469" s="112"/>
      <c r="AS469" s="112"/>
      <c r="AT469" s="112"/>
      <c r="AU469" s="112"/>
      <c r="AV469" s="112"/>
      <c r="AW469" s="112"/>
      <c r="AX469" s="112"/>
      <c r="AY469" s="112"/>
      <c r="BA469" s="112"/>
      <c r="BB469" s="112"/>
      <c r="BC469" s="112"/>
      <c r="BD469" s="112"/>
      <c r="BE469" s="112"/>
      <c r="BF469" s="112"/>
      <c r="BG469" s="112"/>
      <c r="BH469" s="112"/>
      <c r="BI469" s="112"/>
      <c r="BK469" s="112"/>
      <c r="BL469" s="112"/>
      <c r="BM469" s="112"/>
      <c r="BN469" s="112"/>
    </row>
    <row r="470" spans="17:66" x14ac:dyDescent="0.25">
      <c r="Q470" s="112"/>
      <c r="R470" s="112"/>
      <c r="S470" s="112"/>
      <c r="T470" s="112"/>
      <c r="U470" s="112"/>
      <c r="V470" s="112"/>
      <c r="W470" s="112"/>
      <c r="X470" s="112"/>
      <c r="Y470" s="112"/>
      <c r="Z470" s="112"/>
      <c r="AA470" s="112"/>
      <c r="AB470" s="112"/>
      <c r="AC470" s="112"/>
      <c r="AD470" s="112"/>
      <c r="AE470" s="112"/>
      <c r="AF470" s="112"/>
      <c r="AG470" s="112"/>
      <c r="AH470" s="112"/>
      <c r="AI470" s="112"/>
      <c r="AJ470" s="112"/>
      <c r="AK470" s="112"/>
      <c r="AL470" s="112"/>
      <c r="AP470" s="112"/>
      <c r="AQ470" s="112"/>
      <c r="AR470" s="112"/>
      <c r="AS470" s="112"/>
      <c r="AT470" s="112"/>
      <c r="AU470" s="112"/>
      <c r="AV470" s="112"/>
      <c r="AW470" s="112"/>
      <c r="AX470" s="112"/>
      <c r="AY470" s="112"/>
      <c r="BA470" s="112"/>
      <c r="BB470" s="112"/>
      <c r="BC470" s="112"/>
      <c r="BD470" s="112"/>
      <c r="BE470" s="112"/>
      <c r="BF470" s="112"/>
      <c r="BG470" s="112"/>
      <c r="BH470" s="112"/>
      <c r="BI470" s="112"/>
      <c r="BK470" s="112"/>
      <c r="BL470" s="112"/>
      <c r="BM470" s="112"/>
      <c r="BN470" s="112"/>
    </row>
    <row r="471" spans="17:66" x14ac:dyDescent="0.25">
      <c r="Q471" s="112"/>
      <c r="R471" s="112"/>
      <c r="S471" s="112"/>
      <c r="T471" s="112"/>
      <c r="U471" s="112"/>
      <c r="V471" s="112"/>
      <c r="W471" s="112"/>
      <c r="X471" s="112"/>
      <c r="Y471" s="112"/>
      <c r="Z471" s="112"/>
      <c r="AA471" s="112"/>
      <c r="AB471" s="112"/>
      <c r="AC471" s="112"/>
      <c r="AD471" s="112"/>
      <c r="AE471" s="112"/>
      <c r="AF471" s="112"/>
      <c r="AG471" s="112"/>
      <c r="AH471" s="112"/>
      <c r="AI471" s="112"/>
      <c r="AJ471" s="112"/>
      <c r="AK471" s="112"/>
      <c r="AL471" s="112"/>
      <c r="AP471" s="112"/>
      <c r="AQ471" s="112"/>
      <c r="AR471" s="112"/>
      <c r="AS471" s="112"/>
      <c r="AT471" s="112"/>
      <c r="AU471" s="112"/>
      <c r="AV471" s="112"/>
      <c r="AW471" s="112"/>
      <c r="AX471" s="112"/>
      <c r="AY471" s="112"/>
      <c r="BA471" s="112"/>
      <c r="BB471" s="112"/>
      <c r="BC471" s="112"/>
      <c r="BD471" s="112"/>
      <c r="BE471" s="112"/>
      <c r="BF471" s="112"/>
      <c r="BG471" s="112"/>
      <c r="BH471" s="112"/>
      <c r="BI471" s="112"/>
      <c r="BK471" s="112"/>
      <c r="BL471" s="112"/>
      <c r="BM471" s="112"/>
      <c r="BN471" s="112"/>
    </row>
    <row r="472" spans="17:66" x14ac:dyDescent="0.25">
      <c r="Q472" s="112"/>
      <c r="R472" s="112"/>
      <c r="S472" s="112"/>
      <c r="T472" s="112"/>
      <c r="U472" s="112"/>
      <c r="V472" s="112"/>
      <c r="W472" s="112"/>
      <c r="X472" s="112"/>
      <c r="Y472" s="112"/>
      <c r="Z472" s="112"/>
      <c r="AA472" s="112"/>
      <c r="AB472" s="112"/>
      <c r="AC472" s="112"/>
      <c r="AD472" s="112"/>
      <c r="AE472" s="112"/>
      <c r="AF472" s="112"/>
      <c r="AG472" s="112"/>
      <c r="AH472" s="112"/>
      <c r="AI472" s="112"/>
      <c r="AJ472" s="112"/>
      <c r="AK472" s="112"/>
      <c r="AL472" s="112"/>
      <c r="AP472" s="112"/>
      <c r="AQ472" s="112"/>
      <c r="AR472" s="112"/>
      <c r="AS472" s="112"/>
      <c r="AT472" s="112"/>
      <c r="AU472" s="112"/>
      <c r="AV472" s="112"/>
      <c r="AW472" s="112"/>
      <c r="AX472" s="112"/>
      <c r="AY472" s="112"/>
      <c r="BA472" s="112"/>
      <c r="BB472" s="112"/>
      <c r="BC472" s="112"/>
      <c r="BD472" s="112"/>
      <c r="BE472" s="112"/>
      <c r="BF472" s="112"/>
      <c r="BG472" s="112"/>
      <c r="BH472" s="112"/>
      <c r="BI472" s="112"/>
      <c r="BK472" s="112"/>
      <c r="BL472" s="112"/>
      <c r="BM472" s="112"/>
      <c r="BN472" s="112"/>
    </row>
    <row r="473" spans="17:66" x14ac:dyDescent="0.25">
      <c r="Q473" s="112"/>
      <c r="R473" s="112"/>
      <c r="S473" s="112"/>
      <c r="T473" s="112"/>
      <c r="U473" s="112"/>
      <c r="V473" s="112"/>
      <c r="W473" s="112"/>
      <c r="X473" s="112"/>
      <c r="Y473" s="112"/>
      <c r="Z473" s="112"/>
      <c r="AA473" s="112"/>
      <c r="AB473" s="112"/>
      <c r="AC473" s="112"/>
      <c r="AD473" s="112"/>
      <c r="AE473" s="112"/>
      <c r="AF473" s="112"/>
      <c r="AG473" s="112"/>
      <c r="AH473" s="112"/>
      <c r="AI473" s="112"/>
      <c r="AJ473" s="112"/>
      <c r="AK473" s="112"/>
      <c r="AL473" s="112"/>
      <c r="AP473" s="112"/>
      <c r="AQ473" s="112"/>
      <c r="AR473" s="112"/>
      <c r="AS473" s="112"/>
      <c r="AT473" s="112"/>
      <c r="AU473" s="112"/>
      <c r="AV473" s="112"/>
      <c r="AW473" s="112"/>
      <c r="AX473" s="112"/>
      <c r="AY473" s="112"/>
      <c r="BA473" s="112"/>
      <c r="BB473" s="112"/>
      <c r="BC473" s="112"/>
      <c r="BD473" s="112"/>
      <c r="BE473" s="112"/>
      <c r="BF473" s="112"/>
      <c r="BG473" s="112"/>
      <c r="BH473" s="112"/>
      <c r="BI473" s="112"/>
      <c r="BK473" s="112"/>
      <c r="BL473" s="112"/>
      <c r="BM473" s="112"/>
      <c r="BN473" s="112"/>
    </row>
    <row r="474" spans="17:66" x14ac:dyDescent="0.25">
      <c r="Q474" s="112"/>
      <c r="R474" s="112"/>
      <c r="S474" s="112"/>
      <c r="T474" s="112"/>
      <c r="U474" s="112"/>
      <c r="V474" s="112"/>
      <c r="W474" s="112"/>
      <c r="X474" s="112"/>
      <c r="Y474" s="112"/>
      <c r="Z474" s="112"/>
      <c r="AA474" s="112"/>
      <c r="AB474" s="112"/>
      <c r="AC474" s="112"/>
      <c r="AD474" s="112"/>
      <c r="AE474" s="112"/>
      <c r="AF474" s="112"/>
      <c r="AG474" s="112"/>
      <c r="AH474" s="112"/>
      <c r="AI474" s="112"/>
      <c r="AJ474" s="112"/>
      <c r="AK474" s="112"/>
      <c r="AL474" s="112"/>
      <c r="AP474" s="112"/>
      <c r="AQ474" s="112"/>
      <c r="AR474" s="112"/>
      <c r="AS474" s="112"/>
      <c r="AT474" s="112"/>
      <c r="AU474" s="112"/>
      <c r="AV474" s="112"/>
      <c r="AW474" s="112"/>
      <c r="AX474" s="112"/>
      <c r="AY474" s="112"/>
      <c r="BA474" s="112"/>
      <c r="BB474" s="112"/>
      <c r="BC474" s="112"/>
      <c r="BD474" s="112"/>
      <c r="BE474" s="112"/>
      <c r="BF474" s="112"/>
      <c r="BG474" s="112"/>
      <c r="BH474" s="112"/>
      <c r="BI474" s="112"/>
      <c r="BK474" s="112"/>
      <c r="BL474" s="112"/>
      <c r="BM474" s="112"/>
      <c r="BN474" s="112"/>
    </row>
    <row r="475" spans="17:66" x14ac:dyDescent="0.25">
      <c r="Q475" s="112"/>
      <c r="R475" s="112"/>
      <c r="S475" s="112"/>
      <c r="T475" s="112"/>
      <c r="U475" s="112"/>
      <c r="V475" s="112"/>
      <c r="W475" s="112"/>
      <c r="X475" s="112"/>
      <c r="Y475" s="112"/>
      <c r="Z475" s="112"/>
      <c r="AA475" s="112"/>
      <c r="AB475" s="112"/>
      <c r="AC475" s="112"/>
      <c r="AD475" s="112"/>
      <c r="AE475" s="112"/>
      <c r="AF475" s="112"/>
      <c r="AG475" s="112"/>
      <c r="AH475" s="112"/>
      <c r="AI475" s="112"/>
      <c r="AJ475" s="112"/>
      <c r="AK475" s="112"/>
      <c r="AL475" s="112"/>
      <c r="AP475" s="112"/>
      <c r="AQ475" s="112"/>
      <c r="AR475" s="112"/>
      <c r="AS475" s="112"/>
      <c r="AT475" s="112"/>
      <c r="AU475" s="112"/>
      <c r="AV475" s="112"/>
      <c r="AW475" s="112"/>
      <c r="AX475" s="112"/>
      <c r="AY475" s="112"/>
      <c r="BA475" s="112"/>
      <c r="BB475" s="112"/>
      <c r="BC475" s="112"/>
      <c r="BD475" s="112"/>
      <c r="BE475" s="112"/>
      <c r="BF475" s="112"/>
      <c r="BG475" s="112"/>
      <c r="BH475" s="112"/>
      <c r="BI475" s="112"/>
      <c r="BK475" s="112"/>
      <c r="BL475" s="112"/>
      <c r="BM475" s="112"/>
      <c r="BN475" s="112"/>
    </row>
    <row r="476" spans="17:66" x14ac:dyDescent="0.25">
      <c r="Q476" s="112"/>
      <c r="R476" s="112"/>
      <c r="S476" s="112"/>
      <c r="T476" s="112"/>
      <c r="U476" s="112"/>
      <c r="V476" s="112"/>
      <c r="W476" s="112"/>
      <c r="X476" s="112"/>
      <c r="Y476" s="112"/>
      <c r="Z476" s="112"/>
      <c r="AA476" s="112"/>
      <c r="AB476" s="112"/>
      <c r="AC476" s="112"/>
      <c r="AD476" s="112"/>
      <c r="AE476" s="112"/>
      <c r="AF476" s="112"/>
      <c r="AG476" s="112"/>
      <c r="AH476" s="112"/>
      <c r="AI476" s="112"/>
      <c r="AJ476" s="112"/>
      <c r="AK476" s="112"/>
      <c r="AL476" s="112"/>
      <c r="AP476" s="112"/>
      <c r="AQ476" s="112"/>
      <c r="AR476" s="112"/>
      <c r="AS476" s="112"/>
      <c r="AT476" s="112"/>
      <c r="AU476" s="112"/>
      <c r="AV476" s="112"/>
      <c r="AW476" s="112"/>
      <c r="AX476" s="112"/>
      <c r="AY476" s="112"/>
      <c r="BA476" s="112"/>
      <c r="BB476" s="112"/>
      <c r="BC476" s="112"/>
      <c r="BD476" s="112"/>
      <c r="BE476" s="112"/>
      <c r="BF476" s="112"/>
      <c r="BG476" s="112"/>
      <c r="BH476" s="112"/>
      <c r="BI476" s="112"/>
      <c r="BK476" s="112"/>
      <c r="BL476" s="112"/>
      <c r="BM476" s="112"/>
      <c r="BN476" s="112"/>
    </row>
    <row r="477" spans="17:66" x14ac:dyDescent="0.25">
      <c r="Q477" s="112"/>
      <c r="R477" s="112"/>
      <c r="S477" s="112"/>
      <c r="T477" s="112"/>
      <c r="U477" s="112"/>
      <c r="V477" s="112"/>
      <c r="W477" s="112"/>
      <c r="X477" s="112"/>
      <c r="Y477" s="112"/>
      <c r="Z477" s="112"/>
      <c r="AA477" s="112"/>
      <c r="AB477" s="112"/>
      <c r="AC477" s="112"/>
      <c r="AD477" s="112"/>
      <c r="AE477" s="112"/>
      <c r="AF477" s="112"/>
      <c r="AG477" s="112"/>
      <c r="AH477" s="112"/>
      <c r="AI477" s="112"/>
      <c r="AJ477" s="112"/>
      <c r="AK477" s="112"/>
      <c r="AL477" s="112"/>
      <c r="AP477" s="112"/>
      <c r="AQ477" s="112"/>
      <c r="AR477" s="112"/>
      <c r="AS477" s="112"/>
      <c r="AT477" s="112"/>
      <c r="AU477" s="112"/>
      <c r="AV477" s="112"/>
      <c r="AW477" s="112"/>
      <c r="AX477" s="112"/>
      <c r="AY477" s="112"/>
      <c r="BA477" s="112"/>
      <c r="BB477" s="112"/>
      <c r="BC477" s="112"/>
      <c r="BD477" s="112"/>
      <c r="BE477" s="112"/>
      <c r="BF477" s="112"/>
      <c r="BG477" s="112"/>
      <c r="BH477" s="112"/>
      <c r="BI477" s="112"/>
      <c r="BK477" s="112"/>
      <c r="BL477" s="112"/>
      <c r="BM477" s="112"/>
      <c r="BN477" s="112"/>
    </row>
    <row r="478" spans="17:66" x14ac:dyDescent="0.25">
      <c r="Q478" s="112"/>
      <c r="R478" s="112"/>
      <c r="S478" s="112"/>
      <c r="T478" s="112"/>
      <c r="U478" s="112"/>
      <c r="V478" s="112"/>
      <c r="W478" s="112"/>
      <c r="X478" s="112"/>
      <c r="Y478" s="112"/>
      <c r="Z478" s="112"/>
      <c r="AA478" s="112"/>
      <c r="AB478" s="112"/>
      <c r="AC478" s="112"/>
      <c r="AD478" s="112"/>
      <c r="AE478" s="112"/>
      <c r="AF478" s="112"/>
      <c r="AG478" s="112"/>
      <c r="AH478" s="112"/>
      <c r="AI478" s="112"/>
      <c r="AJ478" s="112"/>
      <c r="AK478" s="112"/>
      <c r="AL478" s="112"/>
      <c r="AP478" s="112"/>
      <c r="AQ478" s="112"/>
      <c r="AR478" s="112"/>
      <c r="AS478" s="112"/>
      <c r="AT478" s="112"/>
      <c r="AU478" s="112"/>
      <c r="AV478" s="112"/>
      <c r="AW478" s="112"/>
      <c r="AX478" s="112"/>
      <c r="AY478" s="112"/>
      <c r="BA478" s="112"/>
      <c r="BB478" s="112"/>
      <c r="BC478" s="112"/>
      <c r="BD478" s="112"/>
      <c r="BE478" s="112"/>
      <c r="BF478" s="112"/>
      <c r="BG478" s="112"/>
      <c r="BH478" s="112"/>
      <c r="BI478" s="112"/>
      <c r="BK478" s="112"/>
      <c r="BL478" s="112"/>
      <c r="BM478" s="112"/>
      <c r="BN478" s="112"/>
    </row>
    <row r="479" spans="17:66" x14ac:dyDescent="0.25">
      <c r="Q479" s="112"/>
      <c r="R479" s="112"/>
      <c r="S479" s="112"/>
      <c r="T479" s="112"/>
      <c r="U479" s="112"/>
      <c r="V479" s="112"/>
      <c r="W479" s="112"/>
      <c r="X479" s="112"/>
      <c r="Y479" s="112"/>
      <c r="Z479" s="112"/>
      <c r="AA479" s="112"/>
      <c r="AB479" s="112"/>
      <c r="AC479" s="112"/>
      <c r="AD479" s="112"/>
      <c r="AE479" s="112"/>
      <c r="AF479" s="112"/>
      <c r="AG479" s="112"/>
      <c r="AH479" s="112"/>
      <c r="AI479" s="112"/>
      <c r="AJ479" s="112"/>
      <c r="AK479" s="112"/>
      <c r="AL479" s="112"/>
      <c r="AP479" s="112"/>
      <c r="AQ479" s="112"/>
      <c r="AR479" s="112"/>
      <c r="AS479" s="112"/>
      <c r="AT479" s="112"/>
      <c r="AU479" s="112"/>
      <c r="AV479" s="112"/>
      <c r="AW479" s="112"/>
      <c r="AX479" s="112"/>
      <c r="AY479" s="112"/>
      <c r="BA479" s="112"/>
      <c r="BB479" s="112"/>
      <c r="BC479" s="112"/>
      <c r="BD479" s="112"/>
      <c r="BE479" s="112"/>
      <c r="BF479" s="112"/>
      <c r="BG479" s="112"/>
      <c r="BH479" s="112"/>
      <c r="BI479" s="112"/>
      <c r="BK479" s="112"/>
      <c r="BL479" s="112"/>
      <c r="BM479" s="112"/>
      <c r="BN479" s="112"/>
    </row>
    <row r="480" spans="17:66" x14ac:dyDescent="0.25">
      <c r="Q480" s="112"/>
      <c r="R480" s="112"/>
      <c r="S480" s="112"/>
      <c r="T480" s="112"/>
      <c r="U480" s="112"/>
      <c r="V480" s="112"/>
      <c r="W480" s="112"/>
      <c r="X480" s="112"/>
      <c r="Y480" s="112"/>
      <c r="Z480" s="112"/>
      <c r="AA480" s="112"/>
      <c r="AB480" s="112"/>
      <c r="AC480" s="112"/>
      <c r="AD480" s="112"/>
      <c r="AE480" s="112"/>
      <c r="AF480" s="112"/>
      <c r="AG480" s="112"/>
      <c r="AH480" s="112"/>
      <c r="AI480" s="112"/>
      <c r="AJ480" s="112"/>
      <c r="AK480" s="112"/>
      <c r="AL480" s="112"/>
      <c r="AP480" s="112"/>
      <c r="AQ480" s="112"/>
      <c r="AR480" s="112"/>
      <c r="AS480" s="112"/>
      <c r="AT480" s="112"/>
      <c r="AU480" s="112"/>
      <c r="AV480" s="112"/>
      <c r="AW480" s="112"/>
      <c r="AX480" s="112"/>
      <c r="AY480" s="112"/>
      <c r="BA480" s="112"/>
      <c r="BB480" s="112"/>
      <c r="BC480" s="112"/>
      <c r="BD480" s="112"/>
      <c r="BE480" s="112"/>
      <c r="BF480" s="112"/>
      <c r="BG480" s="112"/>
      <c r="BH480" s="112"/>
      <c r="BI480" s="112"/>
      <c r="BK480" s="112"/>
      <c r="BL480" s="112"/>
      <c r="BM480" s="112"/>
      <c r="BN480" s="112"/>
    </row>
    <row r="481" spans="17:66" x14ac:dyDescent="0.25">
      <c r="Q481" s="112"/>
      <c r="R481" s="112"/>
      <c r="S481" s="112"/>
      <c r="T481" s="112"/>
      <c r="U481" s="112"/>
      <c r="V481" s="112"/>
      <c r="W481" s="112"/>
      <c r="X481" s="112"/>
      <c r="Y481" s="112"/>
      <c r="Z481" s="112"/>
      <c r="AA481" s="112"/>
      <c r="AB481" s="112"/>
      <c r="AC481" s="112"/>
      <c r="AD481" s="112"/>
      <c r="AE481" s="112"/>
      <c r="AF481" s="112"/>
      <c r="AG481" s="112"/>
      <c r="AH481" s="112"/>
      <c r="AI481" s="112"/>
      <c r="AJ481" s="112"/>
      <c r="AK481" s="112"/>
      <c r="AL481" s="112"/>
      <c r="AP481" s="112"/>
      <c r="AQ481" s="112"/>
      <c r="AR481" s="112"/>
      <c r="AS481" s="112"/>
      <c r="AT481" s="112"/>
      <c r="AU481" s="112"/>
      <c r="AV481" s="112"/>
      <c r="AW481" s="112"/>
      <c r="AX481" s="112"/>
      <c r="AY481" s="112"/>
      <c r="BA481" s="112"/>
      <c r="BB481" s="112"/>
      <c r="BC481" s="112"/>
      <c r="BD481" s="112"/>
      <c r="BE481" s="112"/>
      <c r="BF481" s="112"/>
      <c r="BG481" s="112"/>
      <c r="BH481" s="112"/>
      <c r="BI481" s="112"/>
      <c r="BK481" s="112"/>
      <c r="BL481" s="112"/>
      <c r="BM481" s="112"/>
      <c r="BN481" s="112"/>
    </row>
    <row r="482" spans="17:66" x14ac:dyDescent="0.25">
      <c r="Q482" s="112"/>
      <c r="R482" s="112"/>
      <c r="S482" s="112"/>
      <c r="T482" s="112"/>
      <c r="U482" s="112"/>
      <c r="V482" s="112"/>
      <c r="W482" s="112"/>
      <c r="X482" s="112"/>
      <c r="Y482" s="112"/>
      <c r="Z482" s="112"/>
      <c r="AA482" s="112"/>
      <c r="AB482" s="112"/>
      <c r="AC482" s="112"/>
      <c r="AD482" s="112"/>
      <c r="AE482" s="112"/>
      <c r="AF482" s="112"/>
      <c r="AG482" s="112"/>
      <c r="AH482" s="112"/>
      <c r="AI482" s="112"/>
      <c r="AJ482" s="112"/>
      <c r="AK482" s="112"/>
      <c r="AL482" s="112"/>
      <c r="AP482" s="112"/>
      <c r="AQ482" s="112"/>
      <c r="AR482" s="112"/>
      <c r="AS482" s="112"/>
      <c r="AT482" s="112"/>
      <c r="AU482" s="112"/>
      <c r="AV482" s="112"/>
      <c r="AW482" s="112"/>
      <c r="AX482" s="112"/>
      <c r="AY482" s="112"/>
      <c r="BA482" s="112"/>
      <c r="BB482" s="112"/>
      <c r="BC482" s="112"/>
      <c r="BD482" s="112"/>
      <c r="BE482" s="112"/>
      <c r="BF482" s="112"/>
      <c r="BG482" s="112"/>
      <c r="BH482" s="112"/>
      <c r="BI482" s="112"/>
      <c r="BK482" s="112"/>
      <c r="BL482" s="112"/>
      <c r="BM482" s="112"/>
      <c r="BN482" s="112"/>
    </row>
    <row r="483" spans="17:66" x14ac:dyDescent="0.25">
      <c r="Q483" s="112"/>
      <c r="R483" s="112"/>
      <c r="S483" s="112"/>
      <c r="T483" s="112"/>
      <c r="U483" s="112"/>
      <c r="V483" s="112"/>
      <c r="W483" s="112"/>
      <c r="X483" s="112"/>
      <c r="Y483" s="112"/>
      <c r="Z483" s="112"/>
      <c r="AA483" s="112"/>
      <c r="AB483" s="112"/>
      <c r="AC483" s="112"/>
      <c r="AD483" s="112"/>
      <c r="AE483" s="112"/>
      <c r="AF483" s="112"/>
      <c r="AG483" s="112"/>
      <c r="AH483" s="112"/>
      <c r="AI483" s="112"/>
      <c r="AJ483" s="112"/>
      <c r="AK483" s="112"/>
      <c r="AL483" s="112"/>
      <c r="AP483" s="112"/>
      <c r="AQ483" s="112"/>
      <c r="AR483" s="112"/>
      <c r="AS483" s="112"/>
      <c r="AT483" s="112"/>
      <c r="AU483" s="112"/>
      <c r="AV483" s="112"/>
      <c r="AW483" s="112"/>
      <c r="AX483" s="112"/>
      <c r="AY483" s="112"/>
      <c r="BA483" s="112"/>
      <c r="BB483" s="112"/>
      <c r="BC483" s="112"/>
      <c r="BD483" s="112"/>
      <c r="BE483" s="112"/>
      <c r="BF483" s="112"/>
      <c r="BG483" s="112"/>
      <c r="BH483" s="112"/>
      <c r="BI483" s="112"/>
      <c r="BK483" s="112"/>
      <c r="BL483" s="112"/>
      <c r="BM483" s="112"/>
      <c r="BN483" s="112"/>
    </row>
    <row r="484" spans="17:66" x14ac:dyDescent="0.25">
      <c r="Q484" s="112"/>
      <c r="R484" s="112"/>
      <c r="S484" s="112"/>
      <c r="T484" s="112"/>
      <c r="U484" s="112"/>
      <c r="V484" s="112"/>
      <c r="W484" s="112"/>
      <c r="X484" s="112"/>
      <c r="Y484" s="112"/>
      <c r="Z484" s="112"/>
      <c r="AA484" s="112"/>
      <c r="AB484" s="112"/>
      <c r="AC484" s="112"/>
      <c r="AD484" s="112"/>
      <c r="AE484" s="112"/>
      <c r="AF484" s="112"/>
      <c r="AG484" s="112"/>
      <c r="AH484" s="112"/>
      <c r="AI484" s="112"/>
      <c r="AJ484" s="112"/>
      <c r="AK484" s="112"/>
      <c r="AL484" s="112"/>
      <c r="AP484" s="112"/>
      <c r="AQ484" s="112"/>
      <c r="AR484" s="112"/>
      <c r="AS484" s="112"/>
      <c r="AT484" s="112"/>
      <c r="AU484" s="112"/>
      <c r="AV484" s="112"/>
      <c r="AW484" s="112"/>
      <c r="AX484" s="112"/>
      <c r="AY484" s="112"/>
      <c r="BA484" s="112"/>
      <c r="BB484" s="112"/>
      <c r="BC484" s="112"/>
      <c r="BD484" s="112"/>
      <c r="BE484" s="112"/>
      <c r="BF484" s="112"/>
      <c r="BG484" s="112"/>
      <c r="BH484" s="112"/>
      <c r="BI484" s="112"/>
      <c r="BK484" s="112"/>
      <c r="BL484" s="112"/>
      <c r="BM484" s="112"/>
      <c r="BN484" s="112"/>
    </row>
    <row r="485" spans="17:66" x14ac:dyDescent="0.25">
      <c r="Q485" s="112"/>
      <c r="R485" s="112"/>
      <c r="S485" s="112"/>
      <c r="T485" s="112"/>
      <c r="U485" s="112"/>
      <c r="V485" s="112"/>
      <c r="W485" s="112"/>
      <c r="X485" s="112"/>
      <c r="Y485" s="112"/>
      <c r="Z485" s="112"/>
      <c r="AA485" s="112"/>
      <c r="AB485" s="112"/>
      <c r="AC485" s="112"/>
      <c r="AD485" s="112"/>
      <c r="AE485" s="112"/>
      <c r="AF485" s="112"/>
      <c r="AG485" s="112"/>
      <c r="AH485" s="112"/>
      <c r="AI485" s="112"/>
      <c r="AJ485" s="112"/>
      <c r="AK485" s="112"/>
      <c r="AL485" s="112"/>
      <c r="AP485" s="112"/>
      <c r="AQ485" s="112"/>
      <c r="AR485" s="112"/>
      <c r="AS485" s="112"/>
      <c r="AT485" s="112"/>
      <c r="AU485" s="112"/>
      <c r="AV485" s="112"/>
      <c r="AW485" s="112"/>
      <c r="AX485" s="112"/>
      <c r="AY485" s="112"/>
      <c r="BA485" s="112"/>
      <c r="BB485" s="112"/>
      <c r="BC485" s="112"/>
      <c r="BD485" s="112"/>
      <c r="BE485" s="112"/>
      <c r="BF485" s="112"/>
      <c r="BG485" s="112"/>
      <c r="BH485" s="112"/>
      <c r="BI485" s="112"/>
      <c r="BK485" s="112"/>
      <c r="BL485" s="112"/>
      <c r="BM485" s="112"/>
      <c r="BN485" s="112"/>
    </row>
    <row r="486" spans="17:66" x14ac:dyDescent="0.25">
      <c r="Q486" s="112"/>
      <c r="R486" s="112"/>
      <c r="S486" s="112"/>
      <c r="T486" s="112"/>
      <c r="U486" s="112"/>
      <c r="V486" s="112"/>
      <c r="W486" s="112"/>
      <c r="X486" s="112"/>
      <c r="Y486" s="112"/>
      <c r="Z486" s="112"/>
      <c r="AA486" s="112"/>
      <c r="AB486" s="112"/>
      <c r="AC486" s="112"/>
      <c r="AD486" s="112"/>
      <c r="AE486" s="112"/>
      <c r="AF486" s="112"/>
      <c r="AG486" s="112"/>
      <c r="AH486" s="112"/>
      <c r="AI486" s="112"/>
      <c r="AJ486" s="112"/>
      <c r="AK486" s="112"/>
      <c r="AL486" s="112"/>
      <c r="AP486" s="112"/>
      <c r="AQ486" s="112"/>
      <c r="AR486" s="112"/>
      <c r="AS486" s="112"/>
      <c r="AT486" s="112"/>
      <c r="AU486" s="112"/>
      <c r="AV486" s="112"/>
      <c r="AW486" s="112"/>
      <c r="AX486" s="112"/>
      <c r="AY486" s="112"/>
      <c r="BA486" s="112"/>
      <c r="BB486" s="112"/>
      <c r="BC486" s="112"/>
      <c r="BD486" s="112"/>
      <c r="BE486" s="112"/>
      <c r="BF486" s="112"/>
      <c r="BG486" s="112"/>
      <c r="BH486" s="112"/>
      <c r="BI486" s="112"/>
      <c r="BK486" s="112"/>
      <c r="BL486" s="112"/>
      <c r="BM486" s="112"/>
      <c r="BN486" s="112"/>
    </row>
    <row r="487" spans="17:66" x14ac:dyDescent="0.25">
      <c r="Q487" s="112"/>
      <c r="R487" s="112"/>
      <c r="S487" s="112"/>
      <c r="T487" s="112"/>
      <c r="U487" s="112"/>
      <c r="V487" s="112"/>
      <c r="W487" s="112"/>
      <c r="X487" s="112"/>
      <c r="Y487" s="112"/>
      <c r="Z487" s="112"/>
      <c r="AA487" s="112"/>
      <c r="AB487" s="112"/>
      <c r="AC487" s="112"/>
      <c r="AD487" s="112"/>
      <c r="AE487" s="112"/>
      <c r="AF487" s="112"/>
      <c r="AG487" s="112"/>
      <c r="AH487" s="112"/>
      <c r="AI487" s="112"/>
      <c r="AJ487" s="112"/>
      <c r="AK487" s="112"/>
      <c r="AL487" s="112"/>
      <c r="AP487" s="112"/>
      <c r="AQ487" s="112"/>
      <c r="AR487" s="112"/>
      <c r="AS487" s="112"/>
      <c r="AT487" s="112"/>
      <c r="AU487" s="112"/>
      <c r="AV487" s="112"/>
      <c r="AW487" s="112"/>
      <c r="AX487" s="112"/>
      <c r="AY487" s="112"/>
      <c r="BA487" s="112"/>
      <c r="BB487" s="112"/>
      <c r="BC487" s="112"/>
      <c r="BD487" s="112"/>
      <c r="BE487" s="112"/>
      <c r="BF487" s="112"/>
      <c r="BG487" s="112"/>
      <c r="BH487" s="112"/>
      <c r="BI487" s="112"/>
      <c r="BK487" s="112"/>
      <c r="BL487" s="112"/>
      <c r="BM487" s="112"/>
      <c r="BN487" s="112"/>
    </row>
    <row r="488" spans="17:66" x14ac:dyDescent="0.25">
      <c r="Q488" s="112"/>
      <c r="R488" s="112"/>
      <c r="S488" s="112"/>
      <c r="T488" s="112"/>
      <c r="U488" s="112"/>
      <c r="V488" s="112"/>
      <c r="W488" s="112"/>
      <c r="X488" s="112"/>
      <c r="Y488" s="112"/>
      <c r="Z488" s="112"/>
      <c r="AA488" s="112"/>
      <c r="AB488" s="112"/>
      <c r="AC488" s="112"/>
      <c r="AD488" s="112"/>
      <c r="AE488" s="112"/>
      <c r="AF488" s="112"/>
      <c r="AG488" s="112"/>
      <c r="AH488" s="112"/>
      <c r="AI488" s="112"/>
      <c r="AJ488" s="112"/>
      <c r="AK488" s="112"/>
      <c r="AL488" s="112"/>
      <c r="AP488" s="112"/>
      <c r="AQ488" s="112"/>
      <c r="AR488" s="112"/>
      <c r="AS488" s="112"/>
      <c r="AT488" s="112"/>
      <c r="AU488" s="112"/>
      <c r="AV488" s="112"/>
      <c r="AW488" s="112"/>
      <c r="AX488" s="112"/>
      <c r="AY488" s="112"/>
      <c r="BA488" s="112"/>
      <c r="BB488" s="112"/>
      <c r="BC488" s="112"/>
      <c r="BD488" s="112"/>
      <c r="BE488" s="112"/>
      <c r="BF488" s="112"/>
      <c r="BG488" s="112"/>
      <c r="BH488" s="112"/>
      <c r="BI488" s="112"/>
      <c r="BK488" s="112"/>
      <c r="BL488" s="112"/>
      <c r="BM488" s="112"/>
      <c r="BN488" s="112"/>
    </row>
    <row r="489" spans="17:66" x14ac:dyDescent="0.25">
      <c r="Q489" s="112"/>
      <c r="R489" s="112"/>
      <c r="S489" s="112"/>
      <c r="T489" s="112"/>
      <c r="U489" s="112"/>
      <c r="V489" s="112"/>
      <c r="W489" s="112"/>
      <c r="X489" s="112"/>
      <c r="Y489" s="112"/>
      <c r="Z489" s="112"/>
      <c r="AA489" s="112"/>
      <c r="AB489" s="112"/>
      <c r="AC489" s="112"/>
      <c r="AD489" s="112"/>
      <c r="AE489" s="112"/>
      <c r="AF489" s="112"/>
      <c r="AG489" s="112"/>
      <c r="AH489" s="112"/>
      <c r="AI489" s="112"/>
      <c r="AJ489" s="112"/>
      <c r="AK489" s="112"/>
      <c r="AL489" s="112"/>
      <c r="AP489" s="112"/>
      <c r="AQ489" s="112"/>
      <c r="AR489" s="112"/>
      <c r="AS489" s="112"/>
      <c r="AT489" s="112"/>
      <c r="AU489" s="112"/>
      <c r="AV489" s="112"/>
      <c r="AW489" s="112"/>
      <c r="AX489" s="112"/>
      <c r="AY489" s="112"/>
      <c r="BA489" s="112"/>
      <c r="BB489" s="112"/>
      <c r="BC489" s="112"/>
      <c r="BD489" s="112"/>
      <c r="BE489" s="112"/>
      <c r="BF489" s="112"/>
      <c r="BG489" s="112"/>
      <c r="BH489" s="112"/>
      <c r="BI489" s="112"/>
      <c r="BK489" s="112"/>
      <c r="BL489" s="112"/>
      <c r="BM489" s="112"/>
      <c r="BN489" s="112"/>
    </row>
    <row r="490" spans="17:66" x14ac:dyDescent="0.25">
      <c r="Q490" s="112"/>
      <c r="R490" s="112"/>
      <c r="S490" s="112"/>
      <c r="T490" s="112"/>
      <c r="U490" s="112"/>
      <c r="V490" s="112"/>
      <c r="W490" s="112"/>
      <c r="X490" s="112"/>
      <c r="Y490" s="112"/>
      <c r="Z490" s="112"/>
      <c r="AA490" s="112"/>
      <c r="AB490" s="112"/>
      <c r="AC490" s="112"/>
      <c r="AD490" s="112"/>
      <c r="AE490" s="112"/>
      <c r="AF490" s="112"/>
      <c r="AG490" s="112"/>
      <c r="AH490" s="112"/>
      <c r="AI490" s="112"/>
      <c r="AJ490" s="112"/>
      <c r="AK490" s="112"/>
      <c r="AL490" s="112"/>
      <c r="AP490" s="112"/>
      <c r="AQ490" s="112"/>
      <c r="AR490" s="112"/>
      <c r="AS490" s="112"/>
      <c r="AT490" s="112"/>
      <c r="AU490" s="112"/>
      <c r="AV490" s="112"/>
      <c r="AW490" s="112"/>
      <c r="AX490" s="112"/>
      <c r="AY490" s="112"/>
      <c r="BA490" s="112"/>
      <c r="BB490" s="112"/>
      <c r="BC490" s="112"/>
      <c r="BD490" s="112"/>
      <c r="BE490" s="112"/>
      <c r="BF490" s="112"/>
      <c r="BG490" s="112"/>
      <c r="BH490" s="112"/>
      <c r="BI490" s="112"/>
      <c r="BK490" s="112"/>
      <c r="BL490" s="112"/>
      <c r="BM490" s="112"/>
      <c r="BN490" s="112"/>
    </row>
    <row r="491" spans="17:66" x14ac:dyDescent="0.25">
      <c r="Q491" s="112"/>
      <c r="R491" s="112"/>
      <c r="S491" s="112"/>
      <c r="T491" s="112"/>
      <c r="U491" s="112"/>
      <c r="V491" s="112"/>
      <c r="W491" s="112"/>
      <c r="X491" s="112"/>
      <c r="Y491" s="112"/>
      <c r="Z491" s="112"/>
      <c r="AA491" s="112"/>
      <c r="AB491" s="112"/>
      <c r="AC491" s="112"/>
      <c r="AD491" s="112"/>
      <c r="AE491" s="112"/>
      <c r="AF491" s="112"/>
      <c r="AG491" s="112"/>
      <c r="AH491" s="112"/>
      <c r="AI491" s="112"/>
      <c r="AJ491" s="112"/>
      <c r="AK491" s="112"/>
      <c r="AL491" s="112"/>
      <c r="AP491" s="112"/>
      <c r="AQ491" s="112"/>
      <c r="AR491" s="112"/>
      <c r="AS491" s="112"/>
      <c r="AT491" s="112"/>
      <c r="AU491" s="112"/>
      <c r="AV491" s="112"/>
      <c r="AW491" s="112"/>
      <c r="AX491" s="112"/>
      <c r="AY491" s="112"/>
      <c r="BA491" s="112"/>
      <c r="BB491" s="112"/>
      <c r="BC491" s="112"/>
      <c r="BD491" s="112"/>
      <c r="BE491" s="112"/>
      <c r="BF491" s="112"/>
      <c r="BG491" s="112"/>
      <c r="BH491" s="112"/>
      <c r="BI491" s="112"/>
      <c r="BK491" s="112"/>
      <c r="BL491" s="112"/>
      <c r="BM491" s="112"/>
      <c r="BN491" s="112"/>
    </row>
    <row r="492" spans="17:66" x14ac:dyDescent="0.25">
      <c r="Q492" s="112"/>
      <c r="R492" s="112"/>
      <c r="S492" s="112"/>
      <c r="T492" s="112"/>
      <c r="U492" s="112"/>
      <c r="V492" s="112"/>
      <c r="W492" s="112"/>
      <c r="X492" s="112"/>
      <c r="Y492" s="112"/>
      <c r="Z492" s="112"/>
      <c r="AA492" s="112"/>
      <c r="AB492" s="112"/>
      <c r="AC492" s="112"/>
      <c r="AD492" s="112"/>
      <c r="AE492" s="112"/>
      <c r="AF492" s="112"/>
      <c r="AG492" s="112"/>
      <c r="AH492" s="112"/>
      <c r="AI492" s="112"/>
      <c r="AJ492" s="112"/>
      <c r="AK492" s="112"/>
      <c r="AL492" s="112"/>
      <c r="AP492" s="112"/>
      <c r="AQ492" s="112"/>
      <c r="AR492" s="112"/>
      <c r="AS492" s="112"/>
      <c r="AT492" s="112"/>
      <c r="AU492" s="112"/>
      <c r="AV492" s="112"/>
      <c r="AW492" s="112"/>
      <c r="AX492" s="112"/>
      <c r="AY492" s="112"/>
      <c r="BA492" s="112"/>
      <c r="BB492" s="112"/>
      <c r="BC492" s="112"/>
      <c r="BD492" s="112"/>
      <c r="BE492" s="112"/>
      <c r="BF492" s="112"/>
      <c r="BG492" s="112"/>
      <c r="BH492" s="112"/>
      <c r="BI492" s="112"/>
      <c r="BK492" s="112"/>
      <c r="BL492" s="112"/>
      <c r="BM492" s="112"/>
      <c r="BN492" s="112"/>
    </row>
    <row r="493" spans="17:66" x14ac:dyDescent="0.25">
      <c r="Q493" s="112"/>
      <c r="R493" s="112"/>
      <c r="S493" s="112"/>
      <c r="T493" s="112"/>
      <c r="U493" s="112"/>
      <c r="V493" s="112"/>
      <c r="W493" s="112"/>
      <c r="X493" s="112"/>
      <c r="Y493" s="112"/>
      <c r="Z493" s="112"/>
      <c r="AA493" s="112"/>
      <c r="AB493" s="112"/>
      <c r="AC493" s="112"/>
      <c r="AD493" s="112"/>
      <c r="AE493" s="112"/>
      <c r="AF493" s="112"/>
      <c r="AG493" s="112"/>
      <c r="AH493" s="112"/>
      <c r="AI493" s="112"/>
      <c r="AJ493" s="112"/>
      <c r="AK493" s="112"/>
      <c r="AL493" s="112"/>
      <c r="AP493" s="112"/>
      <c r="AQ493" s="112"/>
      <c r="AR493" s="112"/>
      <c r="AS493" s="112"/>
      <c r="AT493" s="112"/>
      <c r="AU493" s="112"/>
      <c r="AV493" s="112"/>
      <c r="AW493" s="112"/>
      <c r="AX493" s="112"/>
      <c r="AY493" s="112"/>
      <c r="BA493" s="112"/>
      <c r="BB493" s="112"/>
      <c r="BC493" s="112"/>
      <c r="BD493" s="112"/>
      <c r="BE493" s="112"/>
      <c r="BF493" s="112"/>
      <c r="BG493" s="112"/>
      <c r="BH493" s="112"/>
      <c r="BI493" s="112"/>
      <c r="BK493" s="112"/>
      <c r="BL493" s="112"/>
      <c r="BM493" s="112"/>
      <c r="BN493" s="112"/>
    </row>
    <row r="494" spans="17:66" x14ac:dyDescent="0.25">
      <c r="Q494" s="112"/>
      <c r="R494" s="112"/>
      <c r="S494" s="112"/>
      <c r="T494" s="112"/>
      <c r="U494" s="112"/>
      <c r="V494" s="112"/>
      <c r="W494" s="112"/>
      <c r="X494" s="112"/>
      <c r="Y494" s="112"/>
      <c r="Z494" s="112"/>
      <c r="AA494" s="112"/>
      <c r="AB494" s="112"/>
      <c r="AC494" s="112"/>
      <c r="AD494" s="112"/>
      <c r="AE494" s="112"/>
      <c r="AF494" s="112"/>
      <c r="AG494" s="112"/>
      <c r="AH494" s="112"/>
      <c r="AI494" s="112"/>
      <c r="AJ494" s="112"/>
      <c r="AK494" s="112"/>
      <c r="AL494" s="112"/>
      <c r="AP494" s="112"/>
      <c r="AQ494" s="112"/>
      <c r="AR494" s="112"/>
      <c r="AS494" s="112"/>
      <c r="AT494" s="112"/>
      <c r="AU494" s="112"/>
      <c r="AV494" s="112"/>
      <c r="AW494" s="112"/>
      <c r="AX494" s="112"/>
      <c r="AY494" s="112"/>
      <c r="BA494" s="112"/>
      <c r="BB494" s="112"/>
      <c r="BC494" s="112"/>
      <c r="BD494" s="112"/>
      <c r="BE494" s="112"/>
      <c r="BF494" s="112"/>
      <c r="BG494" s="112"/>
      <c r="BH494" s="112"/>
      <c r="BI494" s="112"/>
      <c r="BK494" s="112"/>
      <c r="BL494" s="112"/>
      <c r="BM494" s="112"/>
      <c r="BN494" s="112"/>
    </row>
    <row r="495" spans="17:66" x14ac:dyDescent="0.25">
      <c r="Q495" s="112"/>
      <c r="R495" s="112"/>
      <c r="S495" s="112"/>
      <c r="T495" s="112"/>
      <c r="U495" s="112"/>
      <c r="V495" s="112"/>
      <c r="W495" s="112"/>
      <c r="X495" s="112"/>
      <c r="Y495" s="112"/>
      <c r="Z495" s="112"/>
      <c r="AA495" s="112"/>
      <c r="AB495" s="112"/>
      <c r="AC495" s="112"/>
      <c r="AD495" s="112"/>
      <c r="AE495" s="112"/>
      <c r="AF495" s="112"/>
      <c r="AG495" s="112"/>
      <c r="AH495" s="112"/>
      <c r="AI495" s="112"/>
      <c r="AJ495" s="112"/>
      <c r="AK495" s="112"/>
      <c r="AL495" s="112"/>
      <c r="AP495" s="112"/>
      <c r="AQ495" s="112"/>
      <c r="AR495" s="112"/>
      <c r="AS495" s="112"/>
      <c r="AT495" s="112"/>
      <c r="AU495" s="112"/>
      <c r="AV495" s="112"/>
      <c r="AW495" s="112"/>
      <c r="AX495" s="112"/>
      <c r="AY495" s="112"/>
      <c r="BA495" s="112"/>
      <c r="BB495" s="112"/>
      <c r="BC495" s="112"/>
      <c r="BD495" s="112"/>
      <c r="BE495" s="112"/>
      <c r="BF495" s="112"/>
      <c r="BG495" s="112"/>
      <c r="BH495" s="112"/>
      <c r="BI495" s="112"/>
      <c r="BK495" s="112"/>
      <c r="BL495" s="112"/>
      <c r="BM495" s="112"/>
      <c r="BN495" s="112"/>
    </row>
    <row r="496" spans="17:66" x14ac:dyDescent="0.25">
      <c r="Q496" s="112"/>
      <c r="R496" s="112"/>
      <c r="S496" s="112"/>
      <c r="T496" s="112"/>
      <c r="U496" s="112"/>
      <c r="V496" s="112"/>
      <c r="W496" s="112"/>
      <c r="X496" s="112"/>
      <c r="Y496" s="112"/>
      <c r="Z496" s="112"/>
      <c r="AA496" s="112"/>
      <c r="AB496" s="112"/>
      <c r="AC496" s="112"/>
      <c r="AD496" s="112"/>
      <c r="AE496" s="112"/>
      <c r="AF496" s="112"/>
      <c r="AG496" s="112"/>
      <c r="AH496" s="112"/>
      <c r="AI496" s="112"/>
      <c r="AJ496" s="112"/>
      <c r="AK496" s="112"/>
      <c r="AL496" s="112"/>
      <c r="AP496" s="112"/>
      <c r="AQ496" s="112"/>
      <c r="AR496" s="112"/>
      <c r="AS496" s="112"/>
      <c r="AT496" s="112"/>
      <c r="AU496" s="112"/>
      <c r="AV496" s="112"/>
      <c r="AW496" s="112"/>
      <c r="AX496" s="112"/>
      <c r="AY496" s="112"/>
      <c r="BA496" s="112"/>
      <c r="BB496" s="112"/>
      <c r="BC496" s="112"/>
      <c r="BD496" s="112"/>
      <c r="BE496" s="112"/>
      <c r="BF496" s="112"/>
      <c r="BG496" s="112"/>
      <c r="BH496" s="112"/>
      <c r="BI496" s="112"/>
      <c r="BK496" s="112"/>
      <c r="BL496" s="112"/>
      <c r="BM496" s="112"/>
      <c r="BN496" s="112"/>
    </row>
    <row r="497" spans="17:66" x14ac:dyDescent="0.25">
      <c r="Q497" s="112"/>
      <c r="R497" s="112"/>
      <c r="S497" s="112"/>
      <c r="T497" s="112"/>
      <c r="U497" s="112"/>
      <c r="V497" s="112"/>
      <c r="W497" s="112"/>
      <c r="X497" s="112"/>
      <c r="Y497" s="112"/>
      <c r="Z497" s="112"/>
      <c r="AA497" s="112"/>
      <c r="AB497" s="112"/>
      <c r="AC497" s="112"/>
      <c r="AD497" s="112"/>
      <c r="AE497" s="112"/>
      <c r="AF497" s="112"/>
      <c r="AG497" s="112"/>
      <c r="AH497" s="112"/>
      <c r="AI497" s="112"/>
      <c r="AJ497" s="112"/>
      <c r="AK497" s="112"/>
      <c r="AL497" s="112"/>
      <c r="AP497" s="112"/>
      <c r="AQ497" s="112"/>
      <c r="AR497" s="112"/>
      <c r="AS497" s="112"/>
      <c r="AT497" s="112"/>
      <c r="AU497" s="112"/>
      <c r="AV497" s="112"/>
      <c r="AW497" s="112"/>
      <c r="AX497" s="112"/>
      <c r="AY497" s="112"/>
      <c r="BA497" s="112"/>
      <c r="BB497" s="112"/>
      <c r="BC497" s="112"/>
      <c r="BD497" s="112"/>
      <c r="BE497" s="112"/>
      <c r="BF497" s="112"/>
      <c r="BG497" s="112"/>
      <c r="BH497" s="112"/>
      <c r="BI497" s="112"/>
      <c r="BK497" s="112"/>
      <c r="BL497" s="112"/>
      <c r="BM497" s="112"/>
      <c r="BN497" s="112"/>
    </row>
    <row r="498" spans="17:66" x14ac:dyDescent="0.25">
      <c r="Q498" s="112"/>
      <c r="R498" s="112"/>
      <c r="S498" s="112"/>
      <c r="T498" s="112"/>
      <c r="U498" s="112"/>
      <c r="V498" s="112"/>
      <c r="W498" s="112"/>
      <c r="X498" s="112"/>
      <c r="Y498" s="112"/>
      <c r="Z498" s="112"/>
      <c r="AA498" s="112"/>
      <c r="AB498" s="112"/>
      <c r="AC498" s="112"/>
      <c r="AD498" s="112"/>
      <c r="AE498" s="112"/>
      <c r="AF498" s="112"/>
      <c r="AG498" s="112"/>
      <c r="AH498" s="112"/>
      <c r="AI498" s="112"/>
      <c r="AJ498" s="112"/>
      <c r="AK498" s="112"/>
      <c r="AL498" s="112"/>
      <c r="AP498" s="112"/>
      <c r="AQ498" s="112"/>
      <c r="AR498" s="112"/>
      <c r="AS498" s="112"/>
      <c r="AT498" s="112"/>
      <c r="AU498" s="112"/>
      <c r="AV498" s="112"/>
      <c r="AW498" s="112"/>
      <c r="AX498" s="112"/>
      <c r="AY498" s="112"/>
      <c r="BA498" s="112"/>
      <c r="BB498" s="112"/>
      <c r="BC498" s="112"/>
      <c r="BD498" s="112"/>
      <c r="BE498" s="112"/>
      <c r="BF498" s="112"/>
      <c r="BG498" s="112"/>
      <c r="BH498" s="112"/>
      <c r="BI498" s="112"/>
      <c r="BK498" s="112"/>
      <c r="BL498" s="112"/>
      <c r="BM498" s="112"/>
      <c r="BN498" s="112"/>
    </row>
    <row r="499" spans="17:66" x14ac:dyDescent="0.25">
      <c r="Q499" s="112"/>
      <c r="R499" s="112"/>
      <c r="S499" s="112"/>
      <c r="T499" s="112"/>
      <c r="U499" s="112"/>
      <c r="V499" s="112"/>
      <c r="W499" s="112"/>
      <c r="X499" s="112"/>
      <c r="Y499" s="112"/>
      <c r="Z499" s="112"/>
      <c r="AA499" s="112"/>
      <c r="AB499" s="112"/>
      <c r="AC499" s="112"/>
      <c r="AD499" s="112"/>
      <c r="AE499" s="112"/>
      <c r="AF499" s="112"/>
      <c r="AG499" s="112"/>
      <c r="AH499" s="112"/>
      <c r="AI499" s="112"/>
      <c r="AJ499" s="112"/>
      <c r="AK499" s="112"/>
      <c r="AL499" s="112"/>
      <c r="AP499" s="112"/>
      <c r="AQ499" s="112"/>
      <c r="AR499" s="112"/>
      <c r="AS499" s="112"/>
      <c r="AT499" s="112"/>
      <c r="AU499" s="112"/>
      <c r="AV499" s="112"/>
      <c r="AW499" s="112"/>
      <c r="AX499" s="112"/>
      <c r="AY499" s="112"/>
      <c r="BA499" s="112"/>
      <c r="BB499" s="112"/>
      <c r="BC499" s="112"/>
      <c r="BD499" s="112"/>
      <c r="BE499" s="112"/>
      <c r="BF499" s="112"/>
      <c r="BG499" s="112"/>
      <c r="BH499" s="112"/>
      <c r="BI499" s="112"/>
      <c r="BK499" s="112"/>
      <c r="BL499" s="112"/>
      <c r="BM499" s="112"/>
      <c r="BN499" s="112"/>
    </row>
    <row r="500" spans="17:66" x14ac:dyDescent="0.25">
      <c r="Q500" s="112"/>
      <c r="R500" s="112"/>
      <c r="S500" s="112"/>
      <c r="T500" s="112"/>
      <c r="U500" s="112"/>
      <c r="V500" s="112"/>
      <c r="W500" s="112"/>
      <c r="X500" s="112"/>
      <c r="Y500" s="112"/>
      <c r="Z500" s="112"/>
      <c r="AA500" s="112"/>
      <c r="AB500" s="112"/>
      <c r="AC500" s="112"/>
      <c r="AD500" s="112"/>
      <c r="AE500" s="112"/>
      <c r="AF500" s="112"/>
      <c r="AG500" s="112"/>
      <c r="AH500" s="112"/>
      <c r="AI500" s="112"/>
      <c r="AJ500" s="112"/>
      <c r="AK500" s="112"/>
      <c r="AL500" s="112"/>
      <c r="AP500" s="112"/>
      <c r="AQ500" s="112"/>
      <c r="AR500" s="112"/>
      <c r="AS500" s="112"/>
      <c r="AT500" s="112"/>
      <c r="AU500" s="112"/>
      <c r="AV500" s="112"/>
      <c r="AW500" s="112"/>
      <c r="AX500" s="112"/>
      <c r="AY500" s="112"/>
      <c r="BA500" s="112"/>
      <c r="BB500" s="112"/>
      <c r="BC500" s="112"/>
      <c r="BD500" s="112"/>
      <c r="BE500" s="112"/>
      <c r="BF500" s="112"/>
      <c r="BG500" s="112"/>
      <c r="BH500" s="112"/>
      <c r="BI500" s="112"/>
      <c r="BK500" s="112"/>
      <c r="BL500" s="112"/>
      <c r="BM500" s="112"/>
      <c r="BN500" s="112"/>
    </row>
    <row r="501" spans="17:66" x14ac:dyDescent="0.25">
      <c r="Q501" s="112"/>
      <c r="R501" s="112"/>
      <c r="S501" s="112"/>
      <c r="T501" s="112"/>
      <c r="U501" s="112"/>
      <c r="V501" s="112"/>
      <c r="W501" s="112"/>
      <c r="X501" s="112"/>
      <c r="Y501" s="112"/>
      <c r="Z501" s="112"/>
      <c r="AA501" s="112"/>
      <c r="AB501" s="112"/>
      <c r="AC501" s="112"/>
      <c r="AD501" s="112"/>
      <c r="AE501" s="112"/>
      <c r="AF501" s="112"/>
      <c r="AG501" s="112"/>
      <c r="AH501" s="112"/>
      <c r="AI501" s="112"/>
      <c r="AJ501" s="112"/>
      <c r="AK501" s="112"/>
      <c r="AL501" s="112"/>
      <c r="AP501" s="112"/>
      <c r="AQ501" s="112"/>
      <c r="AR501" s="112"/>
      <c r="AS501" s="112"/>
      <c r="AT501" s="112"/>
      <c r="AU501" s="112"/>
      <c r="AV501" s="112"/>
      <c r="AW501" s="112"/>
      <c r="AX501" s="112"/>
      <c r="AY501" s="112"/>
      <c r="BA501" s="112"/>
      <c r="BB501" s="112"/>
      <c r="BC501" s="112"/>
      <c r="BD501" s="112"/>
      <c r="BE501" s="112"/>
      <c r="BF501" s="112"/>
      <c r="BG501" s="112"/>
      <c r="BH501" s="112"/>
      <c r="BI501" s="112"/>
      <c r="BK501" s="112"/>
      <c r="BL501" s="112"/>
      <c r="BM501" s="112"/>
      <c r="BN501" s="112"/>
    </row>
    <row r="502" spans="17:66" x14ac:dyDescent="0.25">
      <c r="Q502" s="112"/>
      <c r="R502" s="112"/>
      <c r="S502" s="112"/>
      <c r="T502" s="112"/>
      <c r="U502" s="112"/>
      <c r="V502" s="112"/>
      <c r="W502" s="112"/>
      <c r="X502" s="112"/>
      <c r="Y502" s="112"/>
      <c r="Z502" s="112"/>
      <c r="AA502" s="112"/>
      <c r="AB502" s="112"/>
      <c r="AC502" s="112"/>
      <c r="AD502" s="112"/>
      <c r="AE502" s="112"/>
      <c r="AF502" s="112"/>
      <c r="AG502" s="112"/>
      <c r="AH502" s="112"/>
      <c r="AI502" s="112"/>
      <c r="AJ502" s="112"/>
      <c r="AK502" s="112"/>
      <c r="AL502" s="112"/>
      <c r="AP502" s="112"/>
      <c r="AQ502" s="112"/>
      <c r="AR502" s="112"/>
      <c r="AS502" s="112"/>
      <c r="AT502" s="112"/>
      <c r="AU502" s="112"/>
      <c r="AV502" s="112"/>
      <c r="AW502" s="112"/>
      <c r="AX502" s="112"/>
      <c r="AY502" s="112"/>
      <c r="BA502" s="112"/>
      <c r="BB502" s="112"/>
      <c r="BC502" s="112"/>
      <c r="BD502" s="112"/>
      <c r="BE502" s="112"/>
      <c r="BF502" s="112"/>
      <c r="BG502" s="112"/>
      <c r="BH502" s="112"/>
      <c r="BI502" s="112"/>
      <c r="BK502" s="112"/>
      <c r="BL502" s="112"/>
      <c r="BM502" s="112"/>
      <c r="BN502" s="112"/>
    </row>
    <row r="503" spans="17:66" x14ac:dyDescent="0.25">
      <c r="Q503" s="112"/>
      <c r="R503" s="112"/>
      <c r="S503" s="112"/>
      <c r="T503" s="112"/>
      <c r="U503" s="112"/>
      <c r="V503" s="112"/>
      <c r="W503" s="112"/>
      <c r="X503" s="112"/>
      <c r="Y503" s="112"/>
      <c r="Z503" s="112"/>
      <c r="AA503" s="112"/>
      <c r="AB503" s="112"/>
      <c r="AC503" s="112"/>
      <c r="AD503" s="112"/>
      <c r="AE503" s="112"/>
      <c r="AF503" s="112"/>
      <c r="AG503" s="112"/>
      <c r="AH503" s="112"/>
      <c r="AI503" s="112"/>
      <c r="AJ503" s="112"/>
      <c r="AK503" s="112"/>
      <c r="AL503" s="112"/>
      <c r="AP503" s="112"/>
      <c r="AQ503" s="112"/>
      <c r="AR503" s="112"/>
      <c r="AS503" s="112"/>
      <c r="AT503" s="112"/>
      <c r="AU503" s="112"/>
      <c r="AV503" s="112"/>
      <c r="AW503" s="112"/>
      <c r="AX503" s="112"/>
      <c r="AY503" s="112"/>
      <c r="BA503" s="112"/>
      <c r="BB503" s="112"/>
      <c r="BC503" s="112"/>
      <c r="BD503" s="112"/>
      <c r="BE503" s="112"/>
      <c r="BF503" s="112"/>
      <c r="BG503" s="112"/>
      <c r="BH503" s="112"/>
      <c r="BI503" s="112"/>
      <c r="BK503" s="112"/>
      <c r="BL503" s="112"/>
      <c r="BM503" s="112"/>
      <c r="BN503" s="112"/>
    </row>
    <row r="504" spans="17:66" x14ac:dyDescent="0.25">
      <c r="Q504" s="112"/>
      <c r="R504" s="112"/>
      <c r="S504" s="112"/>
      <c r="T504" s="112"/>
      <c r="U504" s="112"/>
      <c r="V504" s="112"/>
      <c r="W504" s="112"/>
      <c r="X504" s="112"/>
      <c r="Y504" s="112"/>
      <c r="Z504" s="112"/>
      <c r="AA504" s="112"/>
      <c r="AB504" s="112"/>
      <c r="AC504" s="112"/>
      <c r="AD504" s="112"/>
      <c r="AE504" s="112"/>
      <c r="AF504" s="112"/>
      <c r="AG504" s="112"/>
      <c r="AH504" s="112"/>
      <c r="AI504" s="112"/>
      <c r="AJ504" s="112"/>
      <c r="AK504" s="112"/>
      <c r="AL504" s="112"/>
      <c r="AP504" s="112"/>
      <c r="AQ504" s="112"/>
      <c r="AR504" s="112"/>
      <c r="AS504" s="112"/>
      <c r="AT504" s="112"/>
      <c r="AU504" s="112"/>
      <c r="AV504" s="112"/>
      <c r="AW504" s="112"/>
      <c r="AX504" s="112"/>
      <c r="AY504" s="112"/>
      <c r="BA504" s="112"/>
      <c r="BB504" s="112"/>
      <c r="BC504" s="112"/>
      <c r="BD504" s="112"/>
      <c r="BE504" s="112"/>
      <c r="BF504" s="112"/>
      <c r="BG504" s="112"/>
      <c r="BH504" s="112"/>
      <c r="BI504" s="112"/>
      <c r="BK504" s="112"/>
      <c r="BL504" s="112"/>
      <c r="BM504" s="112"/>
      <c r="BN504" s="112"/>
    </row>
    <row r="505" spans="17:66" x14ac:dyDescent="0.25">
      <c r="Q505" s="112"/>
      <c r="R505" s="112"/>
      <c r="S505" s="112"/>
      <c r="T505" s="112"/>
      <c r="U505" s="112"/>
      <c r="V505" s="112"/>
      <c r="W505" s="112"/>
      <c r="X505" s="112"/>
      <c r="Y505" s="112"/>
      <c r="Z505" s="112"/>
      <c r="AA505" s="112"/>
      <c r="AB505" s="112"/>
      <c r="AC505" s="112"/>
      <c r="AD505" s="112"/>
      <c r="AE505" s="112"/>
      <c r="AF505" s="112"/>
      <c r="AG505" s="112"/>
      <c r="AH505" s="112"/>
      <c r="AI505" s="112"/>
      <c r="AJ505" s="112"/>
      <c r="AK505" s="112"/>
      <c r="AL505" s="112"/>
      <c r="AP505" s="112"/>
      <c r="AQ505" s="112"/>
      <c r="AR505" s="112"/>
      <c r="AS505" s="112"/>
      <c r="AT505" s="112"/>
      <c r="AU505" s="112"/>
      <c r="AV505" s="112"/>
      <c r="AW505" s="112"/>
      <c r="AX505" s="112"/>
      <c r="AY505" s="112"/>
      <c r="BA505" s="112"/>
      <c r="BB505" s="112"/>
      <c r="BC505" s="112"/>
      <c r="BD505" s="112"/>
      <c r="BE505" s="112"/>
      <c r="BF505" s="112"/>
      <c r="BG505" s="112"/>
      <c r="BH505" s="112"/>
      <c r="BI505" s="112"/>
      <c r="BK505" s="112"/>
      <c r="BL505" s="112"/>
      <c r="BM505" s="112"/>
      <c r="BN505" s="112"/>
    </row>
    <row r="506" spans="17:66" x14ac:dyDescent="0.25">
      <c r="Q506" s="112"/>
      <c r="R506" s="112"/>
      <c r="S506" s="112"/>
      <c r="T506" s="112"/>
      <c r="U506" s="112"/>
      <c r="V506" s="112"/>
      <c r="W506" s="112"/>
      <c r="X506" s="112"/>
      <c r="Y506" s="112"/>
      <c r="Z506" s="112"/>
      <c r="AA506" s="112"/>
      <c r="AB506" s="112"/>
      <c r="AC506" s="112"/>
      <c r="AD506" s="112"/>
      <c r="AE506" s="112"/>
      <c r="AF506" s="112"/>
      <c r="AG506" s="112"/>
      <c r="AH506" s="112"/>
      <c r="AI506" s="112"/>
      <c r="AJ506" s="112"/>
      <c r="AK506" s="112"/>
      <c r="AL506" s="112"/>
      <c r="AP506" s="112"/>
      <c r="AQ506" s="112"/>
      <c r="AR506" s="112"/>
      <c r="AS506" s="112"/>
      <c r="AT506" s="112"/>
      <c r="AU506" s="112"/>
      <c r="AV506" s="112"/>
      <c r="AW506" s="112"/>
      <c r="AX506" s="112"/>
      <c r="AY506" s="112"/>
      <c r="BA506" s="112"/>
      <c r="BB506" s="112"/>
      <c r="BC506" s="112"/>
      <c r="BD506" s="112"/>
      <c r="BE506" s="112"/>
      <c r="BF506" s="112"/>
      <c r="BG506" s="112"/>
      <c r="BH506" s="112"/>
      <c r="BI506" s="112"/>
      <c r="BK506" s="112"/>
      <c r="BL506" s="112"/>
      <c r="BM506" s="112"/>
      <c r="BN506" s="112"/>
    </row>
    <row r="507" spans="17:66" x14ac:dyDescent="0.25">
      <c r="Q507" s="112"/>
      <c r="R507" s="112"/>
      <c r="S507" s="112"/>
      <c r="T507" s="112"/>
      <c r="U507" s="112"/>
      <c r="V507" s="112"/>
      <c r="W507" s="112"/>
      <c r="X507" s="112"/>
      <c r="Y507" s="112"/>
      <c r="Z507" s="112"/>
      <c r="AA507" s="112"/>
      <c r="AB507" s="112"/>
      <c r="AC507" s="112"/>
      <c r="AD507" s="112"/>
      <c r="AE507" s="112"/>
      <c r="AF507" s="112"/>
      <c r="AG507" s="112"/>
      <c r="AH507" s="112"/>
      <c r="AI507" s="112"/>
      <c r="AJ507" s="112"/>
      <c r="AK507" s="112"/>
      <c r="AL507" s="112"/>
      <c r="AP507" s="112"/>
      <c r="AQ507" s="112"/>
      <c r="AR507" s="112"/>
      <c r="AS507" s="112"/>
      <c r="AT507" s="112"/>
      <c r="AU507" s="112"/>
      <c r="AV507" s="112"/>
      <c r="AW507" s="112"/>
      <c r="AX507" s="112"/>
      <c r="AY507" s="112"/>
      <c r="BA507" s="112"/>
      <c r="BB507" s="112"/>
      <c r="BC507" s="112"/>
      <c r="BD507" s="112"/>
      <c r="BE507" s="112"/>
      <c r="BF507" s="112"/>
      <c r="BG507" s="112"/>
      <c r="BH507" s="112"/>
      <c r="BI507" s="112"/>
      <c r="BK507" s="112"/>
      <c r="BL507" s="112"/>
      <c r="BM507" s="112"/>
      <c r="BN507" s="112"/>
    </row>
    <row r="508" spans="17:66" x14ac:dyDescent="0.25">
      <c r="Q508" s="112"/>
      <c r="R508" s="112"/>
      <c r="S508" s="112"/>
      <c r="T508" s="112"/>
      <c r="U508" s="112"/>
      <c r="V508" s="112"/>
      <c r="W508" s="112"/>
      <c r="X508" s="112"/>
      <c r="Y508" s="112"/>
      <c r="Z508" s="112"/>
      <c r="AA508" s="112"/>
      <c r="AB508" s="112"/>
      <c r="AC508" s="112"/>
      <c r="AD508" s="112"/>
      <c r="AE508" s="112"/>
      <c r="AF508" s="112"/>
      <c r="AG508" s="112"/>
      <c r="AH508" s="112"/>
      <c r="AI508" s="112"/>
      <c r="AJ508" s="112"/>
      <c r="AK508" s="112"/>
      <c r="AL508" s="112"/>
      <c r="AP508" s="112"/>
      <c r="AQ508" s="112"/>
      <c r="AR508" s="112"/>
      <c r="AS508" s="112"/>
      <c r="AT508" s="112"/>
      <c r="AU508" s="112"/>
      <c r="AV508" s="112"/>
      <c r="AW508" s="112"/>
      <c r="AX508" s="112"/>
      <c r="AY508" s="112"/>
      <c r="BA508" s="112"/>
      <c r="BB508" s="112"/>
      <c r="BC508" s="112"/>
      <c r="BD508" s="112"/>
      <c r="BE508" s="112"/>
      <c r="BF508" s="112"/>
      <c r="BG508" s="112"/>
      <c r="BH508" s="112"/>
      <c r="BI508" s="112"/>
      <c r="BK508" s="112"/>
      <c r="BL508" s="112"/>
      <c r="BM508" s="112"/>
      <c r="BN508" s="112"/>
    </row>
    <row r="509" spans="17:66" x14ac:dyDescent="0.25">
      <c r="Q509" s="112"/>
      <c r="R509" s="112"/>
      <c r="S509" s="112"/>
      <c r="T509" s="112"/>
      <c r="U509" s="112"/>
      <c r="V509" s="112"/>
      <c r="W509" s="112"/>
      <c r="X509" s="112"/>
      <c r="Y509" s="112"/>
      <c r="Z509" s="112"/>
      <c r="AA509" s="112"/>
      <c r="AB509" s="112"/>
      <c r="AC509" s="112"/>
      <c r="AD509" s="112"/>
      <c r="AE509" s="112"/>
      <c r="AF509" s="112"/>
      <c r="AG509" s="112"/>
      <c r="AH509" s="112"/>
      <c r="AI509" s="112"/>
      <c r="AJ509" s="112"/>
      <c r="AK509" s="112"/>
      <c r="AL509" s="112"/>
      <c r="AP509" s="112"/>
      <c r="AQ509" s="112"/>
      <c r="AR509" s="112"/>
      <c r="AS509" s="112"/>
      <c r="AT509" s="112"/>
      <c r="AU509" s="112"/>
      <c r="AV509" s="112"/>
      <c r="AW509" s="112"/>
      <c r="AX509" s="112"/>
      <c r="AY509" s="112"/>
      <c r="BA509" s="112"/>
      <c r="BB509" s="112"/>
      <c r="BC509" s="112"/>
      <c r="BD509" s="112"/>
      <c r="BE509" s="112"/>
      <c r="BF509" s="112"/>
      <c r="BG509" s="112"/>
      <c r="BH509" s="112"/>
      <c r="BI509" s="112"/>
      <c r="BK509" s="112"/>
      <c r="BL509" s="112"/>
      <c r="BM509" s="112"/>
      <c r="BN509" s="112"/>
    </row>
    <row r="510" spans="17:66" x14ac:dyDescent="0.25">
      <c r="Q510" s="112"/>
      <c r="R510" s="112"/>
      <c r="S510" s="112"/>
      <c r="T510" s="112"/>
      <c r="U510" s="112"/>
      <c r="V510" s="112"/>
      <c r="W510" s="112"/>
      <c r="X510" s="112"/>
      <c r="Y510" s="112"/>
      <c r="Z510" s="112"/>
      <c r="AA510" s="112"/>
      <c r="AB510" s="112"/>
      <c r="AC510" s="112"/>
      <c r="AD510" s="112"/>
      <c r="AE510" s="112"/>
      <c r="AF510" s="112"/>
      <c r="AG510" s="112"/>
      <c r="AH510" s="112"/>
      <c r="AI510" s="112"/>
      <c r="AJ510" s="112"/>
      <c r="AK510" s="112"/>
      <c r="AL510" s="112"/>
      <c r="AP510" s="112"/>
      <c r="AQ510" s="112"/>
      <c r="AR510" s="112"/>
      <c r="AS510" s="112"/>
      <c r="AT510" s="112"/>
      <c r="AU510" s="112"/>
      <c r="AV510" s="112"/>
      <c r="AW510" s="112"/>
      <c r="AX510" s="112"/>
      <c r="AY510" s="112"/>
      <c r="BA510" s="112"/>
      <c r="BB510" s="112"/>
      <c r="BC510" s="112"/>
      <c r="BD510" s="112"/>
      <c r="BE510" s="112"/>
      <c r="BF510" s="112"/>
      <c r="BG510" s="112"/>
      <c r="BH510" s="112"/>
      <c r="BI510" s="112"/>
      <c r="BK510" s="112"/>
      <c r="BL510" s="112"/>
      <c r="BM510" s="112"/>
      <c r="BN510" s="112"/>
    </row>
    <row r="511" spans="17:66" x14ac:dyDescent="0.25">
      <c r="Q511" s="112"/>
      <c r="R511" s="112"/>
      <c r="S511" s="112"/>
      <c r="T511" s="112"/>
      <c r="U511" s="112"/>
      <c r="V511" s="112"/>
      <c r="W511" s="112"/>
      <c r="X511" s="112"/>
      <c r="Y511" s="112"/>
      <c r="Z511" s="112"/>
      <c r="AA511" s="112"/>
      <c r="AB511" s="112"/>
      <c r="AC511" s="112"/>
      <c r="AD511" s="112"/>
      <c r="AE511" s="112"/>
      <c r="AF511" s="112"/>
      <c r="AG511" s="112"/>
      <c r="AH511" s="112"/>
      <c r="AI511" s="112"/>
      <c r="AJ511" s="112"/>
      <c r="AK511" s="112"/>
      <c r="AL511" s="112"/>
      <c r="AP511" s="112"/>
      <c r="AQ511" s="112"/>
      <c r="AR511" s="112"/>
      <c r="AS511" s="112"/>
      <c r="AT511" s="112"/>
      <c r="AU511" s="112"/>
      <c r="AV511" s="112"/>
      <c r="AW511" s="112"/>
      <c r="AX511" s="112"/>
      <c r="AY511" s="112"/>
      <c r="BA511" s="112"/>
      <c r="BB511" s="112"/>
      <c r="BC511" s="112"/>
      <c r="BD511" s="112"/>
      <c r="BE511" s="112"/>
      <c r="BF511" s="112"/>
      <c r="BG511" s="112"/>
      <c r="BH511" s="112"/>
      <c r="BI511" s="112"/>
      <c r="BK511" s="112"/>
      <c r="BL511" s="112"/>
      <c r="BM511" s="112"/>
      <c r="BN511" s="112"/>
    </row>
    <row r="512" spans="17:66" x14ac:dyDescent="0.25">
      <c r="Q512" s="112"/>
      <c r="R512" s="112"/>
      <c r="S512" s="112"/>
      <c r="T512" s="112"/>
      <c r="U512" s="112"/>
      <c r="V512" s="112"/>
      <c r="W512" s="112"/>
      <c r="X512" s="112"/>
      <c r="Y512" s="112"/>
      <c r="Z512" s="112"/>
      <c r="AA512" s="112"/>
      <c r="AB512" s="112"/>
      <c r="AC512" s="112"/>
      <c r="AD512" s="112"/>
      <c r="AE512" s="112"/>
      <c r="AF512" s="112"/>
      <c r="AG512" s="112"/>
      <c r="AH512" s="112"/>
      <c r="AI512" s="112"/>
      <c r="AJ512" s="112"/>
      <c r="AK512" s="112"/>
      <c r="AL512" s="112"/>
      <c r="AP512" s="112"/>
      <c r="AQ512" s="112"/>
      <c r="AR512" s="112"/>
      <c r="AS512" s="112"/>
      <c r="AT512" s="112"/>
      <c r="AU512" s="112"/>
      <c r="AV512" s="112"/>
      <c r="AW512" s="112"/>
      <c r="AX512" s="112"/>
      <c r="AY512" s="112"/>
      <c r="BA512" s="112"/>
      <c r="BB512" s="112"/>
      <c r="BC512" s="112"/>
      <c r="BD512" s="112"/>
      <c r="BE512" s="112"/>
      <c r="BF512" s="112"/>
      <c r="BG512" s="112"/>
      <c r="BH512" s="112"/>
      <c r="BI512" s="112"/>
      <c r="BK512" s="112"/>
      <c r="BL512" s="112"/>
      <c r="BM512" s="112"/>
      <c r="BN512" s="112"/>
    </row>
    <row r="513" spans="17:66" x14ac:dyDescent="0.25">
      <c r="Q513" s="112"/>
      <c r="R513" s="112"/>
      <c r="S513" s="112"/>
      <c r="T513" s="112"/>
      <c r="U513" s="112"/>
      <c r="V513" s="112"/>
      <c r="W513" s="112"/>
      <c r="X513" s="112"/>
      <c r="Y513" s="112"/>
      <c r="Z513" s="112"/>
      <c r="AA513" s="112"/>
      <c r="AB513" s="112"/>
      <c r="AC513" s="112"/>
      <c r="AD513" s="112"/>
      <c r="AE513" s="112"/>
      <c r="AF513" s="112"/>
      <c r="AG513" s="112"/>
      <c r="AH513" s="112"/>
      <c r="AI513" s="112"/>
      <c r="AJ513" s="112"/>
      <c r="AK513" s="112"/>
      <c r="AL513" s="112"/>
      <c r="AP513" s="112"/>
      <c r="AQ513" s="112"/>
      <c r="AR513" s="112"/>
      <c r="AS513" s="112"/>
      <c r="AT513" s="112"/>
      <c r="AU513" s="112"/>
      <c r="AV513" s="112"/>
      <c r="AW513" s="112"/>
      <c r="AX513" s="112"/>
      <c r="AY513" s="112"/>
      <c r="BA513" s="112"/>
      <c r="BB513" s="112"/>
      <c r="BC513" s="112"/>
      <c r="BD513" s="112"/>
      <c r="BE513" s="112"/>
      <c r="BF513" s="112"/>
      <c r="BG513" s="112"/>
      <c r="BH513" s="112"/>
      <c r="BI513" s="112"/>
      <c r="BK513" s="112"/>
      <c r="BL513" s="112"/>
      <c r="BM513" s="112"/>
      <c r="BN513" s="112"/>
    </row>
    <row r="514" spans="17:66" x14ac:dyDescent="0.25">
      <c r="Q514" s="112"/>
      <c r="R514" s="112"/>
      <c r="S514" s="112"/>
      <c r="T514" s="112"/>
      <c r="U514" s="112"/>
      <c r="V514" s="112"/>
      <c r="W514" s="112"/>
      <c r="X514" s="112"/>
      <c r="Y514" s="112"/>
      <c r="Z514" s="112"/>
      <c r="AA514" s="112"/>
      <c r="AB514" s="112"/>
      <c r="AC514" s="112"/>
      <c r="AD514" s="112"/>
      <c r="AE514" s="112"/>
      <c r="AF514" s="112"/>
      <c r="AG514" s="112"/>
      <c r="AH514" s="112"/>
      <c r="AI514" s="112"/>
      <c r="AJ514" s="112"/>
      <c r="AK514" s="112"/>
      <c r="AL514" s="112"/>
      <c r="AP514" s="112"/>
      <c r="AQ514" s="112"/>
      <c r="AR514" s="112"/>
      <c r="AS514" s="112"/>
      <c r="AT514" s="112"/>
      <c r="AU514" s="112"/>
      <c r="AV514" s="112"/>
      <c r="AW514" s="112"/>
      <c r="AX514" s="112"/>
      <c r="AY514" s="112"/>
      <c r="BA514" s="112"/>
      <c r="BB514" s="112"/>
      <c r="BC514" s="112"/>
      <c r="BD514" s="112"/>
      <c r="BE514" s="112"/>
      <c r="BF514" s="112"/>
      <c r="BG514" s="112"/>
      <c r="BH514" s="112"/>
      <c r="BI514" s="112"/>
      <c r="BK514" s="112"/>
      <c r="BL514" s="112"/>
      <c r="BM514" s="112"/>
      <c r="BN514" s="112"/>
    </row>
    <row r="515" spans="17:66" x14ac:dyDescent="0.25">
      <c r="Q515" s="112"/>
      <c r="R515" s="112"/>
      <c r="S515" s="112"/>
      <c r="T515" s="112"/>
      <c r="U515" s="112"/>
      <c r="V515" s="112"/>
      <c r="W515" s="112"/>
      <c r="X515" s="112"/>
      <c r="Y515" s="112"/>
      <c r="Z515" s="112"/>
      <c r="AA515" s="112"/>
      <c r="AB515" s="112"/>
      <c r="AC515" s="112"/>
      <c r="AD515" s="112"/>
      <c r="AE515" s="112"/>
      <c r="AF515" s="112"/>
      <c r="AG515" s="112"/>
      <c r="AH515" s="112"/>
      <c r="AI515" s="112"/>
      <c r="AJ515" s="112"/>
      <c r="AK515" s="112"/>
      <c r="AL515" s="112"/>
      <c r="AP515" s="112"/>
      <c r="AQ515" s="112"/>
      <c r="AR515" s="112"/>
      <c r="AS515" s="112"/>
      <c r="AT515" s="112"/>
      <c r="AU515" s="112"/>
      <c r="AV515" s="112"/>
      <c r="AW515" s="112"/>
      <c r="AX515" s="112"/>
      <c r="AY515" s="112"/>
      <c r="BA515" s="112"/>
      <c r="BB515" s="112"/>
      <c r="BC515" s="112"/>
      <c r="BD515" s="112"/>
      <c r="BE515" s="112"/>
      <c r="BF515" s="112"/>
      <c r="BG515" s="112"/>
      <c r="BH515" s="112"/>
      <c r="BI515" s="112"/>
      <c r="BK515" s="112"/>
      <c r="BL515" s="112"/>
      <c r="BM515" s="112"/>
      <c r="BN515" s="112"/>
    </row>
    <row r="516" spans="17:66" x14ac:dyDescent="0.25">
      <c r="Q516" s="112"/>
      <c r="R516" s="112"/>
      <c r="S516" s="112"/>
      <c r="T516" s="112"/>
      <c r="U516" s="112"/>
      <c r="V516" s="112"/>
      <c r="W516" s="112"/>
      <c r="X516" s="112"/>
      <c r="Y516" s="112"/>
      <c r="Z516" s="112"/>
      <c r="AA516" s="112"/>
      <c r="AB516" s="112"/>
      <c r="AC516" s="112"/>
      <c r="AD516" s="112"/>
      <c r="AE516" s="112"/>
      <c r="AF516" s="112"/>
      <c r="AG516" s="112"/>
      <c r="AH516" s="112"/>
      <c r="AI516" s="112"/>
      <c r="AJ516" s="112"/>
      <c r="AK516" s="112"/>
      <c r="AL516" s="112"/>
      <c r="AP516" s="112"/>
      <c r="AQ516" s="112"/>
      <c r="AR516" s="112"/>
      <c r="AS516" s="112"/>
      <c r="AT516" s="112"/>
      <c r="AU516" s="112"/>
      <c r="AV516" s="112"/>
      <c r="AW516" s="112"/>
      <c r="AX516" s="112"/>
      <c r="AY516" s="112"/>
      <c r="BA516" s="112"/>
      <c r="BB516" s="112"/>
      <c r="BC516" s="112"/>
      <c r="BD516" s="112"/>
      <c r="BE516" s="112"/>
      <c r="BF516" s="112"/>
      <c r="BG516" s="112"/>
      <c r="BH516" s="112"/>
      <c r="BI516" s="112"/>
      <c r="BK516" s="112"/>
      <c r="BL516" s="112"/>
      <c r="BM516" s="112"/>
      <c r="BN516" s="112"/>
    </row>
    <row r="517" spans="17:66" x14ac:dyDescent="0.25">
      <c r="Q517" s="112"/>
      <c r="R517" s="112"/>
      <c r="S517" s="112"/>
      <c r="T517" s="112"/>
      <c r="U517" s="112"/>
      <c r="V517" s="112"/>
      <c r="W517" s="112"/>
      <c r="X517" s="112"/>
      <c r="Y517" s="112"/>
      <c r="Z517" s="112"/>
      <c r="AA517" s="112"/>
      <c r="AB517" s="112"/>
      <c r="AC517" s="112"/>
      <c r="AD517" s="112"/>
      <c r="AE517" s="112"/>
      <c r="AF517" s="112"/>
      <c r="AG517" s="112"/>
      <c r="AH517" s="112"/>
      <c r="AI517" s="112"/>
      <c r="AJ517" s="112"/>
      <c r="AK517" s="112"/>
      <c r="AL517" s="112"/>
      <c r="AP517" s="112"/>
      <c r="AQ517" s="112"/>
      <c r="AR517" s="112"/>
      <c r="AS517" s="112"/>
      <c r="AT517" s="112"/>
      <c r="AU517" s="112"/>
      <c r="AV517" s="112"/>
      <c r="AW517" s="112"/>
      <c r="AX517" s="112"/>
      <c r="AY517" s="112"/>
      <c r="BA517" s="112"/>
      <c r="BB517" s="112"/>
      <c r="BC517" s="112"/>
      <c r="BD517" s="112"/>
      <c r="BE517" s="112"/>
      <c r="BF517" s="112"/>
      <c r="BG517" s="112"/>
      <c r="BH517" s="112"/>
      <c r="BI517" s="112"/>
      <c r="BK517" s="112"/>
      <c r="BL517" s="112"/>
      <c r="BM517" s="112"/>
      <c r="BN517" s="112"/>
    </row>
    <row r="518" spans="17:66" x14ac:dyDescent="0.25">
      <c r="Q518" s="112"/>
      <c r="R518" s="112"/>
      <c r="S518" s="112"/>
      <c r="T518" s="112"/>
      <c r="U518" s="112"/>
      <c r="V518" s="112"/>
      <c r="W518" s="112"/>
      <c r="X518" s="112"/>
      <c r="Y518" s="112"/>
      <c r="Z518" s="112"/>
      <c r="AA518" s="112"/>
      <c r="AB518" s="112"/>
      <c r="AC518" s="112"/>
      <c r="AD518" s="112"/>
      <c r="AE518" s="112"/>
      <c r="AF518" s="112"/>
      <c r="AG518" s="112"/>
      <c r="AH518" s="112"/>
      <c r="AI518" s="112"/>
      <c r="AJ518" s="112"/>
      <c r="AK518" s="112"/>
      <c r="AL518" s="112"/>
      <c r="AP518" s="112"/>
      <c r="AQ518" s="112"/>
      <c r="AR518" s="112"/>
      <c r="AS518" s="112"/>
      <c r="AT518" s="112"/>
      <c r="AU518" s="112"/>
      <c r="AV518" s="112"/>
      <c r="AW518" s="112"/>
      <c r="AX518" s="112"/>
      <c r="AY518" s="112"/>
      <c r="BA518" s="112"/>
      <c r="BB518" s="112"/>
      <c r="BC518" s="112"/>
      <c r="BD518" s="112"/>
      <c r="BE518" s="112"/>
      <c r="BF518" s="112"/>
      <c r="BG518" s="112"/>
      <c r="BH518" s="112"/>
      <c r="BI518" s="112"/>
      <c r="BK518" s="112"/>
      <c r="BL518" s="112"/>
      <c r="BM518" s="112"/>
      <c r="BN518" s="112"/>
    </row>
    <row r="519" spans="17:66" x14ac:dyDescent="0.25">
      <c r="Q519" s="112"/>
      <c r="R519" s="112"/>
      <c r="S519" s="112"/>
      <c r="T519" s="112"/>
      <c r="U519" s="112"/>
      <c r="V519" s="112"/>
      <c r="W519" s="112"/>
      <c r="X519" s="112"/>
      <c r="Y519" s="112"/>
      <c r="Z519" s="112"/>
      <c r="AA519" s="112"/>
      <c r="AB519" s="112"/>
      <c r="AC519" s="112"/>
      <c r="AD519" s="112"/>
      <c r="AE519" s="112"/>
      <c r="AF519" s="112"/>
      <c r="AG519" s="112"/>
      <c r="AH519" s="112"/>
      <c r="AI519" s="112"/>
      <c r="AJ519" s="112"/>
      <c r="AK519" s="112"/>
      <c r="AL519" s="112"/>
      <c r="AP519" s="112"/>
      <c r="AQ519" s="112"/>
      <c r="AR519" s="112"/>
      <c r="AS519" s="112"/>
      <c r="AT519" s="112"/>
      <c r="AU519" s="112"/>
      <c r="AV519" s="112"/>
      <c r="AW519" s="112"/>
      <c r="AX519" s="112"/>
      <c r="AY519" s="112"/>
      <c r="BA519" s="112"/>
      <c r="BB519" s="112"/>
      <c r="BC519" s="112"/>
      <c r="BD519" s="112"/>
      <c r="BE519" s="112"/>
      <c r="BF519" s="112"/>
      <c r="BG519" s="112"/>
      <c r="BH519" s="112"/>
      <c r="BI519" s="112"/>
      <c r="BK519" s="112"/>
      <c r="BL519" s="112"/>
      <c r="BM519" s="112"/>
      <c r="BN519" s="112"/>
    </row>
    <row r="520" spans="17:66" x14ac:dyDescent="0.25">
      <c r="Q520" s="112"/>
      <c r="R520" s="112"/>
      <c r="S520" s="112"/>
      <c r="T520" s="112"/>
      <c r="U520" s="112"/>
      <c r="V520" s="112"/>
      <c r="W520" s="112"/>
      <c r="X520" s="112"/>
      <c r="Y520" s="112"/>
      <c r="Z520" s="112"/>
      <c r="AA520" s="112"/>
      <c r="AB520" s="112"/>
      <c r="AC520" s="112"/>
      <c r="AD520" s="112"/>
      <c r="AE520" s="112"/>
      <c r="AF520" s="112"/>
      <c r="AG520" s="112"/>
      <c r="AH520" s="112"/>
      <c r="AI520" s="112"/>
      <c r="AJ520" s="112"/>
      <c r="AK520" s="112"/>
      <c r="AL520" s="112"/>
      <c r="AP520" s="112"/>
      <c r="AQ520" s="112"/>
      <c r="AR520" s="112"/>
      <c r="AS520" s="112"/>
      <c r="AT520" s="112"/>
      <c r="AU520" s="112"/>
      <c r="AV520" s="112"/>
      <c r="AW520" s="112"/>
      <c r="AX520" s="112"/>
      <c r="AY520" s="112"/>
      <c r="BA520" s="112"/>
      <c r="BB520" s="112"/>
      <c r="BC520" s="112"/>
      <c r="BD520" s="112"/>
      <c r="BE520" s="112"/>
      <c r="BF520" s="112"/>
      <c r="BG520" s="112"/>
      <c r="BH520" s="112"/>
      <c r="BI520" s="112"/>
      <c r="BK520" s="112"/>
      <c r="BL520" s="112"/>
      <c r="BM520" s="112"/>
      <c r="BN520" s="112"/>
    </row>
    <row r="521" spans="17:66" x14ac:dyDescent="0.25">
      <c r="Q521" s="112"/>
      <c r="R521" s="112"/>
      <c r="S521" s="112"/>
      <c r="T521" s="112"/>
      <c r="U521" s="112"/>
      <c r="V521" s="112"/>
      <c r="W521" s="112"/>
      <c r="X521" s="112"/>
      <c r="Y521" s="112"/>
      <c r="Z521" s="112"/>
      <c r="AA521" s="112"/>
      <c r="AB521" s="112"/>
      <c r="AC521" s="112"/>
      <c r="AD521" s="112"/>
      <c r="AE521" s="112"/>
      <c r="AF521" s="112"/>
      <c r="AG521" s="112"/>
      <c r="AH521" s="112"/>
      <c r="AI521" s="112"/>
      <c r="AJ521" s="112"/>
      <c r="AK521" s="112"/>
      <c r="AL521" s="112"/>
      <c r="AP521" s="112"/>
      <c r="AQ521" s="112"/>
      <c r="AR521" s="112"/>
      <c r="AS521" s="112"/>
      <c r="AT521" s="112"/>
      <c r="AU521" s="112"/>
      <c r="AV521" s="112"/>
      <c r="AW521" s="112"/>
      <c r="AX521" s="112"/>
      <c r="AY521" s="112"/>
      <c r="BA521" s="112"/>
      <c r="BB521" s="112"/>
      <c r="BC521" s="112"/>
      <c r="BD521" s="112"/>
      <c r="BE521" s="112"/>
      <c r="BF521" s="112"/>
      <c r="BG521" s="112"/>
      <c r="BH521" s="112"/>
      <c r="BI521" s="112"/>
      <c r="BK521" s="112"/>
      <c r="BL521" s="112"/>
      <c r="BM521" s="112"/>
      <c r="BN521" s="112"/>
    </row>
    <row r="522" spans="17:66" x14ac:dyDescent="0.25">
      <c r="Q522" s="112"/>
      <c r="R522" s="112"/>
      <c r="S522" s="112"/>
      <c r="T522" s="112"/>
      <c r="U522" s="112"/>
      <c r="V522" s="112"/>
      <c r="W522" s="112"/>
      <c r="X522" s="112"/>
      <c r="Y522" s="112"/>
      <c r="Z522" s="112"/>
      <c r="AA522" s="112"/>
      <c r="AB522" s="112"/>
      <c r="AC522" s="112"/>
      <c r="AD522" s="112"/>
      <c r="AE522" s="112"/>
      <c r="AF522" s="112"/>
      <c r="AG522" s="112"/>
      <c r="AH522" s="112"/>
      <c r="AI522" s="112"/>
      <c r="AJ522" s="112"/>
      <c r="AK522" s="112"/>
      <c r="AL522" s="112"/>
      <c r="AP522" s="112"/>
      <c r="AQ522" s="112"/>
      <c r="AR522" s="112"/>
      <c r="AS522" s="112"/>
      <c r="AT522" s="112"/>
      <c r="AU522" s="112"/>
      <c r="AV522" s="112"/>
      <c r="AW522" s="112"/>
      <c r="AX522" s="112"/>
      <c r="AY522" s="112"/>
      <c r="BA522" s="112"/>
      <c r="BB522" s="112"/>
      <c r="BC522" s="112"/>
      <c r="BD522" s="112"/>
      <c r="BE522" s="112"/>
      <c r="BF522" s="112"/>
      <c r="BG522" s="112"/>
      <c r="BH522" s="112"/>
      <c r="BI522" s="112"/>
      <c r="BK522" s="112"/>
      <c r="BL522" s="112"/>
      <c r="BM522" s="112"/>
      <c r="BN522" s="112"/>
    </row>
    <row r="523" spans="17:66" x14ac:dyDescent="0.25">
      <c r="Q523" s="112"/>
      <c r="R523" s="112"/>
      <c r="S523" s="112"/>
      <c r="T523" s="112"/>
      <c r="U523" s="112"/>
      <c r="V523" s="112"/>
      <c r="W523" s="112"/>
      <c r="X523" s="112"/>
      <c r="Y523" s="112"/>
      <c r="Z523" s="112"/>
      <c r="AA523" s="112"/>
      <c r="AB523" s="112"/>
      <c r="AC523" s="112"/>
      <c r="AD523" s="112"/>
      <c r="AE523" s="112"/>
      <c r="AF523" s="112"/>
      <c r="AG523" s="112"/>
      <c r="AH523" s="112"/>
      <c r="AI523" s="112"/>
      <c r="AJ523" s="112"/>
      <c r="AK523" s="112"/>
      <c r="AL523" s="112"/>
      <c r="AP523" s="112"/>
      <c r="AQ523" s="112"/>
      <c r="AR523" s="112"/>
      <c r="AS523" s="112"/>
      <c r="AT523" s="112"/>
      <c r="AU523" s="112"/>
      <c r="AV523" s="112"/>
      <c r="AW523" s="112"/>
      <c r="AX523" s="112"/>
      <c r="AY523" s="112"/>
      <c r="BA523" s="112"/>
      <c r="BB523" s="112"/>
      <c r="BC523" s="112"/>
      <c r="BD523" s="112"/>
      <c r="BE523" s="112"/>
      <c r="BF523" s="112"/>
      <c r="BG523" s="112"/>
      <c r="BH523" s="112"/>
      <c r="BI523" s="112"/>
      <c r="BK523" s="112"/>
      <c r="BL523" s="112"/>
      <c r="BM523" s="112"/>
      <c r="BN523" s="112"/>
    </row>
    <row r="524" spans="17:66" x14ac:dyDescent="0.25">
      <c r="Q524" s="112"/>
      <c r="R524" s="112"/>
      <c r="S524" s="112"/>
      <c r="T524" s="112"/>
      <c r="U524" s="112"/>
      <c r="V524" s="112"/>
      <c r="W524" s="112"/>
      <c r="X524" s="112"/>
      <c r="Y524" s="112"/>
      <c r="Z524" s="112"/>
      <c r="AA524" s="112"/>
      <c r="AB524" s="112"/>
      <c r="AC524" s="112"/>
      <c r="AD524" s="112"/>
      <c r="AE524" s="112"/>
      <c r="AF524" s="112"/>
      <c r="AG524" s="112"/>
      <c r="AH524" s="112"/>
      <c r="AI524" s="112"/>
      <c r="AJ524" s="112"/>
      <c r="AK524" s="112"/>
      <c r="AL524" s="112"/>
      <c r="AP524" s="112"/>
      <c r="AQ524" s="112"/>
      <c r="AR524" s="112"/>
      <c r="AS524" s="112"/>
      <c r="AT524" s="112"/>
      <c r="AU524" s="112"/>
      <c r="AV524" s="112"/>
      <c r="AW524" s="112"/>
      <c r="AX524" s="112"/>
      <c r="AY524" s="112"/>
      <c r="BA524" s="112"/>
      <c r="BB524" s="112"/>
      <c r="BC524" s="112"/>
      <c r="BD524" s="112"/>
      <c r="BE524" s="112"/>
      <c r="BF524" s="112"/>
      <c r="BG524" s="112"/>
      <c r="BH524" s="112"/>
      <c r="BI524" s="112"/>
      <c r="BK524" s="112"/>
      <c r="BL524" s="112"/>
      <c r="BM524" s="112"/>
      <c r="BN524" s="112"/>
    </row>
    <row r="525" spans="17:66" x14ac:dyDescent="0.25">
      <c r="Q525" s="112"/>
      <c r="R525" s="112"/>
      <c r="S525" s="112"/>
      <c r="T525" s="112"/>
      <c r="U525" s="112"/>
      <c r="V525" s="112"/>
      <c r="W525" s="112"/>
      <c r="X525" s="112"/>
      <c r="Y525" s="112"/>
      <c r="Z525" s="112"/>
      <c r="AA525" s="112"/>
      <c r="AB525" s="112"/>
      <c r="AC525" s="112"/>
      <c r="AD525" s="112"/>
      <c r="AE525" s="112"/>
      <c r="AF525" s="112"/>
      <c r="AG525" s="112"/>
      <c r="AH525" s="112"/>
      <c r="AI525" s="112"/>
      <c r="AJ525" s="112"/>
      <c r="AK525" s="112"/>
      <c r="AL525" s="112"/>
      <c r="AP525" s="112"/>
      <c r="AQ525" s="112"/>
      <c r="AR525" s="112"/>
      <c r="AS525" s="112"/>
      <c r="AT525" s="112"/>
      <c r="AU525" s="112"/>
      <c r="AV525" s="112"/>
      <c r="AW525" s="112"/>
      <c r="AX525" s="112"/>
      <c r="AY525" s="112"/>
      <c r="BA525" s="112"/>
      <c r="BB525" s="112"/>
      <c r="BC525" s="112"/>
      <c r="BD525" s="112"/>
      <c r="BE525" s="112"/>
      <c r="BF525" s="112"/>
      <c r="BG525" s="112"/>
      <c r="BH525" s="112"/>
      <c r="BI525" s="112"/>
      <c r="BK525" s="112"/>
      <c r="BL525" s="112"/>
      <c r="BM525" s="112"/>
      <c r="BN525" s="112"/>
    </row>
    <row r="526" spans="17:66" x14ac:dyDescent="0.25">
      <c r="Q526" s="112"/>
      <c r="R526" s="112"/>
      <c r="S526" s="112"/>
      <c r="T526" s="112"/>
      <c r="U526" s="112"/>
      <c r="V526" s="112"/>
      <c r="W526" s="112"/>
      <c r="X526" s="112"/>
      <c r="Y526" s="112"/>
      <c r="Z526" s="112"/>
      <c r="AA526" s="112"/>
      <c r="AB526" s="112"/>
      <c r="AC526" s="112"/>
      <c r="AD526" s="112"/>
      <c r="AE526" s="112"/>
      <c r="AF526" s="112"/>
      <c r="AG526" s="112"/>
      <c r="AH526" s="112"/>
      <c r="AI526" s="112"/>
      <c r="AJ526" s="112"/>
      <c r="AK526" s="112"/>
      <c r="AL526" s="112"/>
      <c r="AP526" s="112"/>
      <c r="AQ526" s="112"/>
      <c r="AR526" s="112"/>
      <c r="AS526" s="112"/>
      <c r="AT526" s="112"/>
      <c r="AU526" s="112"/>
      <c r="AV526" s="112"/>
      <c r="AW526" s="112"/>
      <c r="AX526" s="112"/>
      <c r="AY526" s="112"/>
      <c r="BA526" s="112"/>
      <c r="BB526" s="112"/>
      <c r="BC526" s="112"/>
      <c r="BD526" s="112"/>
      <c r="BE526" s="112"/>
      <c r="BF526" s="112"/>
      <c r="BG526" s="112"/>
      <c r="BH526" s="112"/>
      <c r="BI526" s="112"/>
      <c r="BK526" s="112"/>
      <c r="BL526" s="112"/>
      <c r="BM526" s="112"/>
      <c r="BN526" s="112"/>
    </row>
    <row r="527" spans="17:66" x14ac:dyDescent="0.25">
      <c r="Q527" s="112"/>
      <c r="R527" s="112"/>
      <c r="S527" s="112"/>
      <c r="T527" s="112"/>
      <c r="U527" s="112"/>
      <c r="V527" s="112"/>
      <c r="W527" s="112"/>
      <c r="X527" s="112"/>
      <c r="Y527" s="112"/>
      <c r="Z527" s="112"/>
      <c r="AA527" s="112"/>
      <c r="AB527" s="112"/>
      <c r="AC527" s="112"/>
      <c r="AD527" s="112"/>
      <c r="AE527" s="112"/>
      <c r="AF527" s="112"/>
      <c r="AG527" s="112"/>
      <c r="AH527" s="112"/>
      <c r="AI527" s="112"/>
      <c r="AJ527" s="112"/>
      <c r="AK527" s="112"/>
      <c r="AL527" s="112"/>
      <c r="AP527" s="112"/>
      <c r="AQ527" s="112"/>
      <c r="AR527" s="112"/>
      <c r="AS527" s="112"/>
      <c r="AT527" s="112"/>
      <c r="AU527" s="112"/>
      <c r="AV527" s="112"/>
      <c r="AW527" s="112"/>
      <c r="AX527" s="112"/>
      <c r="AY527" s="112"/>
      <c r="BA527" s="112"/>
      <c r="BB527" s="112"/>
      <c r="BC527" s="112"/>
      <c r="BD527" s="112"/>
      <c r="BE527" s="112"/>
      <c r="BF527" s="112"/>
      <c r="BG527" s="112"/>
      <c r="BH527" s="112"/>
      <c r="BI527" s="112"/>
      <c r="BK527" s="112"/>
      <c r="BL527" s="112"/>
      <c r="BM527" s="112"/>
      <c r="BN527" s="112"/>
    </row>
    <row r="528" spans="17:66" x14ac:dyDescent="0.25">
      <c r="Q528" s="112"/>
      <c r="R528" s="112"/>
      <c r="S528" s="112"/>
      <c r="T528" s="112"/>
      <c r="U528" s="112"/>
      <c r="V528" s="112"/>
      <c r="W528" s="112"/>
      <c r="X528" s="112"/>
      <c r="Y528" s="112"/>
      <c r="Z528" s="112"/>
      <c r="AA528" s="112"/>
      <c r="AB528" s="112"/>
      <c r="AC528" s="112"/>
      <c r="AD528" s="112"/>
      <c r="AE528" s="112"/>
      <c r="AF528" s="112"/>
      <c r="AG528" s="112"/>
      <c r="AH528" s="112"/>
      <c r="AI528" s="112"/>
      <c r="AJ528" s="112"/>
      <c r="AK528" s="112"/>
      <c r="AL528" s="112"/>
      <c r="AP528" s="112"/>
      <c r="AQ528" s="112"/>
      <c r="AR528" s="112"/>
      <c r="AS528" s="112"/>
      <c r="AT528" s="112"/>
      <c r="AU528" s="112"/>
      <c r="AV528" s="112"/>
      <c r="AW528" s="112"/>
      <c r="AX528" s="112"/>
      <c r="AY528" s="112"/>
      <c r="BA528" s="112"/>
      <c r="BB528" s="112"/>
      <c r="BC528" s="112"/>
      <c r="BD528" s="112"/>
      <c r="BE528" s="112"/>
      <c r="BF528" s="112"/>
      <c r="BG528" s="112"/>
      <c r="BH528" s="112"/>
      <c r="BI528" s="112"/>
      <c r="BK528" s="112"/>
      <c r="BL528" s="112"/>
      <c r="BM528" s="112"/>
      <c r="BN528" s="112"/>
    </row>
    <row r="529" spans="17:66" x14ac:dyDescent="0.25">
      <c r="Q529" s="112"/>
      <c r="R529" s="112"/>
      <c r="S529" s="112"/>
      <c r="T529" s="112"/>
      <c r="U529" s="112"/>
      <c r="V529" s="112"/>
      <c r="W529" s="112"/>
      <c r="X529" s="112"/>
      <c r="Y529" s="112"/>
      <c r="Z529" s="112"/>
      <c r="AA529" s="112"/>
      <c r="AB529" s="112"/>
      <c r="AC529" s="112"/>
      <c r="AD529" s="112"/>
      <c r="AE529" s="112"/>
      <c r="AF529" s="112"/>
      <c r="AG529" s="112"/>
      <c r="AH529" s="112"/>
      <c r="AI529" s="112"/>
      <c r="AJ529" s="112"/>
      <c r="AK529" s="112"/>
      <c r="AL529" s="112"/>
      <c r="AP529" s="112"/>
      <c r="AQ529" s="112"/>
      <c r="AR529" s="112"/>
      <c r="AS529" s="112"/>
      <c r="AT529" s="112"/>
      <c r="AU529" s="112"/>
      <c r="AV529" s="112"/>
      <c r="AW529" s="112"/>
      <c r="AX529" s="112"/>
      <c r="AY529" s="112"/>
      <c r="BA529" s="112"/>
      <c r="BB529" s="112"/>
      <c r="BC529" s="112"/>
      <c r="BD529" s="112"/>
      <c r="BE529" s="112"/>
      <c r="BF529" s="112"/>
      <c r="BG529" s="112"/>
      <c r="BH529" s="112"/>
      <c r="BI529" s="112"/>
      <c r="BK529" s="112"/>
      <c r="BL529" s="112"/>
      <c r="BM529" s="112"/>
      <c r="BN529" s="112"/>
    </row>
    <row r="530" spans="17:66" x14ac:dyDescent="0.25">
      <c r="Q530" s="112"/>
      <c r="R530" s="112"/>
      <c r="S530" s="112"/>
      <c r="T530" s="112"/>
      <c r="U530" s="112"/>
      <c r="V530" s="112"/>
      <c r="W530" s="112"/>
      <c r="X530" s="112"/>
      <c r="Y530" s="112"/>
      <c r="Z530" s="112"/>
      <c r="AA530" s="112"/>
      <c r="AB530" s="112"/>
      <c r="AC530" s="112"/>
      <c r="AD530" s="112"/>
      <c r="AE530" s="112"/>
      <c r="AF530" s="112"/>
      <c r="AG530" s="112"/>
      <c r="AH530" s="112"/>
      <c r="AI530" s="112"/>
      <c r="AJ530" s="112"/>
      <c r="AK530" s="112"/>
      <c r="AL530" s="112"/>
      <c r="AP530" s="112"/>
      <c r="AQ530" s="112"/>
      <c r="AR530" s="112"/>
      <c r="AS530" s="112"/>
      <c r="AT530" s="112"/>
      <c r="AU530" s="112"/>
      <c r="AV530" s="112"/>
      <c r="AW530" s="112"/>
      <c r="AX530" s="112"/>
      <c r="AY530" s="112"/>
      <c r="BA530" s="112"/>
      <c r="BB530" s="112"/>
      <c r="BC530" s="112"/>
      <c r="BD530" s="112"/>
      <c r="BE530" s="112"/>
      <c r="BF530" s="112"/>
      <c r="BG530" s="112"/>
      <c r="BH530" s="112"/>
      <c r="BI530" s="112"/>
      <c r="BK530" s="112"/>
      <c r="BL530" s="112"/>
      <c r="BM530" s="112"/>
      <c r="BN530" s="112"/>
    </row>
    <row r="531" spans="17:66" x14ac:dyDescent="0.25">
      <c r="Q531" s="112"/>
      <c r="R531" s="112"/>
      <c r="S531" s="112"/>
      <c r="T531" s="112"/>
      <c r="U531" s="112"/>
      <c r="V531" s="112"/>
      <c r="W531" s="112"/>
      <c r="X531" s="112"/>
      <c r="Y531" s="112"/>
      <c r="Z531" s="112"/>
      <c r="AA531" s="112"/>
      <c r="AB531" s="112"/>
      <c r="AC531" s="112"/>
      <c r="AD531" s="112"/>
      <c r="AE531" s="112"/>
      <c r="AF531" s="112"/>
      <c r="AG531" s="112"/>
      <c r="AH531" s="112"/>
      <c r="AI531" s="112"/>
      <c r="AJ531" s="112"/>
      <c r="AK531" s="112"/>
      <c r="AL531" s="112"/>
      <c r="AP531" s="112"/>
      <c r="AQ531" s="112"/>
      <c r="AR531" s="112"/>
      <c r="AS531" s="112"/>
      <c r="AT531" s="112"/>
      <c r="AU531" s="112"/>
      <c r="AV531" s="112"/>
      <c r="AW531" s="112"/>
      <c r="AX531" s="112"/>
      <c r="AY531" s="112"/>
      <c r="BA531" s="112"/>
      <c r="BB531" s="112"/>
      <c r="BC531" s="112"/>
      <c r="BD531" s="112"/>
      <c r="BE531" s="112"/>
      <c r="BF531" s="112"/>
      <c r="BG531" s="112"/>
      <c r="BH531" s="112"/>
      <c r="BI531" s="112"/>
      <c r="BK531" s="112"/>
      <c r="BL531" s="112"/>
      <c r="BM531" s="112"/>
      <c r="BN531" s="112"/>
    </row>
    <row r="532" spans="17:66" x14ac:dyDescent="0.25">
      <c r="Q532" s="112"/>
      <c r="R532" s="112"/>
      <c r="S532" s="112"/>
      <c r="T532" s="112"/>
      <c r="U532" s="112"/>
      <c r="V532" s="112"/>
      <c r="W532" s="112"/>
      <c r="X532" s="112"/>
      <c r="Y532" s="112"/>
      <c r="Z532" s="112"/>
      <c r="AA532" s="112"/>
      <c r="AB532" s="112"/>
      <c r="AC532" s="112"/>
      <c r="AD532" s="112"/>
      <c r="AE532" s="112"/>
      <c r="AF532" s="112"/>
      <c r="AG532" s="112"/>
      <c r="AH532" s="112"/>
      <c r="AI532" s="112"/>
      <c r="AJ532" s="112"/>
      <c r="AK532" s="112"/>
      <c r="AL532" s="112"/>
      <c r="AP532" s="112"/>
      <c r="AQ532" s="112"/>
      <c r="AR532" s="112"/>
      <c r="AS532" s="112"/>
      <c r="AT532" s="112"/>
      <c r="AU532" s="112"/>
      <c r="AV532" s="112"/>
      <c r="AW532" s="112"/>
      <c r="AX532" s="112"/>
      <c r="AY532" s="112"/>
      <c r="BA532" s="112"/>
      <c r="BB532" s="112"/>
      <c r="BC532" s="112"/>
      <c r="BD532" s="112"/>
      <c r="BE532" s="112"/>
      <c r="BF532" s="112"/>
      <c r="BG532" s="112"/>
      <c r="BH532" s="112"/>
      <c r="BI532" s="112"/>
      <c r="BK532" s="112"/>
      <c r="BL532" s="112"/>
      <c r="BM532" s="112"/>
      <c r="BN532" s="112"/>
    </row>
    <row r="533" spans="17:66" x14ac:dyDescent="0.25">
      <c r="Q533" s="112"/>
      <c r="R533" s="112"/>
      <c r="S533" s="112"/>
      <c r="T533" s="112"/>
      <c r="U533" s="112"/>
      <c r="V533" s="112"/>
      <c r="W533" s="112"/>
      <c r="X533" s="112"/>
      <c r="Y533" s="112"/>
      <c r="Z533" s="112"/>
      <c r="AA533" s="112"/>
      <c r="AB533" s="112"/>
      <c r="AC533" s="112"/>
      <c r="AD533" s="112"/>
      <c r="AE533" s="112"/>
      <c r="AF533" s="112"/>
      <c r="AG533" s="112"/>
      <c r="AH533" s="112"/>
      <c r="AI533" s="112"/>
      <c r="AJ533" s="112"/>
      <c r="AK533" s="112"/>
      <c r="AL533" s="112"/>
      <c r="AP533" s="112"/>
      <c r="AQ533" s="112"/>
      <c r="AR533" s="112"/>
      <c r="AS533" s="112"/>
      <c r="AT533" s="112"/>
      <c r="AU533" s="112"/>
      <c r="AV533" s="112"/>
      <c r="AW533" s="112"/>
      <c r="AX533" s="112"/>
      <c r="AY533" s="112"/>
      <c r="BA533" s="112"/>
      <c r="BB533" s="112"/>
      <c r="BC533" s="112"/>
      <c r="BD533" s="112"/>
      <c r="BE533" s="112"/>
      <c r="BF533" s="112"/>
      <c r="BG533" s="112"/>
      <c r="BH533" s="112"/>
      <c r="BI533" s="112"/>
      <c r="BK533" s="112"/>
      <c r="BL533" s="112"/>
      <c r="BM533" s="112"/>
      <c r="BN533" s="112"/>
    </row>
    <row r="534" spans="17:66" x14ac:dyDescent="0.25">
      <c r="Q534" s="112"/>
      <c r="R534" s="112"/>
      <c r="S534" s="112"/>
      <c r="T534" s="112"/>
      <c r="U534" s="112"/>
      <c r="V534" s="112"/>
      <c r="W534" s="112"/>
      <c r="X534" s="112"/>
      <c r="Y534" s="112"/>
      <c r="Z534" s="112"/>
      <c r="AA534" s="112"/>
      <c r="AB534" s="112"/>
      <c r="AC534" s="112"/>
      <c r="AD534" s="112"/>
      <c r="AE534" s="112"/>
      <c r="AF534" s="112"/>
      <c r="AG534" s="112"/>
      <c r="AH534" s="112"/>
      <c r="AI534" s="112"/>
      <c r="AJ534" s="112"/>
      <c r="AK534" s="112"/>
      <c r="AL534" s="112"/>
      <c r="AP534" s="112"/>
      <c r="AQ534" s="112"/>
      <c r="AR534" s="112"/>
      <c r="AS534" s="112"/>
      <c r="AT534" s="112"/>
      <c r="AU534" s="112"/>
      <c r="AV534" s="112"/>
      <c r="AW534" s="112"/>
      <c r="AX534" s="112"/>
      <c r="AY534" s="112"/>
      <c r="BA534" s="112"/>
      <c r="BB534" s="112"/>
      <c r="BC534" s="112"/>
      <c r="BD534" s="112"/>
      <c r="BE534" s="112"/>
      <c r="BF534" s="112"/>
      <c r="BG534" s="112"/>
      <c r="BH534" s="112"/>
      <c r="BI534" s="112"/>
      <c r="BK534" s="112"/>
      <c r="BL534" s="112"/>
      <c r="BM534" s="112"/>
      <c r="BN534" s="112"/>
    </row>
    <row r="535" spans="17:66" x14ac:dyDescent="0.25">
      <c r="Q535" s="112"/>
      <c r="R535" s="112"/>
      <c r="S535" s="112"/>
      <c r="T535" s="112"/>
      <c r="U535" s="112"/>
      <c r="V535" s="112"/>
      <c r="W535" s="112"/>
      <c r="X535" s="112"/>
      <c r="Y535" s="112"/>
      <c r="Z535" s="112"/>
      <c r="AA535" s="112"/>
      <c r="AB535" s="112"/>
      <c r="AC535" s="112"/>
      <c r="AD535" s="112"/>
      <c r="AE535" s="112"/>
      <c r="AF535" s="112"/>
      <c r="AG535" s="112"/>
      <c r="AH535" s="112"/>
      <c r="AI535" s="112"/>
      <c r="AJ535" s="112"/>
      <c r="AK535" s="112"/>
      <c r="AL535" s="112"/>
      <c r="AP535" s="112"/>
      <c r="AQ535" s="112"/>
      <c r="AR535" s="112"/>
      <c r="AS535" s="112"/>
      <c r="AT535" s="112"/>
      <c r="AU535" s="112"/>
      <c r="AV535" s="112"/>
      <c r="AW535" s="112"/>
      <c r="AX535" s="112"/>
      <c r="AY535" s="112"/>
      <c r="BA535" s="112"/>
      <c r="BB535" s="112"/>
      <c r="BC535" s="112"/>
      <c r="BD535" s="112"/>
      <c r="BE535" s="112"/>
      <c r="BF535" s="112"/>
      <c r="BG535" s="112"/>
      <c r="BH535" s="112"/>
      <c r="BI535" s="112"/>
      <c r="BK535" s="112"/>
      <c r="BL535" s="112"/>
      <c r="BM535" s="112"/>
      <c r="BN535" s="112"/>
    </row>
    <row r="536" spans="17:66" x14ac:dyDescent="0.25">
      <c r="Q536" s="112"/>
      <c r="R536" s="112"/>
      <c r="S536" s="112"/>
      <c r="T536" s="112"/>
      <c r="U536" s="112"/>
      <c r="V536" s="112"/>
      <c r="W536" s="112"/>
      <c r="X536" s="112"/>
      <c r="Y536" s="112"/>
      <c r="Z536" s="112"/>
      <c r="AA536" s="112"/>
      <c r="AB536" s="112"/>
      <c r="AC536" s="112"/>
      <c r="AD536" s="112"/>
      <c r="AE536" s="112"/>
      <c r="AF536" s="112"/>
      <c r="AG536" s="112"/>
      <c r="AH536" s="112"/>
      <c r="AI536" s="112"/>
      <c r="AJ536" s="112"/>
      <c r="AK536" s="112"/>
      <c r="AL536" s="112"/>
      <c r="AP536" s="112"/>
      <c r="AQ536" s="112"/>
      <c r="AR536" s="112"/>
      <c r="AS536" s="112"/>
      <c r="AT536" s="112"/>
      <c r="AU536" s="112"/>
      <c r="AV536" s="112"/>
      <c r="AW536" s="112"/>
      <c r="AX536" s="112"/>
      <c r="AY536" s="112"/>
      <c r="BA536" s="112"/>
      <c r="BB536" s="112"/>
      <c r="BC536" s="112"/>
      <c r="BD536" s="112"/>
      <c r="BE536" s="112"/>
      <c r="BF536" s="112"/>
      <c r="BG536" s="112"/>
      <c r="BH536" s="112"/>
      <c r="BI536" s="112"/>
      <c r="BK536" s="112"/>
      <c r="BL536" s="112"/>
      <c r="BM536" s="112"/>
      <c r="BN536" s="112"/>
    </row>
    <row r="537" spans="17:66" x14ac:dyDescent="0.25">
      <c r="Q537" s="112"/>
      <c r="R537" s="112"/>
      <c r="S537" s="112"/>
      <c r="T537" s="112"/>
      <c r="U537" s="112"/>
      <c r="V537" s="112"/>
      <c r="W537" s="112"/>
      <c r="X537" s="112"/>
      <c r="Y537" s="112"/>
      <c r="Z537" s="112"/>
      <c r="AA537" s="112"/>
      <c r="AB537" s="112"/>
      <c r="AC537" s="112"/>
      <c r="AD537" s="112"/>
      <c r="AE537" s="112"/>
      <c r="AF537" s="112"/>
      <c r="AG537" s="112"/>
      <c r="AH537" s="112"/>
      <c r="AI537" s="112"/>
      <c r="AJ537" s="112"/>
      <c r="AK537" s="112"/>
      <c r="AL537" s="112"/>
      <c r="AP537" s="112"/>
      <c r="AQ537" s="112"/>
      <c r="AR537" s="112"/>
      <c r="AS537" s="112"/>
      <c r="AT537" s="112"/>
      <c r="AU537" s="112"/>
      <c r="AV537" s="112"/>
      <c r="AW537" s="112"/>
      <c r="AX537" s="112"/>
      <c r="AY537" s="112"/>
      <c r="BA537" s="112"/>
      <c r="BB537" s="112"/>
      <c r="BC537" s="112"/>
      <c r="BD537" s="112"/>
      <c r="BE537" s="112"/>
      <c r="BF537" s="112"/>
      <c r="BG537" s="112"/>
      <c r="BH537" s="112"/>
      <c r="BI537" s="112"/>
      <c r="BK537" s="112"/>
      <c r="BL537" s="112"/>
      <c r="BM537" s="112"/>
      <c r="BN537" s="112"/>
    </row>
    <row r="538" spans="17:66" x14ac:dyDescent="0.25">
      <c r="Q538" s="112"/>
      <c r="R538" s="112"/>
      <c r="S538" s="112"/>
      <c r="T538" s="112"/>
      <c r="U538" s="112"/>
      <c r="V538" s="112"/>
      <c r="W538" s="112"/>
      <c r="X538" s="112"/>
      <c r="Y538" s="112"/>
      <c r="Z538" s="112"/>
      <c r="AA538" s="112"/>
      <c r="AB538" s="112"/>
      <c r="AC538" s="112"/>
      <c r="AD538" s="112"/>
      <c r="AE538" s="112"/>
      <c r="AF538" s="112"/>
      <c r="AG538" s="112"/>
      <c r="AH538" s="112"/>
      <c r="AI538" s="112"/>
      <c r="AJ538" s="112"/>
      <c r="AK538" s="112"/>
      <c r="AL538" s="112"/>
      <c r="AP538" s="112"/>
      <c r="AQ538" s="112"/>
      <c r="AR538" s="112"/>
      <c r="AS538" s="112"/>
      <c r="AT538" s="112"/>
      <c r="AU538" s="112"/>
      <c r="AV538" s="112"/>
      <c r="AW538" s="112"/>
      <c r="AX538" s="112"/>
      <c r="AY538" s="112"/>
      <c r="BA538" s="112"/>
      <c r="BB538" s="112"/>
      <c r="BC538" s="112"/>
      <c r="BD538" s="112"/>
      <c r="BE538" s="112"/>
      <c r="BF538" s="112"/>
      <c r="BG538" s="112"/>
      <c r="BH538" s="112"/>
      <c r="BI538" s="112"/>
      <c r="BK538" s="112"/>
      <c r="BL538" s="112"/>
      <c r="BM538" s="112"/>
      <c r="BN538" s="112"/>
    </row>
    <row r="539" spans="17:66" x14ac:dyDescent="0.25">
      <c r="Q539" s="112"/>
      <c r="R539" s="112"/>
      <c r="S539" s="112"/>
      <c r="T539" s="112"/>
      <c r="U539" s="112"/>
      <c r="V539" s="112"/>
      <c r="W539" s="112"/>
      <c r="X539" s="112"/>
      <c r="Y539" s="112"/>
      <c r="Z539" s="112"/>
      <c r="AA539" s="112"/>
      <c r="AB539" s="112"/>
      <c r="AC539" s="112"/>
      <c r="AD539" s="112"/>
      <c r="AE539" s="112"/>
      <c r="AF539" s="112"/>
      <c r="AG539" s="112"/>
      <c r="AH539" s="112"/>
      <c r="AI539" s="112"/>
      <c r="AJ539" s="112"/>
      <c r="AK539" s="112"/>
      <c r="AL539" s="112"/>
      <c r="AP539" s="112"/>
      <c r="AQ539" s="112"/>
      <c r="AR539" s="112"/>
      <c r="AS539" s="112"/>
      <c r="AT539" s="112"/>
      <c r="AU539" s="112"/>
      <c r="AV539" s="112"/>
      <c r="AW539" s="112"/>
      <c r="AX539" s="112"/>
      <c r="AY539" s="112"/>
      <c r="BA539" s="112"/>
      <c r="BB539" s="112"/>
      <c r="BC539" s="112"/>
      <c r="BD539" s="112"/>
      <c r="BE539" s="112"/>
      <c r="BF539" s="112"/>
      <c r="BG539" s="112"/>
      <c r="BH539" s="112"/>
      <c r="BI539" s="112"/>
      <c r="BK539" s="112"/>
      <c r="BL539" s="112"/>
      <c r="BM539" s="112"/>
      <c r="BN539" s="112"/>
    </row>
    <row r="540" spans="17:66" x14ac:dyDescent="0.25">
      <c r="Q540" s="112"/>
      <c r="R540" s="112"/>
      <c r="S540" s="112"/>
      <c r="T540" s="112"/>
      <c r="U540" s="112"/>
      <c r="V540" s="112"/>
      <c r="W540" s="112"/>
      <c r="X540" s="112"/>
      <c r="Y540" s="112"/>
      <c r="Z540" s="112"/>
      <c r="AA540" s="112"/>
      <c r="AB540" s="112"/>
      <c r="AC540" s="112"/>
      <c r="AD540" s="112"/>
      <c r="AE540" s="112"/>
      <c r="AF540" s="112"/>
      <c r="AG540" s="112"/>
      <c r="AH540" s="112"/>
      <c r="AI540" s="112"/>
      <c r="AJ540" s="112"/>
      <c r="AK540" s="112"/>
      <c r="AL540" s="112"/>
      <c r="AP540" s="112"/>
      <c r="AQ540" s="112"/>
      <c r="AR540" s="112"/>
      <c r="AS540" s="112"/>
      <c r="AT540" s="112"/>
      <c r="AU540" s="112"/>
      <c r="AV540" s="112"/>
      <c r="AW540" s="112"/>
      <c r="AX540" s="112"/>
      <c r="AY540" s="112"/>
      <c r="BA540" s="112"/>
      <c r="BB540" s="112"/>
      <c r="BC540" s="112"/>
      <c r="BD540" s="112"/>
      <c r="BE540" s="112"/>
      <c r="BF540" s="112"/>
      <c r="BG540" s="112"/>
      <c r="BH540" s="112"/>
      <c r="BI540" s="112"/>
      <c r="BK540" s="112"/>
      <c r="BL540" s="112"/>
      <c r="BM540" s="112"/>
      <c r="BN540" s="112"/>
    </row>
    <row r="541" spans="17:66" x14ac:dyDescent="0.25">
      <c r="Q541" s="112"/>
      <c r="R541" s="112"/>
      <c r="S541" s="112"/>
      <c r="T541" s="112"/>
      <c r="U541" s="112"/>
      <c r="V541" s="112"/>
      <c r="W541" s="112"/>
      <c r="X541" s="112"/>
      <c r="Y541" s="112"/>
      <c r="Z541" s="112"/>
      <c r="AA541" s="112"/>
      <c r="AB541" s="112"/>
      <c r="AC541" s="112"/>
      <c r="AD541" s="112"/>
      <c r="AE541" s="112"/>
      <c r="AF541" s="112"/>
      <c r="AG541" s="112"/>
      <c r="AH541" s="112"/>
      <c r="AI541" s="112"/>
      <c r="AJ541" s="112"/>
      <c r="AK541" s="112"/>
      <c r="AL541" s="112"/>
      <c r="AP541" s="112"/>
      <c r="AQ541" s="112"/>
      <c r="AR541" s="112"/>
      <c r="AS541" s="112"/>
      <c r="AT541" s="112"/>
      <c r="AU541" s="112"/>
      <c r="AV541" s="112"/>
      <c r="AW541" s="112"/>
      <c r="AX541" s="112"/>
      <c r="AY541" s="112"/>
      <c r="BA541" s="112"/>
      <c r="BB541" s="112"/>
      <c r="BC541" s="112"/>
      <c r="BD541" s="112"/>
      <c r="BE541" s="112"/>
      <c r="BF541" s="112"/>
      <c r="BG541" s="112"/>
      <c r="BH541" s="112"/>
      <c r="BI541" s="112"/>
      <c r="BK541" s="112"/>
      <c r="BL541" s="112"/>
      <c r="BM541" s="112"/>
      <c r="BN541" s="112"/>
    </row>
    <row r="542" spans="17:66" x14ac:dyDescent="0.25">
      <c r="Q542" s="112"/>
      <c r="R542" s="112"/>
      <c r="S542" s="112"/>
      <c r="T542" s="112"/>
      <c r="U542" s="112"/>
      <c r="V542" s="112"/>
      <c r="W542" s="112"/>
      <c r="X542" s="112"/>
      <c r="Y542" s="112"/>
      <c r="Z542" s="112"/>
      <c r="AA542" s="112"/>
      <c r="AB542" s="112"/>
      <c r="AC542" s="112"/>
      <c r="AD542" s="112"/>
      <c r="AE542" s="112"/>
      <c r="AF542" s="112"/>
      <c r="AG542" s="112"/>
      <c r="AH542" s="112"/>
      <c r="AI542" s="112"/>
      <c r="AJ542" s="112"/>
      <c r="AK542" s="112"/>
      <c r="AL542" s="112"/>
      <c r="AP542" s="112"/>
      <c r="AQ542" s="112"/>
      <c r="AR542" s="112"/>
      <c r="AS542" s="112"/>
      <c r="AT542" s="112"/>
      <c r="AU542" s="112"/>
      <c r="AV542" s="112"/>
      <c r="AW542" s="112"/>
      <c r="AX542" s="112"/>
      <c r="AY542" s="112"/>
      <c r="BA542" s="112"/>
      <c r="BB542" s="112"/>
      <c r="BC542" s="112"/>
      <c r="BD542" s="112"/>
      <c r="BE542" s="112"/>
      <c r="BF542" s="112"/>
      <c r="BG542" s="112"/>
      <c r="BH542" s="112"/>
      <c r="BI542" s="112"/>
      <c r="BK542" s="112"/>
      <c r="BL542" s="112"/>
      <c r="BM542" s="112"/>
      <c r="BN542" s="112"/>
    </row>
    <row r="543" spans="17:66" x14ac:dyDescent="0.25">
      <c r="Q543" s="112"/>
      <c r="R543" s="112"/>
      <c r="S543" s="112"/>
      <c r="T543" s="112"/>
      <c r="U543" s="112"/>
      <c r="V543" s="112"/>
      <c r="W543" s="112"/>
      <c r="X543" s="112"/>
      <c r="Y543" s="112"/>
      <c r="Z543" s="112"/>
      <c r="AA543" s="112"/>
      <c r="AB543" s="112"/>
      <c r="AC543" s="112"/>
      <c r="AD543" s="112"/>
      <c r="AE543" s="112"/>
      <c r="AF543" s="112"/>
      <c r="AG543" s="112"/>
      <c r="AH543" s="112"/>
      <c r="AI543" s="112"/>
      <c r="AJ543" s="112"/>
      <c r="AK543" s="112"/>
      <c r="AL543" s="112"/>
      <c r="AP543" s="112"/>
      <c r="AQ543" s="112"/>
      <c r="AR543" s="112"/>
      <c r="AS543" s="112"/>
      <c r="AT543" s="112"/>
      <c r="AU543" s="112"/>
      <c r="AV543" s="112"/>
      <c r="AW543" s="112"/>
      <c r="AX543" s="112"/>
      <c r="AY543" s="112"/>
      <c r="BA543" s="112"/>
      <c r="BB543" s="112"/>
      <c r="BC543" s="112"/>
      <c r="BD543" s="112"/>
      <c r="BE543" s="112"/>
      <c r="BF543" s="112"/>
      <c r="BG543" s="112"/>
      <c r="BH543" s="112"/>
      <c r="BI543" s="112"/>
      <c r="BK543" s="112"/>
      <c r="BL543" s="112"/>
      <c r="BM543" s="112"/>
      <c r="BN543" s="112"/>
    </row>
    <row r="544" spans="17:66" x14ac:dyDescent="0.25">
      <c r="Q544" s="112"/>
      <c r="R544" s="112"/>
      <c r="S544" s="112"/>
      <c r="T544" s="112"/>
      <c r="U544" s="112"/>
      <c r="V544" s="112"/>
      <c r="W544" s="112"/>
      <c r="X544" s="112"/>
      <c r="Y544" s="112"/>
      <c r="Z544" s="112"/>
      <c r="AA544" s="112"/>
      <c r="AB544" s="112"/>
      <c r="AC544" s="112"/>
      <c r="AD544" s="112"/>
      <c r="AE544" s="112"/>
      <c r="AF544" s="112"/>
      <c r="AG544" s="112"/>
      <c r="AH544" s="112"/>
      <c r="AI544" s="112"/>
      <c r="AJ544" s="112"/>
      <c r="AK544" s="112"/>
      <c r="AL544" s="112"/>
      <c r="AP544" s="112"/>
      <c r="AQ544" s="112"/>
      <c r="AR544" s="112"/>
      <c r="AS544" s="112"/>
      <c r="AT544" s="112"/>
      <c r="AU544" s="112"/>
      <c r="AV544" s="112"/>
      <c r="AW544" s="112"/>
      <c r="AX544" s="112"/>
      <c r="AY544" s="112"/>
      <c r="BA544" s="112"/>
      <c r="BB544" s="112"/>
      <c r="BC544" s="112"/>
      <c r="BD544" s="112"/>
      <c r="BE544" s="112"/>
      <c r="BF544" s="112"/>
      <c r="BG544" s="112"/>
      <c r="BH544" s="112"/>
      <c r="BI544" s="112"/>
      <c r="BK544" s="112"/>
      <c r="BL544" s="112"/>
      <c r="BM544" s="112"/>
      <c r="BN544" s="112"/>
    </row>
    <row r="545" spans="17:66" x14ac:dyDescent="0.25">
      <c r="Q545" s="112"/>
      <c r="R545" s="112"/>
      <c r="S545" s="112"/>
      <c r="T545" s="112"/>
      <c r="U545" s="112"/>
      <c r="V545" s="112"/>
      <c r="W545" s="112"/>
      <c r="X545" s="112"/>
      <c r="Y545" s="112"/>
      <c r="Z545" s="112"/>
      <c r="AA545" s="112"/>
      <c r="AB545" s="112"/>
      <c r="AC545" s="112"/>
      <c r="AD545" s="112"/>
      <c r="AE545" s="112"/>
      <c r="AF545" s="112"/>
      <c r="AG545" s="112"/>
      <c r="AH545" s="112"/>
      <c r="AI545" s="112"/>
      <c r="AJ545" s="112"/>
      <c r="AK545" s="112"/>
      <c r="AL545" s="112"/>
      <c r="AP545" s="112"/>
      <c r="AQ545" s="112"/>
      <c r="AR545" s="112"/>
      <c r="AS545" s="112"/>
      <c r="AT545" s="112"/>
      <c r="AU545" s="112"/>
      <c r="AV545" s="112"/>
      <c r="AW545" s="112"/>
      <c r="AX545" s="112"/>
      <c r="AY545" s="112"/>
      <c r="BA545" s="112"/>
      <c r="BB545" s="112"/>
      <c r="BC545" s="112"/>
      <c r="BD545" s="112"/>
      <c r="BE545" s="112"/>
      <c r="BF545" s="112"/>
      <c r="BG545" s="112"/>
      <c r="BH545" s="112"/>
      <c r="BI545" s="112"/>
      <c r="BK545" s="112"/>
      <c r="BL545" s="112"/>
      <c r="BM545" s="112"/>
      <c r="BN545" s="112"/>
    </row>
    <row r="546" spans="17:66" x14ac:dyDescent="0.25">
      <c r="Q546" s="112"/>
      <c r="R546" s="112"/>
      <c r="S546" s="112"/>
      <c r="T546" s="112"/>
      <c r="U546" s="112"/>
      <c r="V546" s="112"/>
      <c r="W546" s="112"/>
      <c r="X546" s="112"/>
      <c r="Y546" s="112"/>
      <c r="Z546" s="112"/>
      <c r="AA546" s="112"/>
      <c r="AB546" s="112"/>
      <c r="AC546" s="112"/>
      <c r="AD546" s="112"/>
      <c r="AE546" s="112"/>
      <c r="AF546" s="112"/>
      <c r="AG546" s="112"/>
      <c r="AH546" s="112"/>
      <c r="AI546" s="112"/>
      <c r="AJ546" s="112"/>
      <c r="AK546" s="112"/>
      <c r="AL546" s="112"/>
      <c r="AP546" s="112"/>
      <c r="AQ546" s="112"/>
      <c r="AR546" s="112"/>
      <c r="AS546" s="112"/>
      <c r="AT546" s="112"/>
      <c r="AU546" s="112"/>
      <c r="AV546" s="112"/>
      <c r="AW546" s="112"/>
      <c r="AX546" s="112"/>
      <c r="AY546" s="112"/>
      <c r="BA546" s="112"/>
      <c r="BB546" s="112"/>
      <c r="BC546" s="112"/>
      <c r="BD546" s="112"/>
      <c r="BE546" s="112"/>
      <c r="BF546" s="112"/>
      <c r="BG546" s="112"/>
      <c r="BH546" s="112"/>
      <c r="BI546" s="112"/>
      <c r="BK546" s="112"/>
      <c r="BL546" s="112"/>
      <c r="BM546" s="112"/>
      <c r="BN546" s="112"/>
    </row>
    <row r="547" spans="17:66" x14ac:dyDescent="0.25">
      <c r="Q547" s="112"/>
      <c r="R547" s="112"/>
      <c r="S547" s="112"/>
      <c r="T547" s="112"/>
      <c r="U547" s="112"/>
      <c r="V547" s="112"/>
      <c r="W547" s="112"/>
      <c r="X547" s="112"/>
      <c r="Y547" s="112"/>
      <c r="Z547" s="112"/>
      <c r="AA547" s="112"/>
      <c r="AB547" s="112"/>
      <c r="AC547" s="112"/>
      <c r="AD547" s="112"/>
      <c r="AE547" s="112"/>
      <c r="AF547" s="112"/>
      <c r="AG547" s="112"/>
      <c r="AH547" s="112"/>
      <c r="AI547" s="112"/>
      <c r="AJ547" s="112"/>
      <c r="AK547" s="112"/>
      <c r="AL547" s="112"/>
      <c r="AP547" s="112"/>
      <c r="AQ547" s="112"/>
      <c r="AR547" s="112"/>
      <c r="AS547" s="112"/>
      <c r="AT547" s="112"/>
      <c r="AU547" s="112"/>
      <c r="AV547" s="112"/>
      <c r="AW547" s="112"/>
      <c r="AX547" s="112"/>
      <c r="AY547" s="112"/>
      <c r="BA547" s="112"/>
      <c r="BB547" s="112"/>
      <c r="BC547" s="112"/>
      <c r="BD547" s="112"/>
      <c r="BE547" s="112"/>
      <c r="BF547" s="112"/>
      <c r="BG547" s="112"/>
      <c r="BH547" s="112"/>
      <c r="BI547" s="112"/>
      <c r="BK547" s="112"/>
      <c r="BL547" s="112"/>
      <c r="BM547" s="112"/>
      <c r="BN547" s="112"/>
    </row>
    <row r="548" spans="17:66" x14ac:dyDescent="0.25">
      <c r="Q548" s="112"/>
      <c r="R548" s="112"/>
      <c r="S548" s="112"/>
      <c r="T548" s="112"/>
      <c r="U548" s="112"/>
      <c r="V548" s="112"/>
      <c r="W548" s="112"/>
      <c r="X548" s="112"/>
      <c r="Y548" s="112"/>
      <c r="Z548" s="112"/>
      <c r="AA548" s="112"/>
      <c r="AB548" s="112"/>
      <c r="AC548" s="112"/>
      <c r="AD548" s="112"/>
      <c r="AE548" s="112"/>
      <c r="AF548" s="112"/>
      <c r="AG548" s="112"/>
      <c r="AH548" s="112"/>
      <c r="AI548" s="112"/>
      <c r="AJ548" s="112"/>
      <c r="AK548" s="112"/>
      <c r="AL548" s="112"/>
      <c r="AP548" s="112"/>
      <c r="AQ548" s="112"/>
      <c r="AR548" s="112"/>
      <c r="AS548" s="112"/>
      <c r="AT548" s="112"/>
      <c r="AU548" s="112"/>
      <c r="AV548" s="112"/>
      <c r="AW548" s="112"/>
      <c r="AX548" s="112"/>
      <c r="AY548" s="112"/>
      <c r="BA548" s="112"/>
      <c r="BB548" s="112"/>
      <c r="BC548" s="112"/>
      <c r="BD548" s="112"/>
      <c r="BE548" s="112"/>
      <c r="BF548" s="112"/>
      <c r="BG548" s="112"/>
      <c r="BH548" s="112"/>
      <c r="BI548" s="112"/>
      <c r="BK548" s="112"/>
      <c r="BL548" s="112"/>
      <c r="BM548" s="112"/>
      <c r="BN548" s="112"/>
    </row>
    <row r="549" spans="17:66" x14ac:dyDescent="0.25">
      <c r="Q549" s="112"/>
      <c r="R549" s="112"/>
      <c r="S549" s="112"/>
      <c r="T549" s="112"/>
      <c r="U549" s="112"/>
      <c r="V549" s="112"/>
      <c r="W549" s="112"/>
      <c r="X549" s="112"/>
      <c r="Y549" s="112"/>
      <c r="Z549" s="112"/>
      <c r="AA549" s="112"/>
      <c r="AB549" s="112"/>
      <c r="AC549" s="112"/>
      <c r="AD549" s="112"/>
      <c r="AE549" s="112"/>
      <c r="AF549" s="112"/>
      <c r="AG549" s="112"/>
      <c r="AH549" s="112"/>
      <c r="AI549" s="112"/>
      <c r="AJ549" s="112"/>
      <c r="AK549" s="112"/>
      <c r="AL549" s="112"/>
      <c r="AP549" s="112"/>
      <c r="AQ549" s="112"/>
      <c r="AR549" s="112"/>
      <c r="AS549" s="112"/>
      <c r="AT549" s="112"/>
      <c r="AU549" s="112"/>
      <c r="AV549" s="112"/>
      <c r="AW549" s="112"/>
      <c r="AX549" s="112"/>
      <c r="AY549" s="112"/>
      <c r="BA549" s="112"/>
      <c r="BB549" s="112"/>
      <c r="BC549" s="112"/>
      <c r="BD549" s="112"/>
      <c r="BE549" s="112"/>
      <c r="BF549" s="112"/>
      <c r="BG549" s="112"/>
      <c r="BH549" s="112"/>
      <c r="BI549" s="112"/>
      <c r="BK549" s="112"/>
      <c r="BL549" s="112"/>
      <c r="BM549" s="112"/>
      <c r="BN549" s="112"/>
    </row>
    <row r="550" spans="17:66" x14ac:dyDescent="0.25">
      <c r="Q550" s="112"/>
      <c r="R550" s="112"/>
      <c r="S550" s="112"/>
      <c r="T550" s="112"/>
      <c r="U550" s="112"/>
      <c r="V550" s="112"/>
      <c r="W550" s="112"/>
      <c r="X550" s="112"/>
      <c r="Y550" s="112"/>
      <c r="Z550" s="112"/>
      <c r="AA550" s="112"/>
      <c r="AB550" s="112"/>
      <c r="AC550" s="112"/>
      <c r="AD550" s="112"/>
      <c r="AE550" s="112"/>
      <c r="AF550" s="112"/>
      <c r="AG550" s="112"/>
      <c r="AH550" s="112"/>
      <c r="AI550" s="112"/>
      <c r="AJ550" s="112"/>
      <c r="AK550" s="112"/>
      <c r="AL550" s="112"/>
      <c r="AP550" s="112"/>
      <c r="AQ550" s="112"/>
      <c r="AR550" s="112"/>
      <c r="AS550" s="112"/>
      <c r="AT550" s="112"/>
      <c r="AU550" s="112"/>
      <c r="AV550" s="112"/>
      <c r="AW550" s="112"/>
      <c r="AX550" s="112"/>
      <c r="AY550" s="112"/>
      <c r="BA550" s="112"/>
      <c r="BB550" s="112"/>
      <c r="BC550" s="112"/>
      <c r="BD550" s="112"/>
      <c r="BE550" s="112"/>
      <c r="BF550" s="112"/>
      <c r="BG550" s="112"/>
      <c r="BH550" s="112"/>
      <c r="BI550" s="112"/>
      <c r="BK550" s="112"/>
      <c r="BL550" s="112"/>
      <c r="BM550" s="112"/>
      <c r="BN550" s="112"/>
    </row>
    <row r="551" spans="17:66" x14ac:dyDescent="0.25">
      <c r="Q551" s="112"/>
      <c r="R551" s="112"/>
      <c r="S551" s="112"/>
      <c r="T551" s="112"/>
      <c r="U551" s="112"/>
      <c r="V551" s="112"/>
      <c r="W551" s="112"/>
      <c r="X551" s="112"/>
      <c r="Y551" s="112"/>
      <c r="Z551" s="112"/>
      <c r="AA551" s="112"/>
      <c r="AB551" s="112"/>
      <c r="AC551" s="112"/>
      <c r="AD551" s="112"/>
      <c r="AE551" s="112"/>
      <c r="AF551" s="112"/>
      <c r="AG551" s="112"/>
      <c r="AH551" s="112"/>
      <c r="AI551" s="112"/>
      <c r="AJ551" s="112"/>
      <c r="AK551" s="112"/>
      <c r="AL551" s="112"/>
      <c r="AP551" s="112"/>
      <c r="AQ551" s="112"/>
      <c r="AR551" s="112"/>
      <c r="AS551" s="112"/>
      <c r="AT551" s="112"/>
      <c r="AU551" s="112"/>
      <c r="AV551" s="112"/>
      <c r="AW551" s="112"/>
      <c r="AX551" s="112"/>
      <c r="AY551" s="112"/>
      <c r="BA551" s="112"/>
      <c r="BB551" s="112"/>
      <c r="BC551" s="112"/>
      <c r="BD551" s="112"/>
      <c r="BE551" s="112"/>
      <c r="BF551" s="112"/>
      <c r="BG551" s="112"/>
      <c r="BH551" s="112"/>
      <c r="BI551" s="112"/>
      <c r="BK551" s="112"/>
      <c r="BL551" s="112"/>
      <c r="BM551" s="112"/>
      <c r="BN551" s="112"/>
    </row>
    <row r="552" spans="17:66" x14ac:dyDescent="0.25">
      <c r="Q552" s="112"/>
      <c r="R552" s="112"/>
      <c r="S552" s="112"/>
      <c r="T552" s="112"/>
      <c r="U552" s="112"/>
      <c r="V552" s="112"/>
      <c r="W552" s="112"/>
      <c r="X552" s="112"/>
      <c r="Y552" s="112"/>
      <c r="Z552" s="112"/>
      <c r="AA552" s="112"/>
      <c r="AB552" s="112"/>
      <c r="AC552" s="112"/>
      <c r="AD552" s="112"/>
      <c r="AE552" s="112"/>
      <c r="AF552" s="112"/>
      <c r="AG552" s="112"/>
      <c r="AH552" s="112"/>
      <c r="AI552" s="112"/>
      <c r="AJ552" s="112"/>
      <c r="AK552" s="112"/>
      <c r="AL552" s="112"/>
      <c r="AP552" s="112"/>
      <c r="AQ552" s="112"/>
      <c r="AR552" s="112"/>
      <c r="AS552" s="112"/>
      <c r="AT552" s="112"/>
      <c r="AU552" s="112"/>
      <c r="AV552" s="112"/>
      <c r="AW552" s="112"/>
      <c r="AX552" s="112"/>
      <c r="AY552" s="112"/>
      <c r="BA552" s="112"/>
      <c r="BB552" s="112"/>
      <c r="BC552" s="112"/>
      <c r="BD552" s="112"/>
      <c r="BE552" s="112"/>
      <c r="BF552" s="112"/>
      <c r="BG552" s="112"/>
      <c r="BH552" s="112"/>
      <c r="BI552" s="112"/>
      <c r="BK552" s="112"/>
      <c r="BL552" s="112"/>
      <c r="BM552" s="112"/>
      <c r="BN552" s="112"/>
    </row>
    <row r="553" spans="17:66" x14ac:dyDescent="0.25">
      <c r="Q553" s="112"/>
      <c r="R553" s="112"/>
      <c r="S553" s="112"/>
      <c r="T553" s="112"/>
      <c r="U553" s="112"/>
      <c r="V553" s="112"/>
      <c r="W553" s="112"/>
      <c r="X553" s="112"/>
      <c r="Y553" s="112"/>
      <c r="Z553" s="112"/>
      <c r="AA553" s="112"/>
      <c r="AB553" s="112"/>
      <c r="AC553" s="112"/>
      <c r="AD553" s="112"/>
      <c r="AE553" s="112"/>
      <c r="AF553" s="112"/>
      <c r="AG553" s="112"/>
      <c r="AH553" s="112"/>
      <c r="AI553" s="112"/>
      <c r="AJ553" s="112"/>
      <c r="AK553" s="112"/>
      <c r="AL553" s="112"/>
      <c r="AP553" s="112"/>
      <c r="AQ553" s="112"/>
      <c r="AR553" s="112"/>
      <c r="AS553" s="112"/>
      <c r="AT553" s="112"/>
      <c r="AU553" s="112"/>
      <c r="AV553" s="112"/>
      <c r="AW553" s="112"/>
      <c r="AX553" s="112"/>
      <c r="AY553" s="112"/>
      <c r="BA553" s="112"/>
      <c r="BB553" s="112"/>
      <c r="BC553" s="112"/>
      <c r="BD553" s="112"/>
      <c r="BE553" s="112"/>
      <c r="BF553" s="112"/>
      <c r="BG553" s="112"/>
      <c r="BH553" s="112"/>
      <c r="BI553" s="112"/>
      <c r="BK553" s="112"/>
      <c r="BL553" s="112"/>
      <c r="BM553" s="112"/>
      <c r="BN553" s="112"/>
    </row>
    <row r="554" spans="17:66" x14ac:dyDescent="0.25">
      <c r="Q554" s="112"/>
      <c r="R554" s="112"/>
      <c r="S554" s="112"/>
      <c r="T554" s="112"/>
      <c r="U554" s="112"/>
      <c r="V554" s="112"/>
      <c r="W554" s="112"/>
      <c r="X554" s="112"/>
      <c r="Y554" s="112"/>
      <c r="Z554" s="112"/>
      <c r="AA554" s="112"/>
      <c r="AB554" s="112"/>
      <c r="AC554" s="112"/>
      <c r="AD554" s="112"/>
      <c r="AE554" s="112"/>
      <c r="AF554" s="112"/>
      <c r="AG554" s="112"/>
      <c r="AH554" s="112"/>
      <c r="AI554" s="112"/>
      <c r="AJ554" s="112"/>
      <c r="AK554" s="112"/>
      <c r="AL554" s="112"/>
      <c r="AP554" s="112"/>
      <c r="AQ554" s="112"/>
      <c r="AR554" s="112"/>
      <c r="AS554" s="112"/>
      <c r="AT554" s="112"/>
      <c r="AU554" s="112"/>
      <c r="AV554" s="112"/>
      <c r="AW554" s="112"/>
      <c r="AX554" s="112"/>
      <c r="AY554" s="112"/>
      <c r="BA554" s="112"/>
      <c r="BB554" s="112"/>
      <c r="BC554" s="112"/>
      <c r="BD554" s="112"/>
      <c r="BE554" s="112"/>
      <c r="BF554" s="112"/>
      <c r="BG554" s="112"/>
      <c r="BH554" s="112"/>
      <c r="BI554" s="112"/>
      <c r="BK554" s="112"/>
      <c r="BL554" s="112"/>
      <c r="BM554" s="112"/>
      <c r="BN554" s="112"/>
    </row>
    <row r="555" spans="17:66" x14ac:dyDescent="0.25">
      <c r="Q555" s="112"/>
      <c r="R555" s="112"/>
      <c r="S555" s="112"/>
      <c r="T555" s="112"/>
      <c r="U555" s="112"/>
      <c r="V555" s="112"/>
      <c r="W555" s="112"/>
      <c r="X555" s="112"/>
      <c r="Y555" s="112"/>
      <c r="Z555" s="112"/>
      <c r="AA555" s="112"/>
      <c r="AB555" s="112"/>
      <c r="AC555" s="112"/>
      <c r="AD555" s="112"/>
      <c r="AE555" s="112"/>
      <c r="AF555" s="112"/>
      <c r="AG555" s="112"/>
      <c r="AH555" s="112"/>
      <c r="AI555" s="112"/>
      <c r="AJ555" s="112"/>
      <c r="AK555" s="112"/>
      <c r="AL555" s="112"/>
      <c r="AP555" s="112"/>
      <c r="AQ555" s="112"/>
      <c r="AR555" s="112"/>
      <c r="AS555" s="112"/>
      <c r="AT555" s="112"/>
      <c r="AU555" s="112"/>
      <c r="AV555" s="112"/>
      <c r="AW555" s="112"/>
      <c r="AX555" s="112"/>
      <c r="AY555" s="112"/>
      <c r="BA555" s="112"/>
      <c r="BB555" s="112"/>
      <c r="BC555" s="112"/>
      <c r="BD555" s="112"/>
      <c r="BE555" s="112"/>
      <c r="BF555" s="112"/>
      <c r="BG555" s="112"/>
      <c r="BH555" s="112"/>
      <c r="BI555" s="112"/>
      <c r="BK555" s="112"/>
      <c r="BL555" s="112"/>
      <c r="BM555" s="112"/>
      <c r="BN555" s="112"/>
    </row>
    <row r="556" spans="17:66" x14ac:dyDescent="0.25">
      <c r="Q556" s="112"/>
      <c r="R556" s="112"/>
      <c r="S556" s="112"/>
      <c r="T556" s="112"/>
      <c r="U556" s="112"/>
      <c r="V556" s="112"/>
      <c r="W556" s="112"/>
      <c r="X556" s="112"/>
      <c r="Y556" s="112"/>
      <c r="Z556" s="112"/>
      <c r="AA556" s="112"/>
      <c r="AB556" s="112"/>
      <c r="AC556" s="112"/>
      <c r="AD556" s="112"/>
      <c r="AE556" s="112"/>
      <c r="AF556" s="112"/>
      <c r="AG556" s="112"/>
      <c r="AH556" s="112"/>
      <c r="AI556" s="112"/>
      <c r="AJ556" s="112"/>
      <c r="AK556" s="112"/>
      <c r="AL556" s="112"/>
      <c r="AP556" s="112"/>
      <c r="AQ556" s="112"/>
      <c r="AR556" s="112"/>
      <c r="AS556" s="112"/>
      <c r="AT556" s="112"/>
      <c r="AU556" s="112"/>
      <c r="AV556" s="112"/>
      <c r="AW556" s="112"/>
      <c r="AX556" s="112"/>
      <c r="AY556" s="112"/>
      <c r="BA556" s="112"/>
      <c r="BB556" s="112"/>
      <c r="BC556" s="112"/>
      <c r="BD556" s="112"/>
      <c r="BE556" s="112"/>
      <c r="BF556" s="112"/>
      <c r="BG556" s="112"/>
      <c r="BH556" s="112"/>
      <c r="BI556" s="112"/>
      <c r="BK556" s="112"/>
      <c r="BL556" s="112"/>
      <c r="BM556" s="112"/>
      <c r="BN556" s="112"/>
    </row>
    <row r="557" spans="17:66" x14ac:dyDescent="0.25">
      <c r="Q557" s="112"/>
      <c r="R557" s="112"/>
      <c r="S557" s="112"/>
      <c r="T557" s="112"/>
      <c r="U557" s="112"/>
      <c r="V557" s="112"/>
      <c r="W557" s="112"/>
      <c r="X557" s="112"/>
      <c r="Y557" s="112"/>
      <c r="Z557" s="112"/>
      <c r="AA557" s="112"/>
      <c r="AB557" s="112"/>
      <c r="AC557" s="112"/>
      <c r="AD557" s="112"/>
      <c r="AE557" s="112"/>
      <c r="AF557" s="112"/>
      <c r="AG557" s="112"/>
      <c r="AH557" s="112"/>
      <c r="AI557" s="112"/>
      <c r="AJ557" s="112"/>
      <c r="AK557" s="112"/>
      <c r="AL557" s="112"/>
      <c r="AP557" s="112"/>
      <c r="AQ557" s="112"/>
      <c r="AR557" s="112"/>
      <c r="AS557" s="112"/>
      <c r="AT557" s="112"/>
      <c r="AU557" s="112"/>
      <c r="AV557" s="112"/>
      <c r="AW557" s="112"/>
      <c r="AX557" s="112"/>
      <c r="AY557" s="112"/>
      <c r="BA557" s="112"/>
      <c r="BB557" s="112"/>
      <c r="BC557" s="112"/>
      <c r="BD557" s="112"/>
      <c r="BE557" s="112"/>
      <c r="BF557" s="112"/>
      <c r="BG557" s="112"/>
      <c r="BH557" s="112"/>
      <c r="BI557" s="112"/>
      <c r="BK557" s="112"/>
      <c r="BL557" s="112"/>
      <c r="BM557" s="112"/>
      <c r="BN557" s="112"/>
    </row>
    <row r="558" spans="17:66" x14ac:dyDescent="0.25">
      <c r="Q558" s="112"/>
      <c r="R558" s="112"/>
      <c r="S558" s="112"/>
      <c r="T558" s="112"/>
      <c r="U558" s="112"/>
      <c r="V558" s="112"/>
      <c r="W558" s="112"/>
      <c r="X558" s="112"/>
      <c r="Y558" s="112"/>
      <c r="Z558" s="112"/>
      <c r="AA558" s="112"/>
      <c r="AB558" s="112"/>
      <c r="AC558" s="112"/>
      <c r="AD558" s="112"/>
      <c r="AE558" s="112"/>
      <c r="AF558" s="112"/>
      <c r="AG558" s="112"/>
      <c r="AH558" s="112"/>
      <c r="AI558" s="112"/>
      <c r="AJ558" s="112"/>
      <c r="AK558" s="112"/>
      <c r="AL558" s="112"/>
      <c r="AP558" s="112"/>
      <c r="AQ558" s="112"/>
      <c r="AR558" s="112"/>
      <c r="AS558" s="112"/>
      <c r="AT558" s="112"/>
      <c r="AU558" s="112"/>
      <c r="AV558" s="112"/>
      <c r="AW558" s="112"/>
      <c r="AX558" s="112"/>
      <c r="AY558" s="112"/>
      <c r="BA558" s="112"/>
      <c r="BB558" s="112"/>
      <c r="BC558" s="112"/>
      <c r="BD558" s="112"/>
      <c r="BE558" s="112"/>
      <c r="BF558" s="112"/>
      <c r="BG558" s="112"/>
      <c r="BH558" s="112"/>
      <c r="BI558" s="112"/>
      <c r="BK558" s="112"/>
      <c r="BL558" s="112"/>
      <c r="BM558" s="112"/>
      <c r="BN558" s="112"/>
    </row>
    <row r="559" spans="17:66" x14ac:dyDescent="0.25">
      <c r="Q559" s="112"/>
      <c r="R559" s="112"/>
      <c r="S559" s="112"/>
      <c r="T559" s="112"/>
      <c r="U559" s="112"/>
      <c r="V559" s="112"/>
      <c r="W559" s="112"/>
      <c r="X559" s="112"/>
      <c r="Y559" s="112"/>
      <c r="Z559" s="112"/>
      <c r="AA559" s="112"/>
      <c r="AB559" s="112"/>
      <c r="AC559" s="112"/>
      <c r="AD559" s="112"/>
      <c r="AE559" s="112"/>
      <c r="AF559" s="112"/>
      <c r="AG559" s="112"/>
      <c r="AH559" s="112"/>
      <c r="AI559" s="112"/>
      <c r="AJ559" s="112"/>
      <c r="AK559" s="112"/>
      <c r="AL559" s="112"/>
      <c r="AP559" s="112"/>
      <c r="AQ559" s="112"/>
      <c r="AR559" s="112"/>
      <c r="AS559" s="112"/>
      <c r="AT559" s="112"/>
      <c r="AU559" s="112"/>
      <c r="AV559" s="112"/>
      <c r="AW559" s="112"/>
      <c r="AX559" s="112"/>
      <c r="AY559" s="112"/>
      <c r="BA559" s="112"/>
      <c r="BB559" s="112"/>
      <c r="BC559" s="112"/>
      <c r="BD559" s="112"/>
      <c r="BE559" s="112"/>
      <c r="BF559" s="112"/>
      <c r="BG559" s="112"/>
      <c r="BH559" s="112"/>
      <c r="BI559" s="112"/>
      <c r="BK559" s="112"/>
      <c r="BL559" s="112"/>
      <c r="BM559" s="112"/>
      <c r="BN559" s="112"/>
    </row>
    <row r="560" spans="17:66" x14ac:dyDescent="0.25">
      <c r="Q560" s="112"/>
      <c r="R560" s="112"/>
      <c r="S560" s="112"/>
      <c r="T560" s="112"/>
      <c r="U560" s="112"/>
      <c r="V560" s="112"/>
      <c r="W560" s="112"/>
      <c r="X560" s="112"/>
      <c r="Y560" s="112"/>
      <c r="Z560" s="112"/>
      <c r="AA560" s="112"/>
      <c r="AB560" s="112"/>
      <c r="AC560" s="112"/>
      <c r="AD560" s="112"/>
      <c r="AE560" s="112"/>
      <c r="AF560" s="112"/>
      <c r="AG560" s="112"/>
      <c r="AH560" s="112"/>
      <c r="AI560" s="112"/>
      <c r="AJ560" s="112"/>
      <c r="AK560" s="112"/>
      <c r="AL560" s="112"/>
      <c r="AP560" s="112"/>
      <c r="AQ560" s="112"/>
      <c r="AR560" s="112"/>
      <c r="AS560" s="112"/>
      <c r="AT560" s="112"/>
      <c r="AU560" s="112"/>
      <c r="AV560" s="112"/>
      <c r="AW560" s="112"/>
      <c r="AX560" s="112"/>
      <c r="AY560" s="112"/>
      <c r="BA560" s="112"/>
      <c r="BB560" s="112"/>
      <c r="BC560" s="112"/>
      <c r="BD560" s="112"/>
      <c r="BE560" s="112"/>
      <c r="BF560" s="112"/>
      <c r="BG560" s="112"/>
      <c r="BH560" s="112"/>
      <c r="BI560" s="112"/>
      <c r="BK560" s="112"/>
      <c r="BL560" s="112"/>
      <c r="BM560" s="112"/>
      <c r="BN560" s="112"/>
    </row>
    <row r="561" spans="17:66" x14ac:dyDescent="0.25">
      <c r="Q561" s="112"/>
      <c r="R561" s="112"/>
      <c r="S561" s="112"/>
      <c r="T561" s="112"/>
      <c r="U561" s="112"/>
      <c r="V561" s="112"/>
      <c r="W561" s="112"/>
      <c r="X561" s="112"/>
      <c r="Y561" s="112"/>
      <c r="Z561" s="112"/>
      <c r="AA561" s="112"/>
      <c r="AB561" s="112"/>
      <c r="AC561" s="112"/>
      <c r="AD561" s="112"/>
      <c r="AE561" s="112"/>
      <c r="AF561" s="112"/>
      <c r="AG561" s="112"/>
      <c r="AH561" s="112"/>
      <c r="AI561" s="112"/>
      <c r="AJ561" s="112"/>
      <c r="AK561" s="112"/>
      <c r="AL561" s="112"/>
      <c r="AP561" s="112"/>
      <c r="AQ561" s="112"/>
      <c r="AR561" s="112"/>
      <c r="AS561" s="112"/>
      <c r="AT561" s="112"/>
      <c r="AU561" s="112"/>
      <c r="AV561" s="112"/>
      <c r="AW561" s="112"/>
      <c r="AX561" s="112"/>
      <c r="AY561" s="112"/>
      <c r="BA561" s="112"/>
      <c r="BB561" s="112"/>
      <c r="BC561" s="112"/>
      <c r="BD561" s="112"/>
      <c r="BE561" s="112"/>
      <c r="BF561" s="112"/>
      <c r="BG561" s="112"/>
      <c r="BH561" s="112"/>
      <c r="BI561" s="112"/>
      <c r="BK561" s="112"/>
      <c r="BL561" s="112"/>
      <c r="BM561" s="112"/>
      <c r="BN561" s="112"/>
    </row>
    <row r="562" spans="17:66" x14ac:dyDescent="0.25">
      <c r="Q562" s="112"/>
      <c r="R562" s="112"/>
      <c r="S562" s="112"/>
      <c r="T562" s="112"/>
      <c r="U562" s="112"/>
      <c r="V562" s="112"/>
      <c r="W562" s="112"/>
      <c r="X562" s="112"/>
      <c r="Y562" s="112"/>
      <c r="Z562" s="112"/>
      <c r="AA562" s="112"/>
      <c r="AB562" s="112"/>
      <c r="AC562" s="112"/>
      <c r="AD562" s="112"/>
      <c r="AE562" s="112"/>
      <c r="AF562" s="112"/>
      <c r="AG562" s="112"/>
      <c r="AH562" s="112"/>
      <c r="AI562" s="112"/>
      <c r="AJ562" s="112"/>
      <c r="AK562" s="112"/>
      <c r="AL562" s="112"/>
      <c r="AP562" s="112"/>
      <c r="AQ562" s="112"/>
      <c r="AR562" s="112"/>
      <c r="AS562" s="112"/>
      <c r="AT562" s="112"/>
      <c r="AU562" s="112"/>
      <c r="AV562" s="112"/>
      <c r="AW562" s="112"/>
      <c r="AX562" s="112"/>
      <c r="AY562" s="112"/>
      <c r="BA562" s="112"/>
      <c r="BB562" s="112"/>
      <c r="BC562" s="112"/>
      <c r="BD562" s="112"/>
      <c r="BE562" s="112"/>
      <c r="BF562" s="112"/>
      <c r="BG562" s="112"/>
      <c r="BH562" s="112"/>
      <c r="BI562" s="112"/>
      <c r="BK562" s="112"/>
      <c r="BL562" s="112"/>
      <c r="BM562" s="112"/>
      <c r="BN562" s="112"/>
    </row>
    <row r="563" spans="17:66" x14ac:dyDescent="0.25">
      <c r="Q563" s="112"/>
      <c r="R563" s="112"/>
      <c r="S563" s="112"/>
      <c r="T563" s="112"/>
      <c r="U563" s="112"/>
      <c r="V563" s="112"/>
      <c r="W563" s="112"/>
      <c r="X563" s="112"/>
      <c r="Y563" s="112"/>
      <c r="Z563" s="112"/>
      <c r="AA563" s="112"/>
      <c r="AB563" s="112"/>
      <c r="AC563" s="112"/>
      <c r="AD563" s="112"/>
      <c r="AE563" s="112"/>
      <c r="AF563" s="112"/>
      <c r="AG563" s="112"/>
      <c r="AH563" s="112"/>
      <c r="AI563" s="112"/>
      <c r="AJ563" s="112"/>
      <c r="AK563" s="112"/>
      <c r="AL563" s="112"/>
      <c r="AP563" s="112"/>
      <c r="AQ563" s="112"/>
      <c r="AR563" s="112"/>
      <c r="AS563" s="112"/>
      <c r="AT563" s="112"/>
      <c r="AU563" s="112"/>
      <c r="AV563" s="112"/>
      <c r="AW563" s="112"/>
      <c r="AX563" s="112"/>
      <c r="AY563" s="112"/>
      <c r="BA563" s="112"/>
      <c r="BB563" s="112"/>
      <c r="BC563" s="112"/>
      <c r="BD563" s="112"/>
      <c r="BE563" s="112"/>
      <c r="BF563" s="112"/>
      <c r="BG563" s="112"/>
      <c r="BH563" s="112"/>
      <c r="BI563" s="112"/>
      <c r="BK563" s="112"/>
      <c r="BL563" s="112"/>
      <c r="BM563" s="112"/>
      <c r="BN563" s="112"/>
    </row>
    <row r="564" spans="17:66" x14ac:dyDescent="0.25">
      <c r="Q564" s="112"/>
      <c r="R564" s="112"/>
      <c r="S564" s="112"/>
      <c r="T564" s="112"/>
      <c r="U564" s="112"/>
      <c r="V564" s="112"/>
      <c r="W564" s="112"/>
      <c r="X564" s="112"/>
      <c r="Y564" s="112"/>
      <c r="Z564" s="112"/>
      <c r="AA564" s="112"/>
      <c r="AB564" s="112"/>
      <c r="AC564" s="112"/>
      <c r="AD564" s="112"/>
      <c r="AE564" s="112"/>
      <c r="AF564" s="112"/>
      <c r="AG564" s="112"/>
      <c r="AH564" s="112"/>
      <c r="AI564" s="112"/>
      <c r="AJ564" s="112"/>
      <c r="AK564" s="112"/>
      <c r="AL564" s="112"/>
      <c r="AP564" s="112"/>
      <c r="AQ564" s="112"/>
      <c r="AR564" s="112"/>
      <c r="AS564" s="112"/>
      <c r="AT564" s="112"/>
      <c r="AU564" s="112"/>
      <c r="AV564" s="112"/>
      <c r="AW564" s="112"/>
      <c r="AX564" s="112"/>
      <c r="AY564" s="112"/>
      <c r="BA564" s="112"/>
      <c r="BB564" s="112"/>
      <c r="BC564" s="112"/>
      <c r="BD564" s="112"/>
      <c r="BE564" s="112"/>
      <c r="BF564" s="112"/>
      <c r="BG564" s="112"/>
      <c r="BH564" s="112"/>
      <c r="BI564" s="112"/>
      <c r="BK564" s="112"/>
      <c r="BL564" s="112"/>
      <c r="BM564" s="112"/>
      <c r="BN564" s="112"/>
    </row>
    <row r="565" spans="17:66" x14ac:dyDescent="0.25">
      <c r="Q565" s="112"/>
      <c r="R565" s="112"/>
      <c r="S565" s="112"/>
      <c r="T565" s="112"/>
      <c r="U565" s="112"/>
      <c r="V565" s="112"/>
      <c r="W565" s="112"/>
      <c r="X565" s="112"/>
      <c r="Y565" s="112"/>
      <c r="Z565" s="112"/>
      <c r="AA565" s="112"/>
      <c r="AB565" s="112"/>
      <c r="AC565" s="112"/>
      <c r="AD565" s="112"/>
      <c r="AE565" s="112"/>
      <c r="AF565" s="112"/>
      <c r="AG565" s="112"/>
      <c r="AH565" s="112"/>
      <c r="AI565" s="112"/>
      <c r="AJ565" s="112"/>
      <c r="AK565" s="112"/>
      <c r="AL565" s="112"/>
      <c r="AP565" s="112"/>
      <c r="AQ565" s="112"/>
      <c r="AR565" s="112"/>
      <c r="AS565" s="112"/>
      <c r="AT565" s="112"/>
      <c r="AU565" s="112"/>
      <c r="AV565" s="112"/>
      <c r="AW565" s="112"/>
      <c r="AX565" s="112"/>
      <c r="AY565" s="112"/>
      <c r="BA565" s="112"/>
      <c r="BB565" s="112"/>
      <c r="BC565" s="112"/>
      <c r="BD565" s="112"/>
      <c r="BE565" s="112"/>
      <c r="BF565" s="112"/>
      <c r="BG565" s="112"/>
      <c r="BH565" s="112"/>
      <c r="BI565" s="112"/>
      <c r="BK565" s="112"/>
      <c r="BL565" s="112"/>
      <c r="BM565" s="112"/>
      <c r="BN565" s="112"/>
    </row>
    <row r="566" spans="17:66" x14ac:dyDescent="0.25">
      <c r="Q566" s="112"/>
      <c r="R566" s="112"/>
      <c r="S566" s="112"/>
      <c r="T566" s="112"/>
      <c r="U566" s="112"/>
      <c r="V566" s="112"/>
      <c r="W566" s="112"/>
      <c r="X566" s="112"/>
      <c r="Y566" s="112"/>
      <c r="Z566" s="112"/>
      <c r="AA566" s="112"/>
      <c r="AB566" s="112"/>
      <c r="AC566" s="112"/>
      <c r="AD566" s="112"/>
      <c r="AE566" s="112"/>
      <c r="AF566" s="112"/>
      <c r="AG566" s="112"/>
      <c r="AH566" s="112"/>
      <c r="AI566" s="112"/>
      <c r="AJ566" s="112"/>
      <c r="AK566" s="112"/>
      <c r="AL566" s="112"/>
      <c r="AP566" s="112"/>
      <c r="AQ566" s="112"/>
      <c r="AR566" s="112"/>
      <c r="AS566" s="112"/>
      <c r="AT566" s="112"/>
      <c r="AU566" s="112"/>
      <c r="AV566" s="112"/>
      <c r="AW566" s="112"/>
      <c r="AX566" s="112"/>
      <c r="AY566" s="112"/>
      <c r="BA566" s="112"/>
      <c r="BB566" s="112"/>
      <c r="BC566" s="112"/>
      <c r="BD566" s="112"/>
      <c r="BE566" s="112"/>
      <c r="BF566" s="112"/>
      <c r="BG566" s="112"/>
      <c r="BH566" s="112"/>
      <c r="BI566" s="112"/>
      <c r="BK566" s="112"/>
      <c r="BL566" s="112"/>
      <c r="BM566" s="112"/>
      <c r="BN566" s="112"/>
    </row>
    <row r="567" spans="17:66" x14ac:dyDescent="0.25">
      <c r="Q567" s="112"/>
      <c r="R567" s="112"/>
      <c r="S567" s="112"/>
      <c r="T567" s="112"/>
      <c r="U567" s="112"/>
      <c r="V567" s="112"/>
      <c r="W567" s="112"/>
      <c r="X567" s="112"/>
      <c r="Y567" s="112"/>
      <c r="Z567" s="112"/>
      <c r="AA567" s="112"/>
      <c r="AB567" s="112"/>
      <c r="AC567" s="112"/>
      <c r="AD567" s="112"/>
      <c r="AE567" s="112"/>
      <c r="AF567" s="112"/>
      <c r="AG567" s="112"/>
      <c r="AH567" s="112"/>
      <c r="AI567" s="112"/>
      <c r="AJ567" s="112"/>
      <c r="AK567" s="112"/>
      <c r="AL567" s="112"/>
      <c r="AP567" s="112"/>
      <c r="AQ567" s="112"/>
      <c r="AR567" s="112"/>
      <c r="AS567" s="112"/>
      <c r="AT567" s="112"/>
      <c r="AU567" s="112"/>
      <c r="AV567" s="112"/>
      <c r="AW567" s="112"/>
      <c r="AX567" s="112"/>
      <c r="AY567" s="112"/>
      <c r="BA567" s="112"/>
      <c r="BB567" s="112"/>
      <c r="BC567" s="112"/>
      <c r="BD567" s="112"/>
      <c r="BE567" s="112"/>
      <c r="BF567" s="112"/>
      <c r="BG567" s="112"/>
      <c r="BH567" s="112"/>
      <c r="BI567" s="112"/>
      <c r="BK567" s="112"/>
      <c r="BL567" s="112"/>
      <c r="BM567" s="112"/>
      <c r="BN567" s="112"/>
    </row>
    <row r="568" spans="17:66" x14ac:dyDescent="0.25">
      <c r="Q568" s="112"/>
      <c r="R568" s="112"/>
      <c r="S568" s="112"/>
      <c r="T568" s="112"/>
      <c r="U568" s="112"/>
      <c r="V568" s="112"/>
      <c r="W568" s="112"/>
      <c r="X568" s="112"/>
      <c r="Y568" s="112"/>
      <c r="Z568" s="112"/>
      <c r="AA568" s="112"/>
      <c r="AB568" s="112"/>
      <c r="AC568" s="112"/>
      <c r="AD568" s="112"/>
      <c r="AE568" s="112"/>
      <c r="AF568" s="112"/>
      <c r="AG568" s="112"/>
      <c r="AH568" s="112"/>
      <c r="AI568" s="112"/>
      <c r="AJ568" s="112"/>
      <c r="AK568" s="112"/>
      <c r="AL568" s="112"/>
      <c r="AP568" s="112"/>
      <c r="AQ568" s="112"/>
      <c r="AR568" s="112"/>
      <c r="AS568" s="112"/>
      <c r="AT568" s="112"/>
      <c r="AU568" s="112"/>
      <c r="AV568" s="112"/>
      <c r="AW568" s="112"/>
      <c r="AX568" s="112"/>
      <c r="AY568" s="112"/>
      <c r="BA568" s="112"/>
      <c r="BB568" s="112"/>
      <c r="BC568" s="112"/>
      <c r="BD568" s="112"/>
      <c r="BE568" s="112"/>
      <c r="BF568" s="112"/>
      <c r="BG568" s="112"/>
      <c r="BH568" s="112"/>
      <c r="BI568" s="112"/>
      <c r="BK568" s="112"/>
      <c r="BL568" s="112"/>
      <c r="BM568" s="112"/>
      <c r="BN568" s="112"/>
    </row>
    <row r="569" spans="17:66" x14ac:dyDescent="0.25">
      <c r="Q569" s="112"/>
      <c r="R569" s="112"/>
      <c r="S569" s="112"/>
      <c r="T569" s="112"/>
      <c r="U569" s="112"/>
      <c r="V569" s="112"/>
      <c r="W569" s="112"/>
      <c r="X569" s="112"/>
      <c r="Y569" s="112"/>
      <c r="Z569" s="112"/>
      <c r="AA569" s="112"/>
      <c r="AB569" s="112"/>
      <c r="AC569" s="112"/>
      <c r="AD569" s="112"/>
      <c r="AE569" s="112"/>
      <c r="AF569" s="112"/>
      <c r="AG569" s="112"/>
      <c r="AH569" s="112"/>
      <c r="AI569" s="112"/>
      <c r="AJ569" s="112"/>
      <c r="AK569" s="112"/>
      <c r="AL569" s="112"/>
      <c r="AP569" s="112"/>
      <c r="AQ569" s="112"/>
      <c r="AR569" s="112"/>
      <c r="AS569" s="112"/>
      <c r="AT569" s="112"/>
      <c r="AU569" s="112"/>
      <c r="AV569" s="112"/>
      <c r="AW569" s="112"/>
      <c r="AX569" s="112"/>
      <c r="AY569" s="112"/>
      <c r="BA569" s="112"/>
      <c r="BB569" s="112"/>
      <c r="BC569" s="112"/>
      <c r="BD569" s="112"/>
      <c r="BE569" s="112"/>
      <c r="BF569" s="112"/>
      <c r="BG569" s="112"/>
      <c r="BH569" s="112"/>
      <c r="BI569" s="112"/>
      <c r="BK569" s="112"/>
      <c r="BL569" s="112"/>
      <c r="BM569" s="112"/>
      <c r="BN569" s="112"/>
    </row>
    <row r="570" spans="17:66" x14ac:dyDescent="0.25">
      <c r="Q570" s="112"/>
      <c r="R570" s="112"/>
      <c r="S570" s="112"/>
      <c r="T570" s="112"/>
      <c r="U570" s="112"/>
      <c r="V570" s="112"/>
      <c r="W570" s="112"/>
      <c r="X570" s="112"/>
      <c r="Y570" s="112"/>
      <c r="Z570" s="112"/>
      <c r="AA570" s="112"/>
      <c r="AB570" s="112"/>
      <c r="AC570" s="112"/>
      <c r="AD570" s="112"/>
      <c r="AE570" s="112"/>
      <c r="AF570" s="112"/>
      <c r="AG570" s="112"/>
      <c r="AH570" s="112"/>
      <c r="AI570" s="112"/>
      <c r="AJ570" s="112"/>
      <c r="AK570" s="112"/>
      <c r="AL570" s="112"/>
      <c r="AP570" s="112"/>
      <c r="AQ570" s="112"/>
      <c r="AR570" s="112"/>
      <c r="AS570" s="112"/>
      <c r="AT570" s="112"/>
      <c r="AU570" s="112"/>
      <c r="AV570" s="112"/>
      <c r="AW570" s="112"/>
      <c r="AX570" s="112"/>
      <c r="AY570" s="112"/>
      <c r="BA570" s="112"/>
      <c r="BB570" s="112"/>
      <c r="BC570" s="112"/>
      <c r="BD570" s="112"/>
      <c r="BE570" s="112"/>
      <c r="BF570" s="112"/>
      <c r="BG570" s="112"/>
      <c r="BH570" s="112"/>
      <c r="BI570" s="112"/>
      <c r="BK570" s="112"/>
      <c r="BL570" s="112"/>
      <c r="BM570" s="112"/>
      <c r="BN570" s="112"/>
    </row>
  </sheetData>
  <mergeCells count="7">
    <mergeCell ref="R28:U28"/>
    <mergeCell ref="Q2:AL2"/>
    <mergeCell ref="A2:N2"/>
    <mergeCell ref="AP2:AX2"/>
    <mergeCell ref="BB2:BH2"/>
    <mergeCell ref="R4:AB4"/>
    <mergeCell ref="AD4:AL4"/>
  </mergeCells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27E77-58ED-4481-86C6-798A2C6E0330}">
  <sheetPr codeName="Feuil7"/>
  <dimension ref="A1:AX872"/>
  <sheetViews>
    <sheetView showGridLines="0" workbookViewId="0">
      <selection activeCell="C14" sqref="C14"/>
    </sheetView>
  </sheetViews>
  <sheetFormatPr baseColWidth="10" defaultColWidth="11.42578125" defaultRowHeight="15" x14ac:dyDescent="0.25"/>
  <cols>
    <col min="1" max="1" width="11.42578125" style="112"/>
    <col min="3" max="3" width="142.85546875" customWidth="1"/>
    <col min="4" max="4" width="62.5703125" style="112" customWidth="1"/>
    <col min="5" max="50" width="11.42578125" style="112"/>
  </cols>
  <sheetData>
    <row r="1" spans="2:4" x14ac:dyDescent="0.25">
      <c r="B1" s="112"/>
      <c r="C1" s="112"/>
    </row>
    <row r="2" spans="2:4" x14ac:dyDescent="0.25">
      <c r="B2" s="112"/>
      <c r="C2" s="112"/>
    </row>
    <row r="3" spans="2:4" ht="18.75" x14ac:dyDescent="0.3">
      <c r="B3" s="245" t="s">
        <v>606</v>
      </c>
      <c r="C3" s="245" t="s">
        <v>607</v>
      </c>
      <c r="D3" s="245" t="s">
        <v>608</v>
      </c>
    </row>
    <row r="4" spans="2:4" ht="18" x14ac:dyDescent="0.35">
      <c r="B4" s="246" t="b">
        <v>1</v>
      </c>
      <c r="C4" s="247" t="s">
        <v>609</v>
      </c>
      <c r="D4" s="248"/>
    </row>
    <row r="5" spans="2:4" ht="18" x14ac:dyDescent="0.35">
      <c r="B5" s="246" t="b">
        <v>1</v>
      </c>
      <c r="C5" s="289" t="s">
        <v>610</v>
      </c>
      <c r="D5" s="248"/>
    </row>
    <row r="6" spans="2:4" ht="18" x14ac:dyDescent="0.35">
      <c r="B6" s="246" t="b">
        <v>1</v>
      </c>
      <c r="C6" s="247" t="s">
        <v>611</v>
      </c>
      <c r="D6" s="248"/>
    </row>
    <row r="7" spans="2:4" ht="18" x14ac:dyDescent="0.35">
      <c r="B7" s="246" t="b">
        <v>1</v>
      </c>
      <c r="C7" s="247" t="s">
        <v>612</v>
      </c>
      <c r="D7" s="248"/>
    </row>
    <row r="8" spans="2:4" ht="18" x14ac:dyDescent="0.35">
      <c r="B8" s="246" t="b">
        <v>1</v>
      </c>
      <c r="C8" s="247" t="s">
        <v>613</v>
      </c>
      <c r="D8" s="248"/>
    </row>
    <row r="9" spans="2:4" ht="18" x14ac:dyDescent="0.35">
      <c r="B9" s="246" t="b">
        <v>1</v>
      </c>
      <c r="C9" s="247" t="s">
        <v>614</v>
      </c>
      <c r="D9" s="248"/>
    </row>
    <row r="10" spans="2:4" ht="18" x14ac:dyDescent="0.35">
      <c r="B10" s="246" t="b">
        <v>1</v>
      </c>
      <c r="C10" s="247" t="s">
        <v>615</v>
      </c>
      <c r="D10" s="248"/>
    </row>
    <row r="11" spans="2:4" ht="18" x14ac:dyDescent="0.35">
      <c r="B11" s="246" t="b">
        <v>1</v>
      </c>
      <c r="C11" s="247" t="s">
        <v>616</v>
      </c>
      <c r="D11" s="248"/>
    </row>
    <row r="12" spans="2:4" ht="18" x14ac:dyDescent="0.35">
      <c r="B12" s="246" t="b">
        <v>1</v>
      </c>
      <c r="C12" s="247" t="s">
        <v>617</v>
      </c>
      <c r="D12" s="248"/>
    </row>
    <row r="13" spans="2:4" ht="18" x14ac:dyDescent="0.35">
      <c r="B13" s="246" t="b">
        <v>1</v>
      </c>
      <c r="C13" s="247" t="s">
        <v>618</v>
      </c>
      <c r="D13" s="248"/>
    </row>
    <row r="14" spans="2:4" ht="18" x14ac:dyDescent="0.35">
      <c r="B14" s="246" t="b">
        <v>1</v>
      </c>
      <c r="C14" s="247" t="s">
        <v>619</v>
      </c>
      <c r="D14" s="248"/>
    </row>
    <row r="15" spans="2:4" ht="18" x14ac:dyDescent="0.35">
      <c r="B15" s="246" t="b">
        <v>1</v>
      </c>
      <c r="C15" s="247" t="s">
        <v>620</v>
      </c>
      <c r="D15" s="248"/>
    </row>
    <row r="16" spans="2:4" ht="18" x14ac:dyDescent="0.35">
      <c r="B16" s="246" t="b">
        <v>1</v>
      </c>
      <c r="C16" s="247" t="s">
        <v>621</v>
      </c>
      <c r="D16" s="248"/>
    </row>
    <row r="17" spans="2:4" ht="18" x14ac:dyDescent="0.35">
      <c r="B17" s="246" t="b">
        <v>1</v>
      </c>
      <c r="C17" s="247" t="s">
        <v>622</v>
      </c>
      <c r="D17" s="248"/>
    </row>
    <row r="18" spans="2:4" ht="18" x14ac:dyDescent="0.35">
      <c r="B18" s="246" t="b">
        <v>1</v>
      </c>
      <c r="C18" s="247" t="s">
        <v>623</v>
      </c>
      <c r="D18" s="248"/>
    </row>
    <row r="19" spans="2:4" ht="18" x14ac:dyDescent="0.35">
      <c r="B19" s="246" t="b">
        <v>1</v>
      </c>
      <c r="C19" s="247" t="s">
        <v>624</v>
      </c>
      <c r="D19" s="248"/>
    </row>
    <row r="20" spans="2:4" ht="18" x14ac:dyDescent="0.35">
      <c r="B20" s="246" t="b">
        <v>1</v>
      </c>
      <c r="C20" s="247" t="s">
        <v>625</v>
      </c>
      <c r="D20" s="248"/>
    </row>
    <row r="21" spans="2:4" ht="18" x14ac:dyDescent="0.35">
      <c r="B21" s="246" t="b">
        <v>1</v>
      </c>
      <c r="C21" s="247" t="s">
        <v>626</v>
      </c>
      <c r="D21" s="248"/>
    </row>
    <row r="22" spans="2:4" ht="18" x14ac:dyDescent="0.35">
      <c r="B22" s="246" t="b">
        <v>1</v>
      </c>
      <c r="C22" s="247" t="s">
        <v>627</v>
      </c>
      <c r="D22" s="248"/>
    </row>
    <row r="23" spans="2:4" ht="18" x14ac:dyDescent="0.35">
      <c r="B23" s="246" t="b">
        <v>1</v>
      </c>
      <c r="C23" s="247" t="s">
        <v>628</v>
      </c>
      <c r="D23" s="248"/>
    </row>
    <row r="24" spans="2:4" ht="18" x14ac:dyDescent="0.35">
      <c r="B24" s="246" t="b">
        <v>1</v>
      </c>
      <c r="C24" s="247" t="s">
        <v>629</v>
      </c>
      <c r="D24" s="248"/>
    </row>
    <row r="25" spans="2:4" ht="18" x14ac:dyDescent="0.35">
      <c r="B25" s="246" t="b">
        <v>1</v>
      </c>
      <c r="C25" s="247" t="s">
        <v>630</v>
      </c>
      <c r="D25" s="248"/>
    </row>
    <row r="26" spans="2:4" ht="18" x14ac:dyDescent="0.35">
      <c r="B26" s="246" t="b">
        <v>1</v>
      </c>
      <c r="C26" s="247" t="s">
        <v>631</v>
      </c>
      <c r="D26" s="248"/>
    </row>
    <row r="27" spans="2:4" ht="18" x14ac:dyDescent="0.35">
      <c r="B27" s="246" t="b">
        <v>1</v>
      </c>
      <c r="C27" s="247" t="s">
        <v>632</v>
      </c>
      <c r="D27" s="248"/>
    </row>
    <row r="28" spans="2:4" ht="18" x14ac:dyDescent="0.35">
      <c r="B28" s="246" t="b">
        <v>1</v>
      </c>
      <c r="C28" s="247" t="s">
        <v>633</v>
      </c>
      <c r="D28" s="248"/>
    </row>
    <row r="29" spans="2:4" ht="18" x14ac:dyDescent="0.35">
      <c r="B29" s="246" t="b">
        <v>1</v>
      </c>
      <c r="C29" s="247" t="s">
        <v>634</v>
      </c>
      <c r="D29" s="248"/>
    </row>
    <row r="30" spans="2:4" ht="18" x14ac:dyDescent="0.35">
      <c r="B30" s="246" t="b">
        <v>1</v>
      </c>
      <c r="C30" s="247" t="s">
        <v>635</v>
      </c>
      <c r="D30" s="248"/>
    </row>
    <row r="31" spans="2:4" ht="18" x14ac:dyDescent="0.35">
      <c r="B31" s="246" t="b">
        <v>1</v>
      </c>
      <c r="C31" s="247" t="s">
        <v>636</v>
      </c>
      <c r="D31" s="248"/>
    </row>
    <row r="32" spans="2:4" ht="18" x14ac:dyDescent="0.35">
      <c r="B32" s="246" t="b">
        <v>1</v>
      </c>
      <c r="C32" s="248" t="s">
        <v>637</v>
      </c>
      <c r="D32" s="248"/>
    </row>
    <row r="33" spans="2:4" ht="18" x14ac:dyDescent="0.35">
      <c r="B33" s="246" t="b">
        <v>1</v>
      </c>
      <c r="C33" s="248" t="s">
        <v>638</v>
      </c>
      <c r="D33" s="248"/>
    </row>
    <row r="34" spans="2:4" x14ac:dyDescent="0.25">
      <c r="B34" s="112"/>
      <c r="C34" s="112"/>
    </row>
    <row r="35" spans="2:4" x14ac:dyDescent="0.25">
      <c r="B35" s="112"/>
      <c r="C35" s="112"/>
    </row>
    <row r="36" spans="2:4" x14ac:dyDescent="0.25">
      <c r="B36" s="112"/>
      <c r="C36" s="112"/>
    </row>
    <row r="37" spans="2:4" x14ac:dyDescent="0.25">
      <c r="B37" s="112"/>
      <c r="C37" s="112"/>
    </row>
    <row r="38" spans="2:4" x14ac:dyDescent="0.25">
      <c r="B38" s="112"/>
      <c r="C38" s="112"/>
    </row>
    <row r="39" spans="2:4" x14ac:dyDescent="0.25">
      <c r="B39" s="112"/>
      <c r="C39" s="112"/>
    </row>
    <row r="40" spans="2:4" x14ac:dyDescent="0.25">
      <c r="B40" s="112"/>
      <c r="C40" s="112"/>
    </row>
    <row r="41" spans="2:4" x14ac:dyDescent="0.25">
      <c r="B41" s="112"/>
      <c r="C41" s="112"/>
    </row>
    <row r="42" spans="2:4" s="112" customFormat="1" x14ac:dyDescent="0.25"/>
    <row r="43" spans="2:4" s="112" customFormat="1" x14ac:dyDescent="0.25"/>
    <row r="44" spans="2:4" s="112" customFormat="1" x14ac:dyDescent="0.25"/>
    <row r="45" spans="2:4" s="112" customFormat="1" x14ac:dyDescent="0.25"/>
    <row r="46" spans="2:4" s="112" customFormat="1" x14ac:dyDescent="0.25"/>
    <row r="47" spans="2:4" s="112" customFormat="1" x14ac:dyDescent="0.25"/>
    <row r="48" spans="2:4" s="112" customFormat="1" x14ac:dyDescent="0.25"/>
    <row r="49" s="112" customFormat="1" x14ac:dyDescent="0.25"/>
    <row r="50" s="112" customFormat="1" x14ac:dyDescent="0.25"/>
    <row r="51" s="112" customFormat="1" x14ac:dyDescent="0.25"/>
    <row r="52" s="112" customFormat="1" x14ac:dyDescent="0.25"/>
    <row r="53" s="112" customFormat="1" x14ac:dyDescent="0.25"/>
    <row r="54" s="112" customFormat="1" x14ac:dyDescent="0.25"/>
    <row r="55" s="112" customFormat="1" x14ac:dyDescent="0.25"/>
    <row r="56" s="112" customFormat="1" x14ac:dyDescent="0.25"/>
    <row r="57" s="112" customFormat="1" x14ac:dyDescent="0.25"/>
    <row r="58" s="112" customFormat="1" x14ac:dyDescent="0.25"/>
    <row r="59" s="112" customFormat="1" x14ac:dyDescent="0.25"/>
    <row r="60" s="112" customFormat="1" x14ac:dyDescent="0.25"/>
    <row r="61" s="112" customFormat="1" x14ac:dyDescent="0.25"/>
    <row r="62" s="112" customFormat="1" x14ac:dyDescent="0.25"/>
    <row r="63" s="112" customFormat="1" x14ac:dyDescent="0.25"/>
    <row r="64" s="112" customFormat="1" x14ac:dyDescent="0.25"/>
    <row r="65" s="112" customFormat="1" x14ac:dyDescent="0.25"/>
    <row r="66" s="112" customFormat="1" x14ac:dyDescent="0.25"/>
    <row r="67" s="112" customFormat="1" x14ac:dyDescent="0.25"/>
    <row r="68" s="112" customFormat="1" x14ac:dyDescent="0.25"/>
    <row r="69" s="112" customFormat="1" x14ac:dyDescent="0.25"/>
    <row r="70" s="112" customFormat="1" x14ac:dyDescent="0.25"/>
    <row r="71" s="112" customFormat="1" x14ac:dyDescent="0.25"/>
    <row r="72" s="112" customFormat="1" x14ac:dyDescent="0.25"/>
    <row r="73" s="112" customFormat="1" x14ac:dyDescent="0.25"/>
    <row r="74" s="112" customFormat="1" x14ac:dyDescent="0.25"/>
    <row r="75" s="112" customFormat="1" x14ac:dyDescent="0.25"/>
    <row r="76" s="112" customFormat="1" x14ac:dyDescent="0.25"/>
    <row r="77" s="112" customFormat="1" x14ac:dyDescent="0.25"/>
    <row r="78" s="112" customFormat="1" x14ac:dyDescent="0.25"/>
    <row r="79" s="112" customFormat="1" x14ac:dyDescent="0.25"/>
    <row r="80" s="112" customFormat="1" x14ac:dyDescent="0.25"/>
    <row r="81" s="112" customFormat="1" x14ac:dyDescent="0.25"/>
    <row r="82" s="112" customFormat="1" x14ac:dyDescent="0.25"/>
    <row r="83" s="112" customFormat="1" x14ac:dyDescent="0.25"/>
    <row r="84" s="112" customFormat="1" x14ac:dyDescent="0.25"/>
    <row r="85" s="112" customFormat="1" x14ac:dyDescent="0.25"/>
    <row r="86" s="112" customFormat="1" x14ac:dyDescent="0.25"/>
    <row r="87" s="112" customFormat="1" x14ac:dyDescent="0.25"/>
    <row r="88" s="112" customFormat="1" x14ac:dyDescent="0.25"/>
    <row r="89" s="112" customFormat="1" x14ac:dyDescent="0.25"/>
    <row r="90" s="112" customFormat="1" x14ac:dyDescent="0.25"/>
    <row r="91" s="112" customFormat="1" x14ac:dyDescent="0.25"/>
    <row r="92" s="112" customFormat="1" x14ac:dyDescent="0.25"/>
    <row r="93" s="112" customFormat="1" x14ac:dyDescent="0.25"/>
    <row r="94" s="112" customFormat="1" x14ac:dyDescent="0.25"/>
    <row r="95" s="112" customFormat="1" x14ac:dyDescent="0.25"/>
    <row r="96" s="112" customFormat="1" x14ac:dyDescent="0.25"/>
    <row r="97" s="112" customFormat="1" x14ac:dyDescent="0.25"/>
    <row r="98" s="112" customFormat="1" x14ac:dyDescent="0.25"/>
    <row r="99" s="112" customFormat="1" x14ac:dyDescent="0.25"/>
    <row r="100" s="112" customFormat="1" x14ac:dyDescent="0.25"/>
    <row r="101" s="112" customFormat="1" x14ac:dyDescent="0.25"/>
    <row r="102" s="112" customFormat="1" x14ac:dyDescent="0.25"/>
    <row r="103" s="112" customFormat="1" x14ac:dyDescent="0.25"/>
    <row r="104" s="112" customFormat="1" x14ac:dyDescent="0.25"/>
    <row r="105" s="112" customFormat="1" x14ac:dyDescent="0.25"/>
    <row r="106" s="112" customFormat="1" x14ac:dyDescent="0.25"/>
    <row r="107" s="112" customFormat="1" x14ac:dyDescent="0.25"/>
    <row r="108" s="112" customFormat="1" x14ac:dyDescent="0.25"/>
    <row r="109" s="112" customFormat="1" x14ac:dyDescent="0.25"/>
    <row r="110" s="112" customFormat="1" x14ac:dyDescent="0.25"/>
    <row r="111" s="112" customFormat="1" x14ac:dyDescent="0.25"/>
    <row r="112" s="112" customFormat="1" x14ac:dyDescent="0.25"/>
    <row r="113" s="112" customFormat="1" x14ac:dyDescent="0.25"/>
    <row r="114" s="112" customFormat="1" x14ac:dyDescent="0.25"/>
    <row r="115" s="112" customFormat="1" x14ac:dyDescent="0.25"/>
    <row r="116" s="112" customFormat="1" x14ac:dyDescent="0.25"/>
    <row r="117" s="112" customFormat="1" x14ac:dyDescent="0.25"/>
    <row r="118" s="112" customFormat="1" x14ac:dyDescent="0.25"/>
    <row r="119" s="112" customFormat="1" x14ac:dyDescent="0.25"/>
    <row r="120" s="112" customFormat="1" x14ac:dyDescent="0.25"/>
    <row r="121" s="112" customFormat="1" x14ac:dyDescent="0.25"/>
    <row r="122" s="112" customFormat="1" x14ac:dyDescent="0.25"/>
    <row r="123" s="112" customFormat="1" x14ac:dyDescent="0.25"/>
    <row r="124" s="112" customFormat="1" x14ac:dyDescent="0.25"/>
    <row r="125" s="112" customFormat="1" x14ac:dyDescent="0.25"/>
    <row r="126" s="112" customFormat="1" x14ac:dyDescent="0.25"/>
    <row r="127" s="112" customFormat="1" x14ac:dyDescent="0.25"/>
    <row r="128" s="112" customFormat="1" x14ac:dyDescent="0.25"/>
    <row r="129" s="112" customFormat="1" x14ac:dyDescent="0.25"/>
    <row r="130" s="112" customFormat="1" x14ac:dyDescent="0.25"/>
    <row r="131" s="112" customFormat="1" x14ac:dyDescent="0.25"/>
    <row r="132" s="112" customFormat="1" x14ac:dyDescent="0.25"/>
    <row r="133" s="112" customFormat="1" x14ac:dyDescent="0.25"/>
    <row r="134" s="112" customFormat="1" x14ac:dyDescent="0.25"/>
    <row r="135" s="112" customFormat="1" x14ac:dyDescent="0.25"/>
    <row r="136" s="112" customFormat="1" x14ac:dyDescent="0.25"/>
    <row r="137" s="112" customFormat="1" x14ac:dyDescent="0.25"/>
    <row r="138" s="112" customFormat="1" x14ac:dyDescent="0.25"/>
    <row r="139" s="112" customFormat="1" x14ac:dyDescent="0.25"/>
    <row r="140" s="112" customFormat="1" x14ac:dyDescent="0.25"/>
    <row r="141" s="112" customFormat="1" x14ac:dyDescent="0.25"/>
    <row r="142" s="112" customFormat="1" x14ac:dyDescent="0.25"/>
    <row r="143" s="112" customFormat="1" x14ac:dyDescent="0.25"/>
    <row r="144" s="112" customFormat="1" x14ac:dyDescent="0.25"/>
    <row r="145" s="112" customFormat="1" x14ac:dyDescent="0.25"/>
    <row r="146" s="112" customFormat="1" x14ac:dyDescent="0.25"/>
    <row r="147" s="112" customFormat="1" x14ac:dyDescent="0.25"/>
    <row r="148" s="112" customFormat="1" x14ac:dyDescent="0.25"/>
    <row r="149" s="112" customFormat="1" x14ac:dyDescent="0.25"/>
    <row r="150" s="112" customFormat="1" x14ac:dyDescent="0.25"/>
    <row r="151" s="112" customFormat="1" x14ac:dyDescent="0.25"/>
    <row r="152" s="112" customFormat="1" x14ac:dyDescent="0.25"/>
    <row r="153" s="112" customFormat="1" x14ac:dyDescent="0.25"/>
    <row r="154" s="112" customFormat="1" x14ac:dyDescent="0.25"/>
    <row r="155" s="112" customFormat="1" x14ac:dyDescent="0.25"/>
    <row r="156" s="112" customFormat="1" x14ac:dyDescent="0.25"/>
    <row r="157" s="112" customFormat="1" x14ac:dyDescent="0.25"/>
    <row r="158" s="112" customFormat="1" x14ac:dyDescent="0.25"/>
    <row r="159" s="112" customFormat="1" x14ac:dyDescent="0.25"/>
    <row r="160" s="112" customFormat="1" x14ac:dyDescent="0.25"/>
    <row r="161" s="112" customFormat="1" x14ac:dyDescent="0.25"/>
    <row r="162" s="112" customFormat="1" x14ac:dyDescent="0.25"/>
    <row r="163" s="112" customFormat="1" x14ac:dyDescent="0.25"/>
    <row r="164" s="112" customFormat="1" x14ac:dyDescent="0.25"/>
    <row r="165" s="112" customFormat="1" x14ac:dyDescent="0.25"/>
    <row r="166" s="112" customFormat="1" x14ac:dyDescent="0.25"/>
    <row r="167" s="112" customFormat="1" x14ac:dyDescent="0.25"/>
    <row r="168" s="112" customFormat="1" x14ac:dyDescent="0.25"/>
    <row r="169" s="112" customFormat="1" x14ac:dyDescent="0.25"/>
    <row r="170" s="112" customFormat="1" x14ac:dyDescent="0.25"/>
    <row r="171" s="112" customFormat="1" x14ac:dyDescent="0.25"/>
    <row r="172" s="112" customFormat="1" x14ac:dyDescent="0.25"/>
    <row r="173" s="112" customFormat="1" x14ac:dyDescent="0.25"/>
    <row r="174" s="112" customFormat="1" x14ac:dyDescent="0.25"/>
    <row r="175" s="112" customFormat="1" x14ac:dyDescent="0.25"/>
    <row r="176" s="112" customFormat="1" x14ac:dyDescent="0.25"/>
    <row r="177" s="112" customFormat="1" x14ac:dyDescent="0.25"/>
    <row r="178" s="112" customFormat="1" x14ac:dyDescent="0.25"/>
    <row r="179" s="112" customFormat="1" x14ac:dyDescent="0.25"/>
    <row r="180" s="112" customFormat="1" x14ac:dyDescent="0.25"/>
    <row r="181" s="112" customFormat="1" x14ac:dyDescent="0.25"/>
    <row r="182" s="112" customFormat="1" x14ac:dyDescent="0.25"/>
    <row r="183" s="112" customFormat="1" x14ac:dyDescent="0.25"/>
    <row r="184" s="112" customFormat="1" x14ac:dyDescent="0.25"/>
    <row r="185" s="112" customFormat="1" x14ac:dyDescent="0.25"/>
    <row r="186" s="112" customFormat="1" x14ac:dyDescent="0.25"/>
    <row r="187" s="112" customFormat="1" x14ac:dyDescent="0.25"/>
    <row r="188" s="112" customFormat="1" x14ac:dyDescent="0.25"/>
    <row r="189" s="112" customFormat="1" x14ac:dyDescent="0.25"/>
    <row r="190" s="112" customFormat="1" x14ac:dyDescent="0.25"/>
    <row r="191" s="112" customFormat="1" x14ac:dyDescent="0.25"/>
    <row r="192" s="112" customFormat="1" x14ac:dyDescent="0.25"/>
    <row r="193" s="112" customFormat="1" x14ac:dyDescent="0.25"/>
    <row r="194" s="112" customFormat="1" x14ac:dyDescent="0.25"/>
    <row r="195" s="112" customFormat="1" x14ac:dyDescent="0.25"/>
    <row r="196" s="112" customFormat="1" x14ac:dyDescent="0.25"/>
    <row r="197" s="112" customFormat="1" x14ac:dyDescent="0.25"/>
    <row r="198" s="112" customFormat="1" x14ac:dyDescent="0.25"/>
    <row r="199" s="112" customFormat="1" x14ac:dyDescent="0.25"/>
    <row r="200" s="112" customFormat="1" x14ac:dyDescent="0.25"/>
    <row r="201" s="112" customFormat="1" x14ac:dyDescent="0.25"/>
    <row r="202" s="112" customFormat="1" x14ac:dyDescent="0.25"/>
    <row r="203" s="112" customFormat="1" x14ac:dyDescent="0.25"/>
    <row r="204" s="112" customFormat="1" x14ac:dyDescent="0.25"/>
    <row r="205" s="112" customFormat="1" x14ac:dyDescent="0.25"/>
    <row r="206" s="112" customFormat="1" x14ac:dyDescent="0.25"/>
    <row r="207" s="112" customFormat="1" x14ac:dyDescent="0.25"/>
    <row r="208" s="112" customFormat="1" x14ac:dyDescent="0.25"/>
    <row r="209" s="112" customFormat="1" x14ac:dyDescent="0.25"/>
    <row r="210" s="112" customFormat="1" x14ac:dyDescent="0.25"/>
    <row r="211" s="112" customFormat="1" x14ac:dyDescent="0.25"/>
    <row r="212" s="112" customFormat="1" x14ac:dyDescent="0.25"/>
    <row r="213" s="112" customFormat="1" x14ac:dyDescent="0.25"/>
    <row r="214" s="112" customFormat="1" x14ac:dyDescent="0.25"/>
    <row r="215" s="112" customFormat="1" x14ac:dyDescent="0.25"/>
    <row r="216" s="112" customFormat="1" x14ac:dyDescent="0.25"/>
    <row r="217" s="112" customFormat="1" x14ac:dyDescent="0.25"/>
    <row r="218" s="112" customFormat="1" x14ac:dyDescent="0.25"/>
    <row r="219" s="112" customFormat="1" x14ac:dyDescent="0.25"/>
    <row r="220" s="112" customFormat="1" x14ac:dyDescent="0.25"/>
    <row r="221" s="112" customFormat="1" x14ac:dyDescent="0.25"/>
    <row r="222" s="112" customFormat="1" x14ac:dyDescent="0.25"/>
    <row r="223" s="112" customFormat="1" x14ac:dyDescent="0.25"/>
    <row r="224" s="112" customFormat="1" x14ac:dyDescent="0.25"/>
    <row r="225" s="112" customFormat="1" x14ac:dyDescent="0.25"/>
    <row r="226" s="112" customFormat="1" x14ac:dyDescent="0.25"/>
    <row r="227" s="112" customFormat="1" x14ac:dyDescent="0.25"/>
    <row r="228" s="112" customFormat="1" x14ac:dyDescent="0.25"/>
    <row r="229" s="112" customFormat="1" x14ac:dyDescent="0.25"/>
    <row r="230" s="112" customFormat="1" x14ac:dyDescent="0.25"/>
    <row r="231" s="112" customFormat="1" x14ac:dyDescent="0.25"/>
    <row r="232" s="112" customFormat="1" x14ac:dyDescent="0.25"/>
    <row r="233" s="112" customFormat="1" x14ac:dyDescent="0.25"/>
    <row r="234" s="112" customFormat="1" x14ac:dyDescent="0.25"/>
    <row r="235" s="112" customFormat="1" x14ac:dyDescent="0.25"/>
    <row r="236" s="112" customFormat="1" x14ac:dyDescent="0.25"/>
    <row r="237" s="112" customFormat="1" x14ac:dyDescent="0.25"/>
    <row r="238" s="112" customFormat="1" x14ac:dyDescent="0.25"/>
    <row r="239" s="112" customFormat="1" x14ac:dyDescent="0.25"/>
    <row r="240" s="112" customFormat="1" x14ac:dyDescent="0.25"/>
    <row r="241" s="112" customFormat="1" x14ac:dyDescent="0.25"/>
    <row r="242" s="112" customFormat="1" x14ac:dyDescent="0.25"/>
    <row r="243" s="112" customFormat="1" x14ac:dyDescent="0.25"/>
    <row r="244" s="112" customFormat="1" x14ac:dyDescent="0.25"/>
    <row r="245" s="112" customFormat="1" x14ac:dyDescent="0.25"/>
    <row r="246" s="112" customFormat="1" x14ac:dyDescent="0.25"/>
    <row r="247" s="112" customFormat="1" x14ac:dyDescent="0.25"/>
    <row r="248" s="112" customFormat="1" x14ac:dyDescent="0.25"/>
    <row r="249" s="112" customFormat="1" x14ac:dyDescent="0.25"/>
    <row r="250" s="112" customFormat="1" x14ac:dyDescent="0.25"/>
    <row r="251" s="112" customFormat="1" x14ac:dyDescent="0.25"/>
    <row r="252" s="112" customFormat="1" x14ac:dyDescent="0.25"/>
    <row r="253" s="112" customFormat="1" x14ac:dyDescent="0.25"/>
    <row r="254" s="112" customFormat="1" x14ac:dyDescent="0.25"/>
    <row r="255" s="112" customFormat="1" x14ac:dyDescent="0.25"/>
    <row r="256" s="112" customFormat="1" x14ac:dyDescent="0.25"/>
    <row r="257" s="112" customFormat="1" x14ac:dyDescent="0.25"/>
    <row r="258" s="112" customFormat="1" x14ac:dyDescent="0.25"/>
    <row r="259" s="112" customFormat="1" x14ac:dyDescent="0.25"/>
    <row r="260" s="112" customFormat="1" x14ac:dyDescent="0.25"/>
    <row r="261" s="112" customFormat="1" x14ac:dyDescent="0.25"/>
    <row r="262" s="112" customFormat="1" x14ac:dyDescent="0.25"/>
    <row r="263" s="112" customFormat="1" x14ac:dyDescent="0.25"/>
    <row r="264" s="112" customFormat="1" x14ac:dyDescent="0.25"/>
    <row r="265" s="112" customFormat="1" x14ac:dyDescent="0.25"/>
    <row r="266" s="112" customFormat="1" x14ac:dyDescent="0.25"/>
    <row r="267" s="112" customFormat="1" x14ac:dyDescent="0.25"/>
    <row r="268" s="112" customFormat="1" x14ac:dyDescent="0.25"/>
    <row r="269" s="112" customFormat="1" x14ac:dyDescent="0.25"/>
    <row r="270" s="112" customFormat="1" x14ac:dyDescent="0.25"/>
    <row r="271" s="112" customFormat="1" x14ac:dyDescent="0.25"/>
    <row r="272" s="112" customFormat="1" x14ac:dyDescent="0.25"/>
    <row r="273" s="112" customFormat="1" x14ac:dyDescent="0.25"/>
    <row r="274" s="112" customFormat="1" x14ac:dyDescent="0.25"/>
    <row r="275" s="112" customFormat="1" x14ac:dyDescent="0.25"/>
    <row r="276" s="112" customFormat="1" x14ac:dyDescent="0.25"/>
    <row r="277" s="112" customFormat="1" x14ac:dyDescent="0.25"/>
    <row r="278" s="112" customFormat="1" x14ac:dyDescent="0.25"/>
    <row r="279" s="112" customFormat="1" x14ac:dyDescent="0.25"/>
    <row r="280" s="112" customFormat="1" x14ac:dyDescent="0.25"/>
    <row r="281" s="112" customFormat="1" x14ac:dyDescent="0.25"/>
    <row r="282" s="112" customFormat="1" x14ac:dyDescent="0.25"/>
    <row r="283" s="112" customFormat="1" x14ac:dyDescent="0.25"/>
    <row r="284" s="112" customFormat="1" x14ac:dyDescent="0.25"/>
    <row r="285" s="112" customFormat="1" x14ac:dyDescent="0.25"/>
    <row r="286" s="112" customFormat="1" x14ac:dyDescent="0.25"/>
    <row r="287" s="112" customFormat="1" x14ac:dyDescent="0.25"/>
    <row r="288" s="112" customFormat="1" x14ac:dyDescent="0.25"/>
    <row r="289" s="112" customFormat="1" x14ac:dyDescent="0.25"/>
    <row r="290" s="112" customFormat="1" x14ac:dyDescent="0.25"/>
    <row r="291" s="112" customFormat="1" x14ac:dyDescent="0.25"/>
    <row r="292" s="112" customFormat="1" x14ac:dyDescent="0.25"/>
    <row r="293" s="112" customFormat="1" x14ac:dyDescent="0.25"/>
    <row r="294" s="112" customFormat="1" x14ac:dyDescent="0.25"/>
    <row r="295" s="112" customFormat="1" x14ac:dyDescent="0.25"/>
    <row r="296" s="112" customFormat="1" x14ac:dyDescent="0.25"/>
    <row r="297" s="112" customFormat="1" x14ac:dyDescent="0.25"/>
    <row r="298" s="112" customFormat="1" x14ac:dyDescent="0.25"/>
    <row r="299" s="112" customFormat="1" x14ac:dyDescent="0.25"/>
    <row r="300" s="112" customFormat="1" x14ac:dyDescent="0.25"/>
    <row r="301" s="112" customFormat="1" x14ac:dyDescent="0.25"/>
    <row r="302" s="112" customFormat="1" x14ac:dyDescent="0.25"/>
    <row r="303" s="112" customFormat="1" x14ac:dyDescent="0.25"/>
    <row r="304" s="112" customFormat="1" x14ac:dyDescent="0.25"/>
    <row r="305" s="112" customFormat="1" x14ac:dyDescent="0.25"/>
    <row r="306" s="112" customFormat="1" x14ac:dyDescent="0.25"/>
    <row r="307" s="112" customFormat="1" x14ac:dyDescent="0.25"/>
    <row r="308" s="112" customFormat="1" x14ac:dyDescent="0.25"/>
    <row r="309" s="112" customFormat="1" x14ac:dyDescent="0.25"/>
    <row r="310" s="112" customFormat="1" x14ac:dyDescent="0.25"/>
    <row r="311" s="112" customFormat="1" x14ac:dyDescent="0.25"/>
    <row r="312" s="112" customFormat="1" x14ac:dyDescent="0.25"/>
    <row r="313" s="112" customFormat="1" x14ac:dyDescent="0.25"/>
    <row r="314" s="112" customFormat="1" x14ac:dyDescent="0.25"/>
    <row r="315" s="112" customFormat="1" x14ac:dyDescent="0.25"/>
    <row r="316" s="112" customFormat="1" x14ac:dyDescent="0.25"/>
    <row r="317" s="112" customFormat="1" x14ac:dyDescent="0.25"/>
    <row r="318" s="112" customFormat="1" x14ac:dyDescent="0.25"/>
    <row r="319" s="112" customFormat="1" x14ac:dyDescent="0.25"/>
    <row r="320" s="112" customFormat="1" x14ac:dyDescent="0.25"/>
    <row r="321" s="112" customFormat="1" x14ac:dyDescent="0.25"/>
    <row r="322" s="112" customFormat="1" x14ac:dyDescent="0.25"/>
    <row r="323" s="112" customFormat="1" x14ac:dyDescent="0.25"/>
    <row r="324" s="112" customFormat="1" x14ac:dyDescent="0.25"/>
    <row r="325" s="112" customFormat="1" x14ac:dyDescent="0.25"/>
    <row r="326" s="112" customFormat="1" x14ac:dyDescent="0.25"/>
    <row r="327" s="112" customFormat="1" x14ac:dyDescent="0.25"/>
    <row r="328" s="112" customFormat="1" x14ac:dyDescent="0.25"/>
    <row r="329" s="112" customFormat="1" x14ac:dyDescent="0.25"/>
    <row r="330" s="112" customFormat="1" x14ac:dyDescent="0.25"/>
    <row r="331" s="112" customFormat="1" x14ac:dyDescent="0.25"/>
    <row r="332" s="112" customFormat="1" x14ac:dyDescent="0.25"/>
    <row r="333" s="112" customFormat="1" x14ac:dyDescent="0.25"/>
    <row r="334" s="112" customFormat="1" x14ac:dyDescent="0.25"/>
    <row r="335" s="112" customFormat="1" x14ac:dyDescent="0.25"/>
    <row r="336" s="112" customFormat="1" x14ac:dyDescent="0.25"/>
    <row r="337" s="112" customFormat="1" x14ac:dyDescent="0.25"/>
    <row r="338" s="112" customFormat="1" x14ac:dyDescent="0.25"/>
    <row r="339" s="112" customFormat="1" x14ac:dyDescent="0.25"/>
    <row r="340" s="112" customFormat="1" x14ac:dyDescent="0.25"/>
    <row r="341" s="112" customFormat="1" x14ac:dyDescent="0.25"/>
    <row r="342" s="112" customFormat="1" x14ac:dyDescent="0.25"/>
    <row r="343" s="112" customFormat="1" x14ac:dyDescent="0.25"/>
    <row r="344" s="112" customFormat="1" x14ac:dyDescent="0.25"/>
    <row r="345" s="112" customFormat="1" x14ac:dyDescent="0.25"/>
    <row r="346" s="112" customFormat="1" x14ac:dyDescent="0.25"/>
    <row r="347" s="112" customFormat="1" x14ac:dyDescent="0.25"/>
    <row r="348" s="112" customFormat="1" x14ac:dyDescent="0.25"/>
    <row r="349" s="112" customFormat="1" x14ac:dyDescent="0.25"/>
    <row r="350" s="112" customFormat="1" x14ac:dyDescent="0.25"/>
    <row r="351" s="112" customFormat="1" x14ac:dyDescent="0.25"/>
    <row r="352" s="112" customFormat="1" x14ac:dyDescent="0.25"/>
    <row r="353" s="112" customFormat="1" x14ac:dyDescent="0.25"/>
    <row r="354" s="112" customFormat="1" x14ac:dyDescent="0.25"/>
    <row r="355" s="112" customFormat="1" x14ac:dyDescent="0.25"/>
    <row r="356" s="112" customFormat="1" x14ac:dyDescent="0.25"/>
    <row r="357" s="112" customFormat="1" x14ac:dyDescent="0.25"/>
    <row r="358" s="112" customFormat="1" x14ac:dyDescent="0.25"/>
    <row r="359" s="112" customFormat="1" x14ac:dyDescent="0.25"/>
    <row r="360" s="112" customFormat="1" x14ac:dyDescent="0.25"/>
    <row r="361" s="112" customFormat="1" x14ac:dyDescent="0.25"/>
    <row r="362" s="112" customFormat="1" x14ac:dyDescent="0.25"/>
    <row r="363" s="112" customFormat="1" x14ac:dyDescent="0.25"/>
    <row r="364" s="112" customFormat="1" x14ac:dyDescent="0.25"/>
    <row r="365" s="112" customFormat="1" x14ac:dyDescent="0.25"/>
    <row r="366" s="112" customFormat="1" x14ac:dyDescent="0.25"/>
    <row r="367" s="112" customFormat="1" x14ac:dyDescent="0.25"/>
    <row r="368" s="112" customFormat="1" x14ac:dyDescent="0.25"/>
    <row r="369" s="112" customFormat="1" x14ac:dyDescent="0.25"/>
    <row r="370" s="112" customFormat="1" x14ac:dyDescent="0.25"/>
    <row r="371" s="112" customFormat="1" x14ac:dyDescent="0.25"/>
    <row r="372" s="112" customFormat="1" x14ac:dyDescent="0.25"/>
    <row r="373" s="112" customFormat="1" x14ac:dyDescent="0.25"/>
    <row r="374" s="112" customFormat="1" x14ac:dyDescent="0.25"/>
    <row r="375" s="112" customFormat="1" x14ac:dyDescent="0.25"/>
    <row r="376" s="112" customFormat="1" x14ac:dyDescent="0.25"/>
    <row r="377" s="112" customFormat="1" x14ac:dyDescent="0.25"/>
    <row r="378" s="112" customFormat="1" x14ac:dyDescent="0.25"/>
    <row r="379" s="112" customFormat="1" x14ac:dyDescent="0.25"/>
    <row r="380" s="112" customFormat="1" x14ac:dyDescent="0.25"/>
    <row r="381" s="112" customFormat="1" x14ac:dyDescent="0.25"/>
    <row r="382" s="112" customFormat="1" x14ac:dyDescent="0.25"/>
    <row r="383" s="112" customFormat="1" x14ac:dyDescent="0.25"/>
    <row r="384" s="112" customFormat="1" x14ac:dyDescent="0.25"/>
    <row r="385" s="112" customFormat="1" x14ac:dyDescent="0.25"/>
    <row r="386" s="112" customFormat="1" x14ac:dyDescent="0.25"/>
    <row r="387" s="112" customFormat="1" x14ac:dyDescent="0.25"/>
    <row r="388" s="112" customFormat="1" x14ac:dyDescent="0.25"/>
    <row r="389" s="112" customFormat="1" x14ac:dyDescent="0.25"/>
    <row r="390" s="112" customFormat="1" x14ac:dyDescent="0.25"/>
    <row r="391" s="112" customFormat="1" x14ac:dyDescent="0.25"/>
    <row r="392" s="112" customFormat="1" x14ac:dyDescent="0.25"/>
    <row r="393" s="112" customFormat="1" x14ac:dyDescent="0.25"/>
    <row r="394" s="112" customFormat="1" x14ac:dyDescent="0.25"/>
    <row r="395" s="112" customFormat="1" x14ac:dyDescent="0.25"/>
    <row r="396" s="112" customFormat="1" x14ac:dyDescent="0.25"/>
    <row r="397" s="112" customFormat="1" x14ac:dyDescent="0.25"/>
    <row r="398" s="112" customFormat="1" x14ac:dyDescent="0.25"/>
    <row r="399" s="112" customFormat="1" x14ac:dyDescent="0.25"/>
    <row r="400" s="112" customFormat="1" x14ac:dyDescent="0.25"/>
    <row r="401" s="112" customFormat="1" x14ac:dyDescent="0.25"/>
    <row r="402" s="112" customFormat="1" x14ac:dyDescent="0.25"/>
    <row r="403" s="112" customFormat="1" x14ac:dyDescent="0.25"/>
    <row r="404" s="112" customFormat="1" x14ac:dyDescent="0.25"/>
    <row r="405" s="112" customFormat="1" x14ac:dyDescent="0.25"/>
    <row r="406" s="112" customFormat="1" x14ac:dyDescent="0.25"/>
    <row r="407" s="112" customFormat="1" x14ac:dyDescent="0.25"/>
    <row r="408" s="112" customFormat="1" x14ac:dyDescent="0.25"/>
    <row r="409" s="112" customFormat="1" x14ac:dyDescent="0.25"/>
    <row r="410" s="112" customFormat="1" x14ac:dyDescent="0.25"/>
    <row r="411" s="112" customFormat="1" x14ac:dyDescent="0.25"/>
    <row r="412" s="112" customFormat="1" x14ac:dyDescent="0.25"/>
    <row r="413" s="112" customFormat="1" x14ac:dyDescent="0.25"/>
    <row r="414" s="112" customFormat="1" x14ac:dyDescent="0.25"/>
    <row r="415" s="112" customFormat="1" x14ac:dyDescent="0.25"/>
    <row r="416" s="112" customFormat="1" x14ac:dyDescent="0.25"/>
    <row r="417" s="112" customFormat="1" x14ac:dyDescent="0.25"/>
    <row r="418" s="112" customFormat="1" x14ac:dyDescent="0.25"/>
    <row r="419" s="112" customFormat="1" x14ac:dyDescent="0.25"/>
    <row r="420" s="112" customFormat="1" x14ac:dyDescent="0.25"/>
    <row r="421" s="112" customFormat="1" x14ac:dyDescent="0.25"/>
    <row r="422" s="112" customFormat="1" x14ac:dyDescent="0.25"/>
    <row r="423" s="112" customFormat="1" x14ac:dyDescent="0.25"/>
    <row r="424" s="112" customFormat="1" x14ac:dyDescent="0.25"/>
    <row r="425" s="112" customFormat="1" x14ac:dyDescent="0.25"/>
    <row r="426" s="112" customFormat="1" x14ac:dyDescent="0.25"/>
    <row r="427" s="112" customFormat="1" x14ac:dyDescent="0.25"/>
    <row r="428" s="112" customFormat="1" x14ac:dyDescent="0.25"/>
    <row r="429" s="112" customFormat="1" x14ac:dyDescent="0.25"/>
    <row r="430" s="112" customFormat="1" x14ac:dyDescent="0.25"/>
    <row r="431" s="112" customFormat="1" x14ac:dyDescent="0.25"/>
    <row r="432" s="112" customFormat="1" x14ac:dyDescent="0.25"/>
    <row r="433" s="112" customFormat="1" x14ac:dyDescent="0.25"/>
    <row r="434" s="112" customFormat="1" x14ac:dyDescent="0.25"/>
    <row r="435" s="112" customFormat="1" x14ac:dyDescent="0.25"/>
    <row r="436" s="112" customFormat="1" x14ac:dyDescent="0.25"/>
    <row r="437" s="112" customFormat="1" x14ac:dyDescent="0.25"/>
    <row r="438" s="112" customFormat="1" x14ac:dyDescent="0.25"/>
    <row r="439" s="112" customFormat="1" x14ac:dyDescent="0.25"/>
    <row r="440" s="112" customFormat="1" x14ac:dyDescent="0.25"/>
    <row r="441" s="112" customFormat="1" x14ac:dyDescent="0.25"/>
    <row r="442" s="112" customFormat="1" x14ac:dyDescent="0.25"/>
    <row r="443" s="112" customFormat="1" x14ac:dyDescent="0.25"/>
    <row r="444" s="112" customFormat="1" x14ac:dyDescent="0.25"/>
    <row r="445" s="112" customFormat="1" x14ac:dyDescent="0.25"/>
    <row r="446" s="112" customFormat="1" x14ac:dyDescent="0.25"/>
    <row r="447" s="112" customFormat="1" x14ac:dyDescent="0.25"/>
    <row r="448" s="112" customFormat="1" x14ac:dyDescent="0.25"/>
    <row r="449" s="112" customFormat="1" x14ac:dyDescent="0.25"/>
    <row r="450" s="112" customFormat="1" x14ac:dyDescent="0.25"/>
    <row r="451" s="112" customFormat="1" x14ac:dyDescent="0.25"/>
    <row r="452" s="112" customFormat="1" x14ac:dyDescent="0.25"/>
    <row r="453" s="112" customFormat="1" x14ac:dyDescent="0.25"/>
    <row r="454" s="112" customFormat="1" x14ac:dyDescent="0.25"/>
    <row r="455" s="112" customFormat="1" x14ac:dyDescent="0.25"/>
    <row r="456" s="112" customFormat="1" x14ac:dyDescent="0.25"/>
    <row r="457" s="112" customFormat="1" x14ac:dyDescent="0.25"/>
    <row r="458" s="112" customFormat="1" x14ac:dyDescent="0.25"/>
    <row r="459" s="112" customFormat="1" x14ac:dyDescent="0.25"/>
    <row r="460" s="112" customFormat="1" x14ac:dyDescent="0.25"/>
    <row r="461" s="112" customFormat="1" x14ac:dyDescent="0.25"/>
    <row r="462" s="112" customFormat="1" x14ac:dyDescent="0.25"/>
    <row r="463" s="112" customFormat="1" x14ac:dyDescent="0.25"/>
    <row r="464" s="112" customFormat="1" x14ac:dyDescent="0.25"/>
    <row r="465" s="112" customFormat="1" x14ac:dyDescent="0.25"/>
    <row r="466" s="112" customFormat="1" x14ac:dyDescent="0.25"/>
    <row r="467" s="112" customFormat="1" x14ac:dyDescent="0.25"/>
    <row r="468" s="112" customFormat="1" x14ac:dyDescent="0.25"/>
    <row r="469" s="112" customFormat="1" x14ac:dyDescent="0.25"/>
    <row r="470" s="112" customFormat="1" x14ac:dyDescent="0.25"/>
    <row r="471" s="112" customFormat="1" x14ac:dyDescent="0.25"/>
    <row r="472" s="112" customFormat="1" x14ac:dyDescent="0.25"/>
    <row r="473" s="112" customFormat="1" x14ac:dyDescent="0.25"/>
    <row r="474" s="112" customFormat="1" x14ac:dyDescent="0.25"/>
    <row r="475" s="112" customFormat="1" x14ac:dyDescent="0.25"/>
    <row r="476" s="112" customFormat="1" x14ac:dyDescent="0.25"/>
    <row r="477" s="112" customFormat="1" x14ac:dyDescent="0.25"/>
    <row r="478" s="112" customFormat="1" x14ac:dyDescent="0.25"/>
    <row r="479" s="112" customFormat="1" x14ac:dyDescent="0.25"/>
    <row r="480" s="112" customFormat="1" x14ac:dyDescent="0.25"/>
    <row r="481" s="112" customFormat="1" x14ac:dyDescent="0.25"/>
    <row r="482" s="112" customFormat="1" x14ac:dyDescent="0.25"/>
    <row r="483" s="112" customFormat="1" x14ac:dyDescent="0.25"/>
    <row r="484" s="112" customFormat="1" x14ac:dyDescent="0.25"/>
    <row r="485" s="112" customFormat="1" x14ac:dyDescent="0.25"/>
    <row r="486" s="112" customFormat="1" x14ac:dyDescent="0.25"/>
    <row r="487" s="112" customFormat="1" x14ac:dyDescent="0.25"/>
    <row r="488" s="112" customFormat="1" x14ac:dyDescent="0.25"/>
    <row r="489" s="112" customFormat="1" x14ac:dyDescent="0.25"/>
    <row r="490" s="112" customFormat="1" x14ac:dyDescent="0.25"/>
    <row r="491" s="112" customFormat="1" x14ac:dyDescent="0.25"/>
    <row r="492" s="112" customFormat="1" x14ac:dyDescent="0.25"/>
    <row r="493" s="112" customFormat="1" x14ac:dyDescent="0.25"/>
    <row r="494" s="112" customFormat="1" x14ac:dyDescent="0.25"/>
    <row r="495" s="112" customFormat="1" x14ac:dyDescent="0.25"/>
    <row r="496" s="112" customFormat="1" x14ac:dyDescent="0.25"/>
    <row r="497" s="112" customFormat="1" x14ac:dyDescent="0.25"/>
    <row r="498" s="112" customFormat="1" x14ac:dyDescent="0.25"/>
    <row r="499" s="112" customFormat="1" x14ac:dyDescent="0.25"/>
    <row r="500" s="112" customFormat="1" x14ac:dyDescent="0.25"/>
    <row r="501" s="112" customFormat="1" x14ac:dyDescent="0.25"/>
    <row r="502" s="112" customFormat="1" x14ac:dyDescent="0.25"/>
    <row r="503" s="112" customFormat="1" x14ac:dyDescent="0.25"/>
    <row r="504" s="112" customFormat="1" x14ac:dyDescent="0.25"/>
    <row r="505" s="112" customFormat="1" x14ac:dyDescent="0.25"/>
    <row r="506" s="112" customFormat="1" x14ac:dyDescent="0.25"/>
    <row r="507" s="112" customFormat="1" x14ac:dyDescent="0.25"/>
    <row r="508" s="112" customFormat="1" x14ac:dyDescent="0.25"/>
    <row r="509" s="112" customFormat="1" x14ac:dyDescent="0.25"/>
    <row r="510" s="112" customFormat="1" x14ac:dyDescent="0.25"/>
    <row r="511" s="112" customFormat="1" x14ac:dyDescent="0.25"/>
    <row r="512" s="112" customFormat="1" x14ac:dyDescent="0.25"/>
    <row r="513" s="112" customFormat="1" x14ac:dyDescent="0.25"/>
    <row r="514" s="112" customFormat="1" x14ac:dyDescent="0.25"/>
    <row r="515" s="112" customFormat="1" x14ac:dyDescent="0.25"/>
    <row r="516" s="112" customFormat="1" x14ac:dyDescent="0.25"/>
    <row r="517" s="112" customFormat="1" x14ac:dyDescent="0.25"/>
    <row r="518" s="112" customFormat="1" x14ac:dyDescent="0.25"/>
    <row r="519" s="112" customFormat="1" x14ac:dyDescent="0.25"/>
    <row r="520" s="112" customFormat="1" x14ac:dyDescent="0.25"/>
    <row r="521" s="112" customFormat="1" x14ac:dyDescent="0.25"/>
    <row r="522" s="112" customFormat="1" x14ac:dyDescent="0.25"/>
    <row r="523" s="112" customFormat="1" x14ac:dyDescent="0.25"/>
    <row r="524" s="112" customFormat="1" x14ac:dyDescent="0.25"/>
    <row r="525" s="112" customFormat="1" x14ac:dyDescent="0.25"/>
    <row r="526" s="112" customFormat="1" x14ac:dyDescent="0.25"/>
    <row r="527" s="112" customFormat="1" x14ac:dyDescent="0.25"/>
    <row r="528" s="112" customFormat="1" x14ac:dyDescent="0.25"/>
    <row r="529" s="112" customFormat="1" x14ac:dyDescent="0.25"/>
    <row r="530" s="112" customFormat="1" x14ac:dyDescent="0.25"/>
    <row r="531" s="112" customFormat="1" x14ac:dyDescent="0.25"/>
    <row r="532" s="112" customFormat="1" x14ac:dyDescent="0.25"/>
    <row r="533" s="112" customFormat="1" x14ac:dyDescent="0.25"/>
    <row r="534" s="112" customFormat="1" x14ac:dyDescent="0.25"/>
    <row r="535" s="112" customFormat="1" x14ac:dyDescent="0.25"/>
    <row r="536" s="112" customFormat="1" x14ac:dyDescent="0.25"/>
    <row r="537" s="112" customFormat="1" x14ac:dyDescent="0.25"/>
    <row r="538" s="112" customFormat="1" x14ac:dyDescent="0.25"/>
    <row r="539" s="112" customFormat="1" x14ac:dyDescent="0.25"/>
    <row r="540" s="112" customFormat="1" x14ac:dyDescent="0.25"/>
    <row r="541" s="112" customFormat="1" x14ac:dyDescent="0.25"/>
    <row r="542" s="112" customFormat="1" x14ac:dyDescent="0.25"/>
    <row r="543" s="112" customFormat="1" x14ac:dyDescent="0.25"/>
    <row r="544" s="112" customFormat="1" x14ac:dyDescent="0.25"/>
    <row r="545" s="112" customFormat="1" x14ac:dyDescent="0.25"/>
    <row r="546" s="112" customFormat="1" x14ac:dyDescent="0.25"/>
    <row r="547" s="112" customFormat="1" x14ac:dyDescent="0.25"/>
    <row r="548" s="112" customFormat="1" x14ac:dyDescent="0.25"/>
    <row r="549" s="112" customFormat="1" x14ac:dyDescent="0.25"/>
    <row r="550" s="112" customFormat="1" x14ac:dyDescent="0.25"/>
    <row r="551" s="112" customFormat="1" x14ac:dyDescent="0.25"/>
    <row r="552" s="112" customFormat="1" x14ac:dyDescent="0.25"/>
    <row r="553" s="112" customFormat="1" x14ac:dyDescent="0.25"/>
    <row r="554" s="112" customFormat="1" x14ac:dyDescent="0.25"/>
    <row r="555" s="112" customFormat="1" x14ac:dyDescent="0.25"/>
    <row r="556" s="112" customFormat="1" x14ac:dyDescent="0.25"/>
    <row r="557" s="112" customFormat="1" x14ac:dyDescent="0.25"/>
    <row r="558" s="112" customFormat="1" x14ac:dyDescent="0.25"/>
    <row r="559" s="112" customFormat="1" x14ac:dyDescent="0.25"/>
    <row r="560" s="112" customFormat="1" x14ac:dyDescent="0.25"/>
    <row r="561" s="112" customFormat="1" x14ac:dyDescent="0.25"/>
    <row r="562" s="112" customFormat="1" x14ac:dyDescent="0.25"/>
    <row r="563" s="112" customFormat="1" x14ac:dyDescent="0.25"/>
    <row r="564" s="112" customFormat="1" x14ac:dyDescent="0.25"/>
    <row r="565" s="112" customFormat="1" x14ac:dyDescent="0.25"/>
    <row r="566" s="112" customFormat="1" x14ac:dyDescent="0.25"/>
    <row r="567" s="112" customFormat="1" x14ac:dyDescent="0.25"/>
    <row r="568" s="112" customFormat="1" x14ac:dyDescent="0.25"/>
    <row r="569" s="112" customFormat="1" x14ac:dyDescent="0.25"/>
    <row r="570" s="112" customFormat="1" x14ac:dyDescent="0.25"/>
    <row r="571" s="112" customFormat="1" x14ac:dyDescent="0.25"/>
    <row r="572" s="112" customFormat="1" x14ac:dyDescent="0.25"/>
    <row r="573" s="112" customFormat="1" x14ac:dyDescent="0.25"/>
    <row r="574" s="112" customFormat="1" x14ac:dyDescent="0.25"/>
    <row r="575" s="112" customFormat="1" x14ac:dyDescent="0.25"/>
    <row r="576" s="112" customFormat="1" x14ac:dyDescent="0.25"/>
    <row r="577" s="112" customFormat="1" x14ac:dyDescent="0.25"/>
    <row r="578" s="112" customFormat="1" x14ac:dyDescent="0.25"/>
    <row r="579" s="112" customFormat="1" x14ac:dyDescent="0.25"/>
    <row r="580" s="112" customFormat="1" x14ac:dyDescent="0.25"/>
    <row r="581" s="112" customFormat="1" x14ac:dyDescent="0.25"/>
    <row r="582" s="112" customFormat="1" x14ac:dyDescent="0.25"/>
    <row r="583" s="112" customFormat="1" x14ac:dyDescent="0.25"/>
    <row r="584" s="112" customFormat="1" x14ac:dyDescent="0.25"/>
    <row r="585" s="112" customFormat="1" x14ac:dyDescent="0.25"/>
    <row r="586" s="112" customFormat="1" x14ac:dyDescent="0.25"/>
    <row r="587" s="112" customFormat="1" x14ac:dyDescent="0.25"/>
    <row r="588" s="112" customFormat="1" x14ac:dyDescent="0.25"/>
    <row r="589" s="112" customFormat="1" x14ac:dyDescent="0.25"/>
    <row r="590" s="112" customFormat="1" x14ac:dyDescent="0.25"/>
    <row r="591" s="112" customFormat="1" x14ac:dyDescent="0.25"/>
    <row r="592" s="112" customFormat="1" x14ac:dyDescent="0.25"/>
    <row r="593" s="112" customFormat="1" x14ac:dyDescent="0.25"/>
    <row r="594" s="112" customFormat="1" x14ac:dyDescent="0.25"/>
    <row r="595" s="112" customFormat="1" x14ac:dyDescent="0.25"/>
    <row r="596" s="112" customFormat="1" x14ac:dyDescent="0.25"/>
    <row r="597" s="112" customFormat="1" x14ac:dyDescent="0.25"/>
    <row r="598" s="112" customFormat="1" x14ac:dyDescent="0.25"/>
    <row r="599" s="112" customFormat="1" x14ac:dyDescent="0.25"/>
    <row r="600" s="112" customFormat="1" x14ac:dyDescent="0.25"/>
    <row r="601" s="112" customFormat="1" x14ac:dyDescent="0.25"/>
    <row r="602" s="112" customFormat="1" x14ac:dyDescent="0.25"/>
    <row r="603" s="112" customFormat="1" x14ac:dyDescent="0.25"/>
    <row r="604" s="112" customFormat="1" x14ac:dyDescent="0.25"/>
    <row r="605" s="112" customFormat="1" x14ac:dyDescent="0.25"/>
    <row r="606" s="112" customFormat="1" x14ac:dyDescent="0.25"/>
    <row r="607" s="112" customFormat="1" x14ac:dyDescent="0.25"/>
    <row r="608" s="112" customFormat="1" x14ac:dyDescent="0.25"/>
    <row r="609" s="112" customFormat="1" x14ac:dyDescent="0.25"/>
    <row r="610" s="112" customFormat="1" x14ac:dyDescent="0.25"/>
    <row r="611" s="112" customFormat="1" x14ac:dyDescent="0.25"/>
    <row r="612" s="112" customFormat="1" x14ac:dyDescent="0.25"/>
    <row r="613" s="112" customFormat="1" x14ac:dyDescent="0.25"/>
    <row r="614" s="112" customFormat="1" x14ac:dyDescent="0.25"/>
    <row r="615" s="112" customFormat="1" x14ac:dyDescent="0.25"/>
    <row r="616" s="112" customFormat="1" x14ac:dyDescent="0.25"/>
    <row r="617" s="112" customFormat="1" x14ac:dyDescent="0.25"/>
    <row r="618" s="112" customFormat="1" x14ac:dyDescent="0.25"/>
    <row r="619" s="112" customFormat="1" x14ac:dyDescent="0.25"/>
    <row r="620" s="112" customFormat="1" x14ac:dyDescent="0.25"/>
    <row r="621" s="112" customFormat="1" x14ac:dyDescent="0.25"/>
    <row r="622" s="112" customFormat="1" x14ac:dyDescent="0.25"/>
    <row r="623" s="112" customFormat="1" x14ac:dyDescent="0.25"/>
    <row r="624" s="112" customFormat="1" x14ac:dyDescent="0.25"/>
    <row r="625" s="112" customFormat="1" x14ac:dyDescent="0.25"/>
    <row r="626" s="112" customFormat="1" x14ac:dyDescent="0.25"/>
    <row r="627" s="112" customFormat="1" x14ac:dyDescent="0.25"/>
    <row r="628" s="112" customFormat="1" x14ac:dyDescent="0.25"/>
    <row r="629" s="112" customFormat="1" x14ac:dyDescent="0.25"/>
    <row r="630" s="112" customFormat="1" x14ac:dyDescent="0.25"/>
    <row r="631" s="112" customFormat="1" x14ac:dyDescent="0.25"/>
    <row r="632" s="112" customFormat="1" x14ac:dyDescent="0.25"/>
    <row r="633" s="112" customFormat="1" x14ac:dyDescent="0.25"/>
    <row r="634" s="112" customFormat="1" x14ac:dyDescent="0.25"/>
    <row r="635" s="112" customFormat="1" x14ac:dyDescent="0.25"/>
    <row r="636" s="112" customFormat="1" x14ac:dyDescent="0.25"/>
    <row r="637" s="112" customFormat="1" x14ac:dyDescent="0.25"/>
    <row r="638" s="112" customFormat="1" x14ac:dyDescent="0.25"/>
    <row r="639" s="112" customFormat="1" x14ac:dyDescent="0.25"/>
    <row r="640" s="112" customFormat="1" x14ac:dyDescent="0.25"/>
    <row r="641" s="112" customFormat="1" x14ac:dyDescent="0.25"/>
    <row r="642" s="112" customFormat="1" x14ac:dyDescent="0.25"/>
    <row r="643" s="112" customFormat="1" x14ac:dyDescent="0.25"/>
    <row r="644" s="112" customFormat="1" x14ac:dyDescent="0.25"/>
    <row r="645" s="112" customFormat="1" x14ac:dyDescent="0.25"/>
    <row r="646" s="112" customFormat="1" x14ac:dyDescent="0.25"/>
    <row r="647" s="112" customFormat="1" x14ac:dyDescent="0.25"/>
    <row r="648" s="112" customFormat="1" x14ac:dyDescent="0.25"/>
    <row r="649" s="112" customFormat="1" x14ac:dyDescent="0.25"/>
    <row r="650" s="112" customFormat="1" x14ac:dyDescent="0.25"/>
    <row r="651" s="112" customFormat="1" x14ac:dyDescent="0.25"/>
    <row r="652" s="112" customFormat="1" x14ac:dyDescent="0.25"/>
    <row r="653" s="112" customFormat="1" x14ac:dyDescent="0.25"/>
    <row r="654" s="112" customFormat="1" x14ac:dyDescent="0.25"/>
    <row r="655" s="112" customFormat="1" x14ac:dyDescent="0.25"/>
    <row r="656" s="112" customFormat="1" x14ac:dyDescent="0.25"/>
    <row r="657" s="112" customFormat="1" x14ac:dyDescent="0.25"/>
    <row r="658" s="112" customFormat="1" x14ac:dyDescent="0.25"/>
    <row r="659" s="112" customFormat="1" x14ac:dyDescent="0.25"/>
    <row r="660" s="112" customFormat="1" x14ac:dyDescent="0.25"/>
    <row r="661" s="112" customFormat="1" x14ac:dyDescent="0.25"/>
    <row r="662" s="112" customFormat="1" x14ac:dyDescent="0.25"/>
    <row r="663" s="112" customFormat="1" x14ac:dyDescent="0.25"/>
    <row r="664" s="112" customFormat="1" x14ac:dyDescent="0.25"/>
    <row r="665" s="112" customFormat="1" x14ac:dyDescent="0.25"/>
    <row r="666" s="112" customFormat="1" x14ac:dyDescent="0.25"/>
    <row r="667" s="112" customFormat="1" x14ac:dyDescent="0.25"/>
    <row r="668" s="112" customFormat="1" x14ac:dyDescent="0.25"/>
    <row r="669" s="112" customFormat="1" x14ac:dyDescent="0.25"/>
    <row r="670" s="112" customFormat="1" x14ac:dyDescent="0.25"/>
    <row r="671" s="112" customFormat="1" x14ac:dyDescent="0.25"/>
    <row r="672" s="112" customFormat="1" x14ac:dyDescent="0.25"/>
    <row r="673" s="112" customFormat="1" x14ac:dyDescent="0.25"/>
    <row r="674" s="112" customFormat="1" x14ac:dyDescent="0.25"/>
    <row r="675" s="112" customFormat="1" x14ac:dyDescent="0.25"/>
    <row r="676" s="112" customFormat="1" x14ac:dyDescent="0.25"/>
    <row r="677" s="112" customFormat="1" x14ac:dyDescent="0.25"/>
    <row r="678" s="112" customFormat="1" x14ac:dyDescent="0.25"/>
    <row r="679" s="112" customFormat="1" x14ac:dyDescent="0.25"/>
    <row r="680" s="112" customFormat="1" x14ac:dyDescent="0.25"/>
    <row r="681" s="112" customFormat="1" x14ac:dyDescent="0.25"/>
    <row r="682" s="112" customFormat="1" x14ac:dyDescent="0.25"/>
    <row r="683" s="112" customFormat="1" x14ac:dyDescent="0.25"/>
    <row r="684" s="112" customFormat="1" x14ac:dyDescent="0.25"/>
    <row r="685" s="112" customFormat="1" x14ac:dyDescent="0.25"/>
    <row r="686" s="112" customFormat="1" x14ac:dyDescent="0.25"/>
    <row r="687" s="112" customFormat="1" x14ac:dyDescent="0.25"/>
    <row r="688" s="112" customFormat="1" x14ac:dyDescent="0.25"/>
    <row r="689" s="112" customFormat="1" x14ac:dyDescent="0.25"/>
    <row r="690" s="112" customFormat="1" x14ac:dyDescent="0.25"/>
    <row r="691" s="112" customFormat="1" x14ac:dyDescent="0.25"/>
    <row r="692" s="112" customFormat="1" x14ac:dyDescent="0.25"/>
    <row r="693" s="112" customFormat="1" x14ac:dyDescent="0.25"/>
    <row r="694" s="112" customFormat="1" x14ac:dyDescent="0.25"/>
    <row r="695" s="112" customFormat="1" x14ac:dyDescent="0.25"/>
    <row r="696" s="112" customFormat="1" x14ac:dyDescent="0.25"/>
    <row r="697" s="112" customFormat="1" x14ac:dyDescent="0.25"/>
    <row r="698" s="112" customFormat="1" x14ac:dyDescent="0.25"/>
    <row r="699" s="112" customFormat="1" x14ac:dyDescent="0.25"/>
    <row r="700" s="112" customFormat="1" x14ac:dyDescent="0.25"/>
    <row r="701" s="112" customFormat="1" x14ac:dyDescent="0.25"/>
    <row r="702" s="112" customFormat="1" x14ac:dyDescent="0.25"/>
    <row r="703" s="112" customFormat="1" x14ac:dyDescent="0.25"/>
    <row r="704" s="112" customFormat="1" x14ac:dyDescent="0.25"/>
    <row r="705" s="112" customFormat="1" x14ac:dyDescent="0.25"/>
    <row r="706" s="112" customFormat="1" x14ac:dyDescent="0.25"/>
    <row r="707" s="112" customFormat="1" x14ac:dyDescent="0.25"/>
    <row r="708" s="112" customFormat="1" x14ac:dyDescent="0.25"/>
    <row r="709" s="112" customFormat="1" x14ac:dyDescent="0.25"/>
    <row r="710" s="112" customFormat="1" x14ac:dyDescent="0.25"/>
    <row r="711" s="112" customFormat="1" x14ac:dyDescent="0.25"/>
    <row r="712" s="112" customFormat="1" x14ac:dyDescent="0.25"/>
    <row r="713" s="112" customFormat="1" x14ac:dyDescent="0.25"/>
    <row r="714" s="112" customFormat="1" x14ac:dyDescent="0.25"/>
    <row r="715" s="112" customFormat="1" x14ac:dyDescent="0.25"/>
    <row r="716" s="112" customFormat="1" x14ac:dyDescent="0.25"/>
    <row r="717" s="112" customFormat="1" x14ac:dyDescent="0.25"/>
    <row r="718" s="112" customFormat="1" x14ac:dyDescent="0.25"/>
    <row r="719" s="112" customFormat="1" x14ac:dyDescent="0.25"/>
    <row r="720" s="112" customFormat="1" x14ac:dyDescent="0.25"/>
    <row r="721" s="112" customFormat="1" x14ac:dyDescent="0.25"/>
    <row r="722" s="112" customFormat="1" x14ac:dyDescent="0.25"/>
    <row r="723" s="112" customFormat="1" x14ac:dyDescent="0.25"/>
    <row r="724" s="112" customFormat="1" x14ac:dyDescent="0.25"/>
    <row r="725" s="112" customFormat="1" x14ac:dyDescent="0.25"/>
    <row r="726" s="112" customFormat="1" x14ac:dyDescent="0.25"/>
    <row r="727" s="112" customFormat="1" x14ac:dyDescent="0.25"/>
    <row r="728" s="112" customFormat="1" x14ac:dyDescent="0.25"/>
    <row r="729" s="112" customFormat="1" x14ac:dyDescent="0.25"/>
    <row r="730" s="112" customFormat="1" x14ac:dyDescent="0.25"/>
    <row r="731" s="112" customFormat="1" x14ac:dyDescent="0.25"/>
    <row r="732" s="112" customFormat="1" x14ac:dyDescent="0.25"/>
    <row r="733" s="112" customFormat="1" x14ac:dyDescent="0.25"/>
    <row r="734" s="112" customFormat="1" x14ac:dyDescent="0.25"/>
    <row r="735" s="112" customFormat="1" x14ac:dyDescent="0.25"/>
    <row r="736" s="112" customFormat="1" x14ac:dyDescent="0.25"/>
    <row r="737" s="112" customFormat="1" x14ac:dyDescent="0.25"/>
    <row r="738" s="112" customFormat="1" x14ac:dyDescent="0.25"/>
    <row r="739" s="112" customFormat="1" x14ac:dyDescent="0.25"/>
    <row r="740" s="112" customFormat="1" x14ac:dyDescent="0.25"/>
    <row r="741" s="112" customFormat="1" x14ac:dyDescent="0.25"/>
    <row r="742" s="112" customFormat="1" x14ac:dyDescent="0.25"/>
    <row r="743" s="112" customFormat="1" x14ac:dyDescent="0.25"/>
    <row r="744" s="112" customFormat="1" x14ac:dyDescent="0.25"/>
    <row r="745" s="112" customFormat="1" x14ac:dyDescent="0.25"/>
    <row r="746" s="112" customFormat="1" x14ac:dyDescent="0.25"/>
    <row r="747" s="112" customFormat="1" x14ac:dyDescent="0.25"/>
    <row r="748" s="112" customFormat="1" x14ac:dyDescent="0.25"/>
    <row r="749" s="112" customFormat="1" x14ac:dyDescent="0.25"/>
    <row r="750" s="112" customFormat="1" x14ac:dyDescent="0.25"/>
    <row r="751" s="112" customFormat="1" x14ac:dyDescent="0.25"/>
    <row r="752" s="112" customFormat="1" x14ac:dyDescent="0.25"/>
    <row r="753" s="112" customFormat="1" x14ac:dyDescent="0.25"/>
    <row r="754" s="112" customFormat="1" x14ac:dyDescent="0.25"/>
    <row r="755" s="112" customFormat="1" x14ac:dyDescent="0.25"/>
    <row r="756" s="112" customFormat="1" x14ac:dyDescent="0.25"/>
    <row r="757" s="112" customFormat="1" x14ac:dyDescent="0.25"/>
    <row r="758" s="112" customFormat="1" x14ac:dyDescent="0.25"/>
    <row r="759" s="112" customFormat="1" x14ac:dyDescent="0.25"/>
    <row r="760" s="112" customFormat="1" x14ac:dyDescent="0.25"/>
    <row r="761" s="112" customFormat="1" x14ac:dyDescent="0.25"/>
    <row r="762" s="112" customFormat="1" x14ac:dyDescent="0.25"/>
    <row r="763" s="112" customFormat="1" x14ac:dyDescent="0.25"/>
    <row r="764" s="112" customFormat="1" x14ac:dyDescent="0.25"/>
    <row r="765" s="112" customFormat="1" x14ac:dyDescent="0.25"/>
    <row r="766" s="112" customFormat="1" x14ac:dyDescent="0.25"/>
    <row r="767" s="112" customFormat="1" x14ac:dyDescent="0.25"/>
    <row r="768" s="112" customFormat="1" x14ac:dyDescent="0.25"/>
    <row r="769" s="112" customFormat="1" x14ac:dyDescent="0.25"/>
    <row r="770" s="112" customFormat="1" x14ac:dyDescent="0.25"/>
    <row r="771" s="112" customFormat="1" x14ac:dyDescent="0.25"/>
    <row r="772" s="112" customFormat="1" x14ac:dyDescent="0.25"/>
    <row r="773" s="112" customFormat="1" x14ac:dyDescent="0.25"/>
    <row r="774" s="112" customFormat="1" x14ac:dyDescent="0.25"/>
    <row r="775" s="112" customFormat="1" x14ac:dyDescent="0.25"/>
    <row r="776" s="112" customFormat="1" x14ac:dyDescent="0.25"/>
    <row r="777" s="112" customFormat="1" x14ac:dyDescent="0.25"/>
    <row r="778" s="112" customFormat="1" x14ac:dyDescent="0.25"/>
    <row r="779" s="112" customFormat="1" x14ac:dyDescent="0.25"/>
    <row r="780" s="112" customFormat="1" x14ac:dyDescent="0.25"/>
    <row r="781" s="112" customFormat="1" x14ac:dyDescent="0.25"/>
    <row r="782" s="112" customFormat="1" x14ac:dyDescent="0.25"/>
    <row r="783" s="112" customFormat="1" x14ac:dyDescent="0.25"/>
    <row r="784" s="112" customFormat="1" x14ac:dyDescent="0.25"/>
    <row r="785" s="112" customFormat="1" x14ac:dyDescent="0.25"/>
    <row r="786" s="112" customFormat="1" x14ac:dyDescent="0.25"/>
    <row r="787" s="112" customFormat="1" x14ac:dyDescent="0.25"/>
    <row r="788" s="112" customFormat="1" x14ac:dyDescent="0.25"/>
    <row r="789" s="112" customFormat="1" x14ac:dyDescent="0.25"/>
    <row r="790" s="112" customFormat="1" x14ac:dyDescent="0.25"/>
    <row r="791" s="112" customFormat="1" x14ac:dyDescent="0.25"/>
    <row r="792" s="112" customFormat="1" x14ac:dyDescent="0.25"/>
    <row r="793" s="112" customFormat="1" x14ac:dyDescent="0.25"/>
    <row r="794" s="112" customFormat="1" x14ac:dyDescent="0.25"/>
    <row r="795" s="112" customFormat="1" x14ac:dyDescent="0.25"/>
    <row r="796" s="112" customFormat="1" x14ac:dyDescent="0.25"/>
    <row r="797" s="112" customFormat="1" x14ac:dyDescent="0.25"/>
    <row r="798" s="112" customFormat="1" x14ac:dyDescent="0.25"/>
    <row r="799" s="112" customFormat="1" x14ac:dyDescent="0.25"/>
    <row r="800" s="112" customFormat="1" x14ac:dyDescent="0.25"/>
    <row r="801" s="112" customFormat="1" x14ac:dyDescent="0.25"/>
    <row r="802" s="112" customFormat="1" x14ac:dyDescent="0.25"/>
    <row r="803" s="112" customFormat="1" x14ac:dyDescent="0.25"/>
    <row r="804" s="112" customFormat="1" x14ac:dyDescent="0.25"/>
    <row r="805" s="112" customFormat="1" x14ac:dyDescent="0.25"/>
    <row r="806" s="112" customFormat="1" x14ac:dyDescent="0.25"/>
    <row r="807" s="112" customFormat="1" x14ac:dyDescent="0.25"/>
    <row r="808" s="112" customFormat="1" x14ac:dyDescent="0.25"/>
    <row r="809" s="112" customFormat="1" x14ac:dyDescent="0.25"/>
    <row r="810" s="112" customFormat="1" x14ac:dyDescent="0.25"/>
    <row r="811" s="112" customFormat="1" x14ac:dyDescent="0.25"/>
    <row r="812" s="112" customFormat="1" x14ac:dyDescent="0.25"/>
    <row r="813" s="112" customFormat="1" x14ac:dyDescent="0.25"/>
    <row r="814" s="112" customFormat="1" x14ac:dyDescent="0.25"/>
    <row r="815" s="112" customFormat="1" x14ac:dyDescent="0.25"/>
    <row r="816" s="112" customFormat="1" x14ac:dyDescent="0.25"/>
    <row r="817" s="112" customFormat="1" x14ac:dyDescent="0.25"/>
    <row r="818" s="112" customFormat="1" x14ac:dyDescent="0.25"/>
    <row r="819" s="112" customFormat="1" x14ac:dyDescent="0.25"/>
    <row r="820" s="112" customFormat="1" x14ac:dyDescent="0.25"/>
    <row r="821" s="112" customFormat="1" x14ac:dyDescent="0.25"/>
    <row r="822" s="112" customFormat="1" x14ac:dyDescent="0.25"/>
    <row r="823" s="112" customFormat="1" x14ac:dyDescent="0.25"/>
    <row r="824" s="112" customFormat="1" x14ac:dyDescent="0.25"/>
    <row r="825" s="112" customFormat="1" x14ac:dyDescent="0.25"/>
    <row r="826" s="112" customFormat="1" x14ac:dyDescent="0.25"/>
    <row r="827" s="112" customFormat="1" x14ac:dyDescent="0.25"/>
    <row r="828" s="112" customFormat="1" x14ac:dyDescent="0.25"/>
    <row r="829" s="112" customFormat="1" x14ac:dyDescent="0.25"/>
    <row r="830" s="112" customFormat="1" x14ac:dyDescent="0.25"/>
    <row r="831" s="112" customFormat="1" x14ac:dyDescent="0.25"/>
    <row r="832" s="112" customFormat="1" x14ac:dyDescent="0.25"/>
    <row r="833" s="112" customFormat="1" x14ac:dyDescent="0.25"/>
    <row r="834" s="112" customFormat="1" x14ac:dyDescent="0.25"/>
    <row r="835" s="112" customFormat="1" x14ac:dyDescent="0.25"/>
    <row r="836" s="112" customFormat="1" x14ac:dyDescent="0.25"/>
    <row r="837" s="112" customFormat="1" x14ac:dyDescent="0.25"/>
    <row r="838" s="112" customFormat="1" x14ac:dyDescent="0.25"/>
    <row r="839" s="112" customFormat="1" x14ac:dyDescent="0.25"/>
    <row r="840" s="112" customFormat="1" x14ac:dyDescent="0.25"/>
    <row r="841" s="112" customFormat="1" x14ac:dyDescent="0.25"/>
    <row r="842" s="112" customFormat="1" x14ac:dyDescent="0.25"/>
    <row r="843" s="112" customFormat="1" x14ac:dyDescent="0.25"/>
    <row r="844" s="112" customFormat="1" x14ac:dyDescent="0.25"/>
    <row r="845" s="112" customFormat="1" x14ac:dyDescent="0.25"/>
    <row r="846" s="112" customFormat="1" x14ac:dyDescent="0.25"/>
    <row r="847" s="112" customFormat="1" x14ac:dyDescent="0.25"/>
    <row r="848" s="112" customFormat="1" x14ac:dyDescent="0.25"/>
    <row r="849" s="112" customFormat="1" x14ac:dyDescent="0.25"/>
    <row r="850" s="112" customFormat="1" x14ac:dyDescent="0.25"/>
    <row r="851" s="112" customFormat="1" x14ac:dyDescent="0.25"/>
    <row r="852" s="112" customFormat="1" x14ac:dyDescent="0.25"/>
    <row r="853" s="112" customFormat="1" x14ac:dyDescent="0.25"/>
    <row r="854" s="112" customFormat="1" x14ac:dyDescent="0.25"/>
    <row r="855" s="112" customFormat="1" x14ac:dyDescent="0.25"/>
    <row r="856" s="112" customFormat="1" x14ac:dyDescent="0.25"/>
    <row r="857" s="112" customFormat="1" x14ac:dyDescent="0.25"/>
    <row r="858" s="112" customFormat="1" x14ac:dyDescent="0.25"/>
    <row r="859" s="112" customFormat="1" x14ac:dyDescent="0.25"/>
    <row r="860" s="112" customFormat="1" x14ac:dyDescent="0.25"/>
    <row r="861" s="112" customFormat="1" x14ac:dyDescent="0.25"/>
    <row r="862" s="112" customFormat="1" x14ac:dyDescent="0.25"/>
    <row r="863" s="112" customFormat="1" x14ac:dyDescent="0.25"/>
    <row r="864" s="112" customFormat="1" x14ac:dyDescent="0.25"/>
    <row r="865" s="112" customFormat="1" x14ac:dyDescent="0.25"/>
    <row r="866" s="112" customFormat="1" x14ac:dyDescent="0.25"/>
    <row r="867" s="112" customFormat="1" x14ac:dyDescent="0.25"/>
    <row r="868" s="112" customFormat="1" x14ac:dyDescent="0.25"/>
    <row r="869" s="112" customFormat="1" x14ac:dyDescent="0.25"/>
    <row r="870" s="112" customFormat="1" x14ac:dyDescent="0.25"/>
    <row r="871" s="112" customFormat="1" x14ac:dyDescent="0.25"/>
    <row r="872" s="112" customFormat="1" x14ac:dyDescent="0.25"/>
  </sheetData>
  <conditionalFormatting sqref="B1:B1048576">
    <cfRule type="containsText" dxfId="7" priority="1" operator="containsText" text="VRAI">
      <formula>NOT(ISERROR(SEARCH("VRAI",B1)))</formula>
    </cfRule>
    <cfRule type="containsText" dxfId="6" priority="2" operator="containsText" text="FAUX">
      <formula>NOT(ISERROR(SEARCH("FAUX",B1)))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8F1FB-47A3-46A8-836B-25A5A0868043}">
  <sheetPr codeName="Feuil26"/>
  <dimension ref="C3:D11"/>
  <sheetViews>
    <sheetView showGridLines="0" workbookViewId="0">
      <selection activeCell="F25" sqref="F25"/>
    </sheetView>
  </sheetViews>
  <sheetFormatPr baseColWidth="10" defaultColWidth="11.42578125" defaultRowHeight="15" x14ac:dyDescent="0.25"/>
  <cols>
    <col min="3" max="3" width="73.140625" bestFit="1" customWidth="1"/>
  </cols>
  <sheetData>
    <row r="3" spans="3:4" x14ac:dyDescent="0.25">
      <c r="C3" t="s">
        <v>639</v>
      </c>
      <c r="D3" t="s">
        <v>640</v>
      </c>
    </row>
    <row r="4" spans="3:4" x14ac:dyDescent="0.25">
      <c r="C4" s="305" t="s">
        <v>641</v>
      </c>
      <c r="D4" t="s">
        <v>642</v>
      </c>
    </row>
    <row r="5" spans="3:4" x14ac:dyDescent="0.25">
      <c r="C5" s="305" t="s">
        <v>643</v>
      </c>
    </row>
    <row r="6" spans="3:4" x14ac:dyDescent="0.25">
      <c r="C6" s="305" t="s">
        <v>644</v>
      </c>
      <c r="D6" t="s">
        <v>642</v>
      </c>
    </row>
    <row r="7" spans="3:4" x14ac:dyDescent="0.25">
      <c r="C7" s="112" t="s">
        <v>645</v>
      </c>
      <c r="D7" t="s">
        <v>646</v>
      </c>
    </row>
    <row r="8" spans="3:4" x14ac:dyDescent="0.25">
      <c r="C8" s="305" t="s">
        <v>647</v>
      </c>
      <c r="D8" t="s">
        <v>642</v>
      </c>
    </row>
    <row r="9" spans="3:4" x14ac:dyDescent="0.25">
      <c r="C9" s="302" t="s">
        <v>648</v>
      </c>
    </row>
    <row r="10" spans="3:4" x14ac:dyDescent="0.25">
      <c r="C10" s="112" t="s">
        <v>649</v>
      </c>
      <c r="D10" t="s">
        <v>650</v>
      </c>
    </row>
    <row r="11" spans="3:4" x14ac:dyDescent="0.25">
      <c r="C11" s="112" t="s">
        <v>651</v>
      </c>
      <c r="D11" t="s">
        <v>646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E0457-CAFB-423F-822B-E630F5F7C1CD}">
  <sheetPr codeName="Feuil19"/>
  <dimension ref="A1:AQ486"/>
  <sheetViews>
    <sheetView showGridLines="0" zoomScale="80" zoomScaleNormal="80" workbookViewId="0">
      <selection activeCell="P45" sqref="P45"/>
    </sheetView>
  </sheetViews>
  <sheetFormatPr baseColWidth="10" defaultColWidth="11.42578125" defaultRowHeight="15" x14ac:dyDescent="0.25"/>
  <cols>
    <col min="1" max="1" width="18.28515625" style="112" bestFit="1" customWidth="1"/>
    <col min="2" max="2" width="31.5703125" customWidth="1"/>
    <col min="3" max="3" width="21.28515625" customWidth="1"/>
    <col min="4" max="4" width="23.42578125" customWidth="1"/>
    <col min="5" max="5" width="19.42578125" customWidth="1"/>
    <col min="6" max="6" width="15.85546875" style="112" hidden="1" customWidth="1"/>
    <col min="7" max="7" width="23.28515625" hidden="1" customWidth="1"/>
    <col min="8" max="8" width="0" style="112" hidden="1" customWidth="1"/>
    <col min="9" max="9" width="18.28515625" style="112" bestFit="1" customWidth="1"/>
    <col min="10" max="10" width="22.7109375" customWidth="1"/>
    <col min="11" max="11" width="31.7109375" bestFit="1" customWidth="1"/>
    <col min="13" max="13" width="14.140625" customWidth="1"/>
    <col min="15" max="43" width="11.42578125" style="112"/>
  </cols>
  <sheetData>
    <row r="1" spans="2:14" ht="31.5" x14ac:dyDescent="0.25">
      <c r="B1" s="249" t="s">
        <v>652</v>
      </c>
      <c r="C1" s="249" t="s">
        <v>653</v>
      </c>
      <c r="D1" s="249" t="s">
        <v>654</v>
      </c>
      <c r="E1" s="249" t="s">
        <v>655</v>
      </c>
      <c r="G1" s="112"/>
      <c r="J1" s="249" t="s">
        <v>656</v>
      </c>
      <c r="K1" s="249" t="s">
        <v>657</v>
      </c>
      <c r="L1" s="249" t="s">
        <v>604</v>
      </c>
      <c r="M1" s="249" t="s">
        <v>658</v>
      </c>
      <c r="N1" s="249" t="s">
        <v>659</v>
      </c>
    </row>
    <row r="2" spans="2:14" ht="34.15" customHeight="1" x14ac:dyDescent="0.25">
      <c r="B2" s="250" t="s">
        <v>660</v>
      </c>
      <c r="C2" s="250" t="s">
        <v>661</v>
      </c>
      <c r="D2" s="250" t="s">
        <v>662</v>
      </c>
      <c r="E2" s="251" t="s">
        <v>663</v>
      </c>
      <c r="G2" s="252" t="s">
        <v>664</v>
      </c>
      <c r="J2" s="239">
        <v>0</v>
      </c>
      <c r="K2" s="239" t="str">
        <f>SYNTHESE!B19</f>
        <v>Total brut des dépenses éligibles</v>
      </c>
      <c r="L2" s="321">
        <f>J2/(SYNTHESE!C19)</f>
        <v>0</v>
      </c>
      <c r="M2" s="254" t="str">
        <f>IF(L2&gt;=N2,"Oui","Non")</f>
        <v>Non</v>
      </c>
      <c r="N2" s="255">
        <v>0.2</v>
      </c>
    </row>
    <row r="3" spans="2:14" ht="30" customHeight="1" x14ac:dyDescent="0.25">
      <c r="B3" s="250" t="s">
        <v>665</v>
      </c>
      <c r="C3" s="250"/>
      <c r="D3" s="250" t="s">
        <v>666</v>
      </c>
      <c r="E3" s="251" t="s">
        <v>663</v>
      </c>
      <c r="G3" s="112"/>
      <c r="J3" s="112"/>
      <c r="K3" s="112"/>
      <c r="L3" s="112"/>
      <c r="M3" s="112"/>
      <c r="N3" s="112"/>
    </row>
    <row r="4" spans="2:14" ht="29.45" customHeight="1" x14ac:dyDescent="0.25">
      <c r="B4" s="250" t="s">
        <v>667</v>
      </c>
      <c r="C4" s="250" t="s">
        <v>668</v>
      </c>
      <c r="D4" s="250" t="s">
        <v>669</v>
      </c>
      <c r="E4" s="251" t="s">
        <v>663</v>
      </c>
      <c r="G4" s="112"/>
      <c r="J4" s="112"/>
      <c r="K4" s="112"/>
      <c r="L4" s="112"/>
      <c r="M4" s="112"/>
      <c r="N4" s="112"/>
    </row>
    <row r="5" spans="2:14" ht="31.15" customHeight="1" x14ac:dyDescent="0.25">
      <c r="B5" s="250" t="s">
        <v>670</v>
      </c>
      <c r="C5" s="250" t="s">
        <v>661</v>
      </c>
      <c r="D5" s="250" t="s">
        <v>671</v>
      </c>
      <c r="E5" s="251" t="s">
        <v>672</v>
      </c>
      <c r="G5" s="112"/>
      <c r="J5" s="112"/>
      <c r="K5" s="112"/>
      <c r="L5" s="112"/>
      <c r="M5" s="112"/>
      <c r="N5" s="112"/>
    </row>
    <row r="6" spans="2:14" ht="51" customHeight="1" x14ac:dyDescent="0.25">
      <c r="B6" s="250" t="s">
        <v>673</v>
      </c>
      <c r="C6" s="250" t="s">
        <v>661</v>
      </c>
      <c r="D6" s="250" t="s">
        <v>674</v>
      </c>
      <c r="E6" s="251" t="s">
        <v>672</v>
      </c>
      <c r="G6" s="112"/>
      <c r="J6" s="112"/>
      <c r="K6" s="112"/>
      <c r="L6" s="112"/>
      <c r="M6" s="112"/>
      <c r="N6" s="112"/>
    </row>
    <row r="7" spans="2:14" ht="40.15" customHeight="1" x14ac:dyDescent="0.25">
      <c r="B7" s="250" t="s">
        <v>675</v>
      </c>
      <c r="C7" s="250" t="s">
        <v>661</v>
      </c>
      <c r="D7" s="250" t="s">
        <v>676</v>
      </c>
      <c r="E7" s="251" t="s">
        <v>672</v>
      </c>
      <c r="G7" s="112"/>
      <c r="J7" s="112"/>
      <c r="K7" s="112"/>
      <c r="L7" s="112"/>
      <c r="M7" s="112"/>
      <c r="N7" s="112"/>
    </row>
    <row r="8" spans="2:14" ht="30" x14ac:dyDescent="0.25">
      <c r="B8" s="250" t="s">
        <v>677</v>
      </c>
      <c r="C8" s="250" t="s">
        <v>678</v>
      </c>
      <c r="D8" s="250" t="s">
        <v>679</v>
      </c>
      <c r="E8" s="251" t="s">
        <v>672</v>
      </c>
      <c r="G8" s="112"/>
      <c r="J8" s="112"/>
      <c r="K8" s="112"/>
      <c r="L8" s="112"/>
      <c r="M8" s="112"/>
      <c r="N8" s="112"/>
    </row>
    <row r="9" spans="2:14" x14ac:dyDescent="0.25">
      <c r="B9" s="112"/>
      <c r="C9" s="112"/>
      <c r="D9" s="112"/>
      <c r="E9" s="112"/>
      <c r="G9" s="112"/>
      <c r="J9" s="112"/>
      <c r="K9" s="112"/>
      <c r="L9" s="112"/>
      <c r="M9" s="112"/>
      <c r="N9" s="112"/>
    </row>
    <row r="10" spans="2:14" x14ac:dyDescent="0.25">
      <c r="B10" s="112"/>
      <c r="C10" s="112"/>
      <c r="D10" s="112"/>
      <c r="E10" s="112"/>
      <c r="G10" s="112"/>
      <c r="J10" s="112"/>
      <c r="K10" s="112"/>
      <c r="L10" s="112"/>
      <c r="M10" s="112"/>
      <c r="N10" s="112"/>
    </row>
    <row r="11" spans="2:14" x14ac:dyDescent="0.25">
      <c r="B11" s="112"/>
      <c r="C11" s="112"/>
      <c r="D11" s="112"/>
      <c r="E11" s="112"/>
      <c r="G11" s="112"/>
      <c r="J11" s="112"/>
      <c r="K11" s="112"/>
      <c r="L11" s="112"/>
      <c r="M11" s="112"/>
      <c r="N11" s="112"/>
    </row>
    <row r="12" spans="2:14" x14ac:dyDescent="0.25">
      <c r="B12" s="112"/>
      <c r="C12" s="112"/>
      <c r="D12" s="112"/>
      <c r="E12" s="112"/>
      <c r="G12" s="112"/>
      <c r="J12" s="112"/>
      <c r="K12" s="112"/>
      <c r="L12" s="112"/>
      <c r="M12" s="112"/>
      <c r="N12" s="112"/>
    </row>
    <row r="13" spans="2:14" x14ac:dyDescent="0.25">
      <c r="B13" s="112"/>
      <c r="C13" s="112"/>
      <c r="D13" s="112"/>
      <c r="E13" s="112"/>
      <c r="G13" s="112"/>
      <c r="J13" s="112"/>
      <c r="K13" s="112"/>
      <c r="L13" s="112"/>
      <c r="M13" s="112"/>
      <c r="N13" s="112"/>
    </row>
    <row r="14" spans="2:14" x14ac:dyDescent="0.25">
      <c r="B14" s="112"/>
      <c r="C14" s="112"/>
      <c r="D14" s="112"/>
      <c r="E14" s="112"/>
      <c r="G14" s="112"/>
      <c r="J14" s="112"/>
      <c r="K14" s="112"/>
      <c r="L14" s="112"/>
      <c r="M14" s="112"/>
      <c r="N14" s="112"/>
    </row>
    <row r="15" spans="2:14" x14ac:dyDescent="0.25">
      <c r="B15" s="112"/>
      <c r="C15" s="112"/>
      <c r="D15" s="112"/>
      <c r="E15" s="112"/>
      <c r="G15" s="112"/>
      <c r="J15" s="112"/>
      <c r="K15" s="112"/>
      <c r="L15" s="112"/>
      <c r="M15" s="112"/>
      <c r="N15" s="112"/>
    </row>
    <row r="16" spans="2:14" x14ac:dyDescent="0.25">
      <c r="B16" s="112"/>
      <c r="C16" s="112"/>
      <c r="D16" s="112"/>
      <c r="E16" s="112"/>
      <c r="G16" s="112"/>
      <c r="J16" s="112"/>
      <c r="K16" s="112"/>
      <c r="L16" s="112"/>
      <c r="M16" s="112"/>
      <c r="N16" s="112"/>
    </row>
    <row r="17" spans="2:14" x14ac:dyDescent="0.25">
      <c r="B17" s="112"/>
      <c r="C17" s="112"/>
      <c r="D17" s="112"/>
      <c r="E17" s="112"/>
      <c r="G17" s="112"/>
      <c r="J17" s="112"/>
      <c r="K17" s="112"/>
      <c r="L17" s="112"/>
      <c r="M17" s="112"/>
      <c r="N17" s="112"/>
    </row>
    <row r="18" spans="2:14" x14ac:dyDescent="0.25">
      <c r="B18" s="112"/>
      <c r="C18" s="112"/>
      <c r="D18" s="112"/>
      <c r="E18" s="112"/>
      <c r="G18" s="112"/>
      <c r="J18" s="112"/>
      <c r="K18" s="112"/>
      <c r="L18" s="112"/>
      <c r="M18" s="112"/>
      <c r="N18" s="112"/>
    </row>
    <row r="19" spans="2:14" x14ac:dyDescent="0.25">
      <c r="B19" s="112"/>
      <c r="C19" s="112"/>
      <c r="D19" s="112"/>
      <c r="E19" s="112"/>
      <c r="G19" s="112"/>
      <c r="J19" s="112"/>
      <c r="K19" s="112"/>
      <c r="L19" s="112"/>
      <c r="M19" s="112"/>
      <c r="N19" s="112"/>
    </row>
    <row r="20" spans="2:14" x14ac:dyDescent="0.25">
      <c r="B20" s="112"/>
      <c r="C20" s="112"/>
      <c r="D20" s="112"/>
      <c r="E20" s="112"/>
      <c r="G20" s="112"/>
      <c r="J20" s="112"/>
      <c r="K20" s="112"/>
      <c r="L20" s="112"/>
      <c r="M20" s="112"/>
      <c r="N20" s="112"/>
    </row>
    <row r="21" spans="2:14" x14ac:dyDescent="0.25">
      <c r="B21" s="112"/>
      <c r="C21" s="112"/>
      <c r="D21" s="112"/>
      <c r="E21" s="112"/>
      <c r="G21" s="112"/>
      <c r="J21" s="112"/>
      <c r="K21" s="112"/>
      <c r="L21" s="112"/>
      <c r="M21" s="112"/>
      <c r="N21" s="112"/>
    </row>
    <row r="22" spans="2:14" x14ac:dyDescent="0.25">
      <c r="B22" s="112"/>
      <c r="C22" s="112"/>
      <c r="D22" s="112"/>
      <c r="E22" s="112"/>
      <c r="G22" s="112"/>
      <c r="J22" s="112"/>
      <c r="K22" s="112"/>
      <c r="L22" s="112"/>
      <c r="M22" s="112"/>
      <c r="N22" s="112"/>
    </row>
    <row r="23" spans="2:14" x14ac:dyDescent="0.25">
      <c r="B23" s="112"/>
      <c r="C23" s="112"/>
      <c r="D23" s="112"/>
      <c r="E23" s="112"/>
      <c r="G23" s="112"/>
      <c r="J23" s="112"/>
      <c r="K23" s="112"/>
      <c r="L23" s="112"/>
      <c r="M23" s="112"/>
      <c r="N23" s="112"/>
    </row>
    <row r="24" spans="2:14" x14ac:dyDescent="0.25">
      <c r="B24" s="112"/>
      <c r="C24" s="112"/>
      <c r="D24" s="112"/>
      <c r="E24" s="112"/>
      <c r="G24" s="112"/>
      <c r="J24" s="112"/>
      <c r="K24" s="112"/>
      <c r="L24" s="112"/>
      <c r="M24" s="112"/>
      <c r="N24" s="112"/>
    </row>
    <row r="25" spans="2:14" x14ac:dyDescent="0.25">
      <c r="B25" s="112"/>
      <c r="C25" s="112"/>
      <c r="D25" s="112"/>
      <c r="E25" s="112"/>
      <c r="G25" s="112"/>
      <c r="J25" s="112"/>
      <c r="K25" s="112"/>
      <c r="L25" s="112"/>
      <c r="M25" s="112"/>
      <c r="N25" s="112"/>
    </row>
    <row r="26" spans="2:14" x14ac:dyDescent="0.25">
      <c r="B26" s="112"/>
      <c r="C26" s="112"/>
      <c r="D26" s="112"/>
      <c r="E26" s="112"/>
      <c r="G26" s="112"/>
      <c r="J26" s="112"/>
      <c r="K26" s="112"/>
      <c r="L26" s="112"/>
      <c r="M26" s="112"/>
      <c r="N26" s="112"/>
    </row>
    <row r="27" spans="2:14" x14ac:dyDescent="0.25">
      <c r="B27" s="112"/>
      <c r="C27" s="112"/>
      <c r="D27" s="112"/>
      <c r="E27" s="112"/>
      <c r="G27" s="112"/>
      <c r="J27" s="112"/>
      <c r="K27" s="112"/>
      <c r="L27" s="112"/>
      <c r="M27" s="112"/>
      <c r="N27" s="112"/>
    </row>
    <row r="28" spans="2:14" x14ac:dyDescent="0.25">
      <c r="B28" s="112"/>
      <c r="C28" s="112"/>
      <c r="D28" s="112"/>
      <c r="E28" s="112"/>
      <c r="G28" s="112"/>
      <c r="J28" s="112"/>
      <c r="K28" s="112"/>
      <c r="L28" s="112"/>
      <c r="M28" s="112"/>
      <c r="N28" s="112"/>
    </row>
    <row r="29" spans="2:14" x14ac:dyDescent="0.25">
      <c r="B29" s="112"/>
      <c r="C29" s="112"/>
      <c r="D29" s="112"/>
      <c r="E29" s="112"/>
      <c r="G29" s="112"/>
      <c r="J29" s="112"/>
      <c r="K29" s="112"/>
      <c r="L29" s="112"/>
      <c r="M29" s="112"/>
      <c r="N29" s="112"/>
    </row>
    <row r="30" spans="2:14" x14ac:dyDescent="0.25">
      <c r="B30" s="112"/>
      <c r="C30" s="112"/>
      <c r="D30" s="112"/>
      <c r="E30" s="112"/>
      <c r="G30" s="112"/>
      <c r="J30" s="112"/>
      <c r="K30" s="112"/>
      <c r="L30" s="112"/>
      <c r="M30" s="112"/>
      <c r="N30" s="112"/>
    </row>
    <row r="31" spans="2:14" x14ac:dyDescent="0.25">
      <c r="B31" s="112"/>
      <c r="C31" s="112"/>
      <c r="D31" s="112"/>
      <c r="E31" s="112"/>
      <c r="G31" s="112"/>
      <c r="J31" s="112"/>
      <c r="K31" s="112"/>
      <c r="L31" s="112"/>
      <c r="M31" s="112"/>
      <c r="N31" s="112"/>
    </row>
    <row r="32" spans="2:14" x14ac:dyDescent="0.25">
      <c r="B32" s="112"/>
      <c r="C32" s="112"/>
      <c r="D32" s="112"/>
      <c r="E32" s="112"/>
      <c r="G32" s="112"/>
      <c r="J32" s="112"/>
      <c r="K32" s="112"/>
      <c r="L32" s="112"/>
      <c r="M32" s="112"/>
      <c r="N32" s="112"/>
    </row>
    <row r="33" spans="2:14" x14ac:dyDescent="0.25">
      <c r="B33" s="112"/>
      <c r="C33" s="112"/>
      <c r="D33" s="112"/>
      <c r="E33" s="112"/>
      <c r="G33" s="112"/>
      <c r="J33" s="112"/>
      <c r="K33" s="112"/>
      <c r="L33" s="112"/>
      <c r="M33" s="112"/>
      <c r="N33" s="112"/>
    </row>
    <row r="34" spans="2:14" x14ac:dyDescent="0.25">
      <c r="B34" s="112"/>
      <c r="C34" s="112"/>
      <c r="D34" s="112"/>
      <c r="E34" s="112"/>
      <c r="G34" s="112"/>
      <c r="J34" s="112"/>
      <c r="K34" s="112"/>
      <c r="L34" s="112"/>
      <c r="M34" s="112"/>
      <c r="N34" s="112"/>
    </row>
    <row r="35" spans="2:14" x14ac:dyDescent="0.25">
      <c r="B35" s="112"/>
      <c r="C35" s="112"/>
      <c r="D35" s="112"/>
      <c r="E35" s="112"/>
      <c r="G35" s="112"/>
      <c r="J35" s="112"/>
      <c r="K35" s="112"/>
      <c r="L35" s="112"/>
      <c r="M35" s="112"/>
      <c r="N35" s="112"/>
    </row>
    <row r="36" spans="2:14" s="112" customFormat="1" x14ac:dyDescent="0.25"/>
    <row r="37" spans="2:14" s="112" customFormat="1" x14ac:dyDescent="0.25"/>
    <row r="38" spans="2:14" s="112" customFormat="1" x14ac:dyDescent="0.25"/>
    <row r="39" spans="2:14" s="112" customFormat="1" x14ac:dyDescent="0.25"/>
    <row r="40" spans="2:14" s="112" customFormat="1" x14ac:dyDescent="0.25"/>
    <row r="41" spans="2:14" s="112" customFormat="1" x14ac:dyDescent="0.25"/>
    <row r="42" spans="2:14" s="112" customFormat="1" x14ac:dyDescent="0.25"/>
    <row r="43" spans="2:14" s="112" customFormat="1" x14ac:dyDescent="0.25"/>
    <row r="44" spans="2:14" s="112" customFormat="1" x14ac:dyDescent="0.25"/>
    <row r="45" spans="2:14" s="112" customFormat="1" x14ac:dyDescent="0.25"/>
    <row r="46" spans="2:14" s="112" customFormat="1" x14ac:dyDescent="0.25"/>
    <row r="47" spans="2:14" s="112" customFormat="1" x14ac:dyDescent="0.25"/>
    <row r="48" spans="2:14" s="112" customFormat="1" x14ac:dyDescent="0.25"/>
    <row r="49" s="112" customFormat="1" x14ac:dyDescent="0.25"/>
    <row r="50" s="112" customFormat="1" x14ac:dyDescent="0.25"/>
    <row r="51" s="112" customFormat="1" x14ac:dyDescent="0.25"/>
    <row r="52" s="112" customFormat="1" x14ac:dyDescent="0.25"/>
    <row r="53" s="112" customFormat="1" x14ac:dyDescent="0.25"/>
    <row r="54" s="112" customFormat="1" x14ac:dyDescent="0.25"/>
    <row r="55" s="112" customFormat="1" x14ac:dyDescent="0.25"/>
    <row r="56" s="112" customFormat="1" x14ac:dyDescent="0.25"/>
    <row r="57" s="112" customFormat="1" x14ac:dyDescent="0.25"/>
    <row r="58" s="112" customFormat="1" x14ac:dyDescent="0.25"/>
    <row r="59" s="112" customFormat="1" x14ac:dyDescent="0.25"/>
    <row r="60" s="112" customFormat="1" x14ac:dyDescent="0.25"/>
    <row r="61" s="112" customFormat="1" x14ac:dyDescent="0.25"/>
    <row r="62" s="112" customFormat="1" x14ac:dyDescent="0.25"/>
    <row r="63" s="112" customFormat="1" x14ac:dyDescent="0.25"/>
    <row r="64" s="112" customFormat="1" x14ac:dyDescent="0.25"/>
    <row r="65" s="112" customFormat="1" x14ac:dyDescent="0.25"/>
    <row r="66" s="112" customFormat="1" x14ac:dyDescent="0.25"/>
    <row r="67" s="112" customFormat="1" x14ac:dyDescent="0.25"/>
    <row r="68" s="112" customFormat="1" x14ac:dyDescent="0.25"/>
    <row r="69" s="112" customFormat="1" x14ac:dyDescent="0.25"/>
    <row r="70" s="112" customFormat="1" x14ac:dyDescent="0.25"/>
    <row r="71" s="112" customFormat="1" x14ac:dyDescent="0.25"/>
    <row r="72" s="112" customFormat="1" x14ac:dyDescent="0.25"/>
    <row r="73" s="112" customFormat="1" x14ac:dyDescent="0.25"/>
    <row r="74" s="112" customFormat="1" x14ac:dyDescent="0.25"/>
    <row r="75" s="112" customFormat="1" x14ac:dyDescent="0.25"/>
    <row r="76" s="112" customFormat="1" x14ac:dyDescent="0.25"/>
    <row r="77" s="112" customFormat="1" x14ac:dyDescent="0.25"/>
    <row r="78" s="112" customFormat="1" x14ac:dyDescent="0.25"/>
    <row r="79" s="112" customFormat="1" x14ac:dyDescent="0.25"/>
    <row r="80" s="112" customFormat="1" x14ac:dyDescent="0.25"/>
    <row r="81" s="112" customFormat="1" x14ac:dyDescent="0.25"/>
    <row r="82" s="112" customFormat="1" x14ac:dyDescent="0.25"/>
    <row r="83" s="112" customFormat="1" x14ac:dyDescent="0.25"/>
    <row r="84" s="112" customFormat="1" x14ac:dyDescent="0.25"/>
    <row r="85" s="112" customFormat="1" x14ac:dyDescent="0.25"/>
    <row r="86" s="112" customFormat="1" x14ac:dyDescent="0.25"/>
    <row r="87" s="112" customFormat="1" x14ac:dyDescent="0.25"/>
    <row r="88" s="112" customFormat="1" x14ac:dyDescent="0.25"/>
    <row r="89" s="112" customFormat="1" x14ac:dyDescent="0.25"/>
    <row r="90" s="112" customFormat="1" x14ac:dyDescent="0.25"/>
    <row r="91" s="112" customFormat="1" x14ac:dyDescent="0.25"/>
    <row r="92" s="112" customFormat="1" x14ac:dyDescent="0.25"/>
    <row r="93" s="112" customFormat="1" x14ac:dyDescent="0.25"/>
    <row r="94" s="112" customFormat="1" x14ac:dyDescent="0.25"/>
    <row r="95" s="112" customFormat="1" x14ac:dyDescent="0.25"/>
    <row r="96" s="112" customFormat="1" x14ac:dyDescent="0.25"/>
    <row r="97" s="112" customFormat="1" x14ac:dyDescent="0.25"/>
    <row r="98" s="112" customFormat="1" x14ac:dyDescent="0.25"/>
    <row r="99" s="112" customFormat="1" x14ac:dyDescent="0.25"/>
    <row r="100" s="112" customFormat="1" x14ac:dyDescent="0.25"/>
    <row r="101" s="112" customFormat="1" x14ac:dyDescent="0.25"/>
    <row r="102" s="112" customFormat="1" x14ac:dyDescent="0.25"/>
    <row r="103" s="112" customFormat="1" x14ac:dyDescent="0.25"/>
    <row r="104" s="112" customFormat="1" x14ac:dyDescent="0.25"/>
    <row r="105" s="112" customFormat="1" x14ac:dyDescent="0.25"/>
    <row r="106" s="112" customFormat="1" x14ac:dyDescent="0.25"/>
    <row r="107" s="112" customFormat="1" x14ac:dyDescent="0.25"/>
    <row r="108" s="112" customFormat="1" x14ac:dyDescent="0.25"/>
    <row r="109" s="112" customFormat="1" x14ac:dyDescent="0.25"/>
    <row r="110" s="112" customFormat="1" x14ac:dyDescent="0.25"/>
    <row r="111" s="112" customFormat="1" x14ac:dyDescent="0.25"/>
    <row r="112" s="112" customFormat="1" x14ac:dyDescent="0.25"/>
    <row r="113" s="112" customFormat="1" x14ac:dyDescent="0.25"/>
    <row r="114" s="112" customFormat="1" x14ac:dyDescent="0.25"/>
    <row r="115" s="112" customFormat="1" x14ac:dyDescent="0.25"/>
    <row r="116" s="112" customFormat="1" x14ac:dyDescent="0.25"/>
    <row r="117" s="112" customFormat="1" x14ac:dyDescent="0.25"/>
    <row r="118" s="112" customFormat="1" x14ac:dyDescent="0.25"/>
    <row r="119" s="112" customFormat="1" x14ac:dyDescent="0.25"/>
    <row r="120" s="112" customFormat="1" x14ac:dyDescent="0.25"/>
    <row r="121" s="112" customFormat="1" x14ac:dyDescent="0.25"/>
    <row r="122" s="112" customFormat="1" x14ac:dyDescent="0.25"/>
    <row r="123" s="112" customFormat="1" x14ac:dyDescent="0.25"/>
    <row r="124" s="112" customFormat="1" x14ac:dyDescent="0.25"/>
    <row r="125" s="112" customFormat="1" x14ac:dyDescent="0.25"/>
    <row r="126" s="112" customFormat="1" x14ac:dyDescent="0.25"/>
    <row r="127" s="112" customFormat="1" x14ac:dyDescent="0.25"/>
    <row r="128" s="112" customFormat="1" x14ac:dyDescent="0.25"/>
    <row r="129" s="112" customFormat="1" x14ac:dyDescent="0.25"/>
    <row r="130" s="112" customFormat="1" x14ac:dyDescent="0.25"/>
    <row r="131" s="112" customFormat="1" x14ac:dyDescent="0.25"/>
    <row r="132" s="112" customFormat="1" x14ac:dyDescent="0.25"/>
    <row r="133" s="112" customFormat="1" x14ac:dyDescent="0.25"/>
    <row r="134" s="112" customFormat="1" x14ac:dyDescent="0.25"/>
    <row r="135" s="112" customFormat="1" x14ac:dyDescent="0.25"/>
    <row r="136" s="112" customFormat="1" x14ac:dyDescent="0.25"/>
    <row r="137" s="112" customFormat="1" x14ac:dyDescent="0.25"/>
    <row r="138" s="112" customFormat="1" x14ac:dyDescent="0.25"/>
    <row r="139" s="112" customFormat="1" x14ac:dyDescent="0.25"/>
    <row r="140" s="112" customFormat="1" x14ac:dyDescent="0.25"/>
    <row r="141" s="112" customFormat="1" x14ac:dyDescent="0.25"/>
    <row r="142" s="112" customFormat="1" x14ac:dyDescent="0.25"/>
    <row r="143" s="112" customFormat="1" x14ac:dyDescent="0.25"/>
    <row r="144" s="112" customFormat="1" x14ac:dyDescent="0.25"/>
    <row r="145" s="112" customFormat="1" x14ac:dyDescent="0.25"/>
    <row r="146" s="112" customFormat="1" x14ac:dyDescent="0.25"/>
    <row r="147" s="112" customFormat="1" x14ac:dyDescent="0.25"/>
    <row r="148" s="112" customFormat="1" x14ac:dyDescent="0.25"/>
    <row r="149" s="112" customFormat="1" x14ac:dyDescent="0.25"/>
    <row r="150" s="112" customFormat="1" x14ac:dyDescent="0.25"/>
    <row r="151" s="112" customFormat="1" x14ac:dyDescent="0.25"/>
    <row r="152" s="112" customFormat="1" x14ac:dyDescent="0.25"/>
    <row r="153" s="112" customFormat="1" x14ac:dyDescent="0.25"/>
    <row r="154" s="112" customFormat="1" x14ac:dyDescent="0.25"/>
    <row r="155" s="112" customFormat="1" x14ac:dyDescent="0.25"/>
    <row r="156" s="112" customFormat="1" x14ac:dyDescent="0.25"/>
    <row r="157" s="112" customFormat="1" x14ac:dyDescent="0.25"/>
    <row r="158" s="112" customFormat="1" x14ac:dyDescent="0.25"/>
    <row r="159" s="112" customFormat="1" x14ac:dyDescent="0.25"/>
    <row r="160" s="112" customFormat="1" x14ac:dyDescent="0.25"/>
    <row r="161" s="112" customFormat="1" x14ac:dyDescent="0.25"/>
    <row r="162" s="112" customFormat="1" x14ac:dyDescent="0.25"/>
    <row r="163" s="112" customFormat="1" x14ac:dyDescent="0.25"/>
    <row r="164" s="112" customFormat="1" x14ac:dyDescent="0.25"/>
    <row r="165" s="112" customFormat="1" x14ac:dyDescent="0.25"/>
    <row r="166" s="112" customFormat="1" x14ac:dyDescent="0.25"/>
    <row r="167" s="112" customFormat="1" x14ac:dyDescent="0.25"/>
    <row r="168" s="112" customFormat="1" x14ac:dyDescent="0.25"/>
    <row r="169" s="112" customFormat="1" x14ac:dyDescent="0.25"/>
    <row r="170" s="112" customFormat="1" x14ac:dyDescent="0.25"/>
    <row r="171" s="112" customFormat="1" x14ac:dyDescent="0.25"/>
    <row r="172" s="112" customFormat="1" x14ac:dyDescent="0.25"/>
    <row r="173" s="112" customFormat="1" x14ac:dyDescent="0.25"/>
    <row r="174" s="112" customFormat="1" x14ac:dyDescent="0.25"/>
    <row r="175" s="112" customFormat="1" x14ac:dyDescent="0.25"/>
    <row r="176" s="112" customFormat="1" x14ac:dyDescent="0.25"/>
    <row r="177" s="112" customFormat="1" x14ac:dyDescent="0.25"/>
    <row r="178" s="112" customFormat="1" x14ac:dyDescent="0.25"/>
    <row r="179" s="112" customFormat="1" x14ac:dyDescent="0.25"/>
    <row r="180" s="112" customFormat="1" x14ac:dyDescent="0.25"/>
    <row r="181" s="112" customFormat="1" x14ac:dyDescent="0.25"/>
    <row r="182" s="112" customFormat="1" x14ac:dyDescent="0.25"/>
    <row r="183" s="112" customFormat="1" x14ac:dyDescent="0.25"/>
    <row r="184" s="112" customFormat="1" x14ac:dyDescent="0.25"/>
    <row r="185" s="112" customFormat="1" x14ac:dyDescent="0.25"/>
    <row r="186" s="112" customFormat="1" x14ac:dyDescent="0.25"/>
    <row r="187" s="112" customFormat="1" x14ac:dyDescent="0.25"/>
    <row r="188" s="112" customFormat="1" x14ac:dyDescent="0.25"/>
    <row r="189" s="112" customFormat="1" x14ac:dyDescent="0.25"/>
    <row r="190" s="112" customFormat="1" x14ac:dyDescent="0.25"/>
    <row r="191" s="112" customFormat="1" x14ac:dyDescent="0.25"/>
    <row r="192" s="112" customFormat="1" x14ac:dyDescent="0.25"/>
    <row r="193" s="112" customFormat="1" x14ac:dyDescent="0.25"/>
    <row r="194" s="112" customFormat="1" x14ac:dyDescent="0.25"/>
    <row r="195" s="112" customFormat="1" x14ac:dyDescent="0.25"/>
    <row r="196" s="112" customFormat="1" x14ac:dyDescent="0.25"/>
    <row r="197" s="112" customFormat="1" x14ac:dyDescent="0.25"/>
    <row r="198" s="112" customFormat="1" x14ac:dyDescent="0.25"/>
    <row r="199" s="112" customFormat="1" x14ac:dyDescent="0.25"/>
    <row r="200" s="112" customFormat="1" x14ac:dyDescent="0.25"/>
    <row r="201" s="112" customFormat="1" x14ac:dyDescent="0.25"/>
    <row r="202" s="112" customFormat="1" x14ac:dyDescent="0.25"/>
    <row r="203" s="112" customFormat="1" x14ac:dyDescent="0.25"/>
    <row r="204" s="112" customFormat="1" x14ac:dyDescent="0.25"/>
    <row r="205" s="112" customFormat="1" x14ac:dyDescent="0.25"/>
    <row r="206" s="112" customFormat="1" x14ac:dyDescent="0.25"/>
    <row r="207" s="112" customFormat="1" x14ac:dyDescent="0.25"/>
    <row r="208" s="112" customFormat="1" x14ac:dyDescent="0.25"/>
    <row r="209" s="112" customFormat="1" x14ac:dyDescent="0.25"/>
    <row r="210" s="112" customFormat="1" x14ac:dyDescent="0.25"/>
    <row r="211" s="112" customFormat="1" x14ac:dyDescent="0.25"/>
    <row r="212" s="112" customFormat="1" x14ac:dyDescent="0.25"/>
    <row r="213" s="112" customFormat="1" x14ac:dyDescent="0.25"/>
    <row r="214" s="112" customFormat="1" x14ac:dyDescent="0.25"/>
    <row r="215" s="112" customFormat="1" x14ac:dyDescent="0.25"/>
    <row r="216" s="112" customFormat="1" x14ac:dyDescent="0.25"/>
    <row r="217" s="112" customFormat="1" x14ac:dyDescent="0.25"/>
    <row r="218" s="112" customFormat="1" x14ac:dyDescent="0.25"/>
    <row r="219" s="112" customFormat="1" x14ac:dyDescent="0.25"/>
    <row r="220" s="112" customFormat="1" x14ac:dyDescent="0.25"/>
    <row r="221" s="112" customFormat="1" x14ac:dyDescent="0.25"/>
    <row r="222" s="112" customFormat="1" x14ac:dyDescent="0.25"/>
    <row r="223" s="112" customFormat="1" x14ac:dyDescent="0.25"/>
    <row r="224" s="112" customFormat="1" x14ac:dyDescent="0.25"/>
    <row r="225" s="112" customFormat="1" x14ac:dyDescent="0.25"/>
    <row r="226" s="112" customFormat="1" x14ac:dyDescent="0.25"/>
    <row r="227" s="112" customFormat="1" x14ac:dyDescent="0.25"/>
    <row r="228" s="112" customFormat="1" x14ac:dyDescent="0.25"/>
    <row r="229" s="112" customFormat="1" x14ac:dyDescent="0.25"/>
    <row r="230" s="112" customFormat="1" x14ac:dyDescent="0.25"/>
    <row r="231" s="112" customFormat="1" x14ac:dyDescent="0.25"/>
    <row r="232" s="112" customFormat="1" x14ac:dyDescent="0.25"/>
    <row r="233" s="112" customFormat="1" x14ac:dyDescent="0.25"/>
    <row r="234" s="112" customFormat="1" x14ac:dyDescent="0.25"/>
    <row r="235" s="112" customFormat="1" x14ac:dyDescent="0.25"/>
    <row r="236" s="112" customFormat="1" x14ac:dyDescent="0.25"/>
    <row r="237" s="112" customFormat="1" x14ac:dyDescent="0.25"/>
    <row r="238" s="112" customFormat="1" x14ac:dyDescent="0.25"/>
    <row r="239" s="112" customFormat="1" x14ac:dyDescent="0.25"/>
    <row r="240" s="112" customFormat="1" x14ac:dyDescent="0.25"/>
    <row r="241" s="112" customFormat="1" x14ac:dyDescent="0.25"/>
    <row r="242" s="112" customFormat="1" x14ac:dyDescent="0.25"/>
    <row r="243" s="112" customFormat="1" x14ac:dyDescent="0.25"/>
    <row r="244" s="112" customFormat="1" x14ac:dyDescent="0.25"/>
    <row r="245" s="112" customFormat="1" x14ac:dyDescent="0.25"/>
    <row r="246" s="112" customFormat="1" x14ac:dyDescent="0.25"/>
    <row r="247" s="112" customFormat="1" x14ac:dyDescent="0.25"/>
    <row r="248" s="112" customFormat="1" x14ac:dyDescent="0.25"/>
    <row r="249" s="112" customFormat="1" x14ac:dyDescent="0.25"/>
    <row r="250" s="112" customFormat="1" x14ac:dyDescent="0.25"/>
    <row r="251" s="112" customFormat="1" x14ac:dyDescent="0.25"/>
    <row r="252" s="112" customFormat="1" x14ac:dyDescent="0.25"/>
    <row r="253" s="112" customFormat="1" x14ac:dyDescent="0.25"/>
    <row r="254" s="112" customFormat="1" x14ac:dyDescent="0.25"/>
    <row r="255" s="112" customFormat="1" x14ac:dyDescent="0.25"/>
    <row r="256" s="112" customFormat="1" x14ac:dyDescent="0.25"/>
    <row r="257" s="112" customFormat="1" x14ac:dyDescent="0.25"/>
    <row r="258" s="112" customFormat="1" x14ac:dyDescent="0.25"/>
    <row r="259" s="112" customFormat="1" x14ac:dyDescent="0.25"/>
    <row r="260" s="112" customFormat="1" x14ac:dyDescent="0.25"/>
    <row r="261" s="112" customFormat="1" x14ac:dyDescent="0.25"/>
    <row r="262" s="112" customFormat="1" x14ac:dyDescent="0.25"/>
    <row r="263" s="112" customFormat="1" x14ac:dyDescent="0.25"/>
    <row r="264" s="112" customFormat="1" x14ac:dyDescent="0.25"/>
    <row r="265" s="112" customFormat="1" x14ac:dyDescent="0.25"/>
    <row r="266" s="112" customFormat="1" x14ac:dyDescent="0.25"/>
    <row r="267" s="112" customFormat="1" x14ac:dyDescent="0.25"/>
    <row r="268" s="112" customFormat="1" x14ac:dyDescent="0.25"/>
    <row r="269" s="112" customFormat="1" x14ac:dyDescent="0.25"/>
    <row r="270" s="112" customFormat="1" x14ac:dyDescent="0.25"/>
    <row r="271" s="112" customFormat="1" x14ac:dyDescent="0.25"/>
    <row r="272" s="112" customFormat="1" x14ac:dyDescent="0.25"/>
    <row r="273" s="112" customFormat="1" x14ac:dyDescent="0.25"/>
    <row r="274" s="112" customFormat="1" x14ac:dyDescent="0.25"/>
    <row r="275" s="112" customFormat="1" x14ac:dyDescent="0.25"/>
    <row r="276" s="112" customFormat="1" x14ac:dyDescent="0.25"/>
    <row r="277" s="112" customFormat="1" x14ac:dyDescent="0.25"/>
    <row r="278" s="112" customFormat="1" x14ac:dyDescent="0.25"/>
    <row r="279" s="112" customFormat="1" x14ac:dyDescent="0.25"/>
    <row r="280" s="112" customFormat="1" x14ac:dyDescent="0.25"/>
    <row r="281" s="112" customFormat="1" x14ac:dyDescent="0.25"/>
    <row r="282" s="112" customFormat="1" x14ac:dyDescent="0.25"/>
    <row r="283" s="112" customFormat="1" x14ac:dyDescent="0.25"/>
    <row r="284" s="112" customFormat="1" x14ac:dyDescent="0.25"/>
    <row r="285" s="112" customFormat="1" x14ac:dyDescent="0.25"/>
    <row r="286" s="112" customFormat="1" x14ac:dyDescent="0.25"/>
    <row r="287" s="112" customFormat="1" x14ac:dyDescent="0.25"/>
    <row r="288" s="112" customFormat="1" x14ac:dyDescent="0.25"/>
    <row r="289" s="112" customFormat="1" x14ac:dyDescent="0.25"/>
    <row r="290" s="112" customFormat="1" x14ac:dyDescent="0.25"/>
    <row r="291" s="112" customFormat="1" x14ac:dyDescent="0.25"/>
    <row r="292" s="112" customFormat="1" x14ac:dyDescent="0.25"/>
    <row r="293" s="112" customFormat="1" x14ac:dyDescent="0.25"/>
    <row r="294" s="112" customFormat="1" x14ac:dyDescent="0.25"/>
    <row r="295" s="112" customFormat="1" x14ac:dyDescent="0.25"/>
    <row r="296" s="112" customFormat="1" x14ac:dyDescent="0.25"/>
    <row r="297" s="112" customFormat="1" x14ac:dyDescent="0.25"/>
    <row r="298" s="112" customFormat="1" x14ac:dyDescent="0.25"/>
    <row r="299" s="112" customFormat="1" x14ac:dyDescent="0.25"/>
    <row r="300" s="112" customFormat="1" x14ac:dyDescent="0.25"/>
    <row r="301" s="112" customFormat="1" x14ac:dyDescent="0.25"/>
    <row r="302" s="112" customFormat="1" x14ac:dyDescent="0.25"/>
    <row r="303" s="112" customFormat="1" x14ac:dyDescent="0.25"/>
    <row r="304" s="112" customFormat="1" x14ac:dyDescent="0.25"/>
    <row r="305" s="112" customFormat="1" x14ac:dyDescent="0.25"/>
    <row r="306" s="112" customFormat="1" x14ac:dyDescent="0.25"/>
    <row r="307" s="112" customFormat="1" x14ac:dyDescent="0.25"/>
    <row r="308" s="112" customFormat="1" x14ac:dyDescent="0.25"/>
    <row r="309" s="112" customFormat="1" x14ac:dyDescent="0.25"/>
    <row r="310" s="112" customFormat="1" x14ac:dyDescent="0.25"/>
    <row r="311" s="112" customFormat="1" x14ac:dyDescent="0.25"/>
    <row r="312" s="112" customFormat="1" x14ac:dyDescent="0.25"/>
    <row r="313" s="112" customFormat="1" x14ac:dyDescent="0.25"/>
    <row r="314" s="112" customFormat="1" x14ac:dyDescent="0.25"/>
    <row r="315" s="112" customFormat="1" x14ac:dyDescent="0.25"/>
    <row r="316" s="112" customFormat="1" x14ac:dyDescent="0.25"/>
    <row r="317" s="112" customFormat="1" x14ac:dyDescent="0.25"/>
    <row r="318" s="112" customFormat="1" x14ac:dyDescent="0.25"/>
    <row r="319" s="112" customFormat="1" x14ac:dyDescent="0.25"/>
    <row r="320" s="112" customFormat="1" x14ac:dyDescent="0.25"/>
    <row r="321" s="112" customFormat="1" x14ac:dyDescent="0.25"/>
    <row r="322" s="112" customFormat="1" x14ac:dyDescent="0.25"/>
    <row r="323" s="112" customFormat="1" x14ac:dyDescent="0.25"/>
    <row r="324" s="112" customFormat="1" x14ac:dyDescent="0.25"/>
    <row r="325" s="112" customFormat="1" x14ac:dyDescent="0.25"/>
    <row r="326" s="112" customFormat="1" x14ac:dyDescent="0.25"/>
    <row r="327" s="112" customFormat="1" x14ac:dyDescent="0.25"/>
    <row r="328" s="112" customFormat="1" x14ac:dyDescent="0.25"/>
    <row r="329" s="112" customFormat="1" x14ac:dyDescent="0.25"/>
    <row r="330" s="112" customFormat="1" x14ac:dyDescent="0.25"/>
    <row r="331" s="112" customFormat="1" x14ac:dyDescent="0.25"/>
    <row r="332" s="112" customFormat="1" x14ac:dyDescent="0.25"/>
    <row r="333" s="112" customFormat="1" x14ac:dyDescent="0.25"/>
    <row r="334" s="112" customFormat="1" x14ac:dyDescent="0.25"/>
    <row r="335" s="112" customFormat="1" x14ac:dyDescent="0.25"/>
    <row r="336" s="112" customFormat="1" x14ac:dyDescent="0.25"/>
    <row r="337" s="112" customFormat="1" x14ac:dyDescent="0.25"/>
    <row r="338" s="112" customFormat="1" x14ac:dyDescent="0.25"/>
    <row r="339" s="112" customFormat="1" x14ac:dyDescent="0.25"/>
    <row r="340" s="112" customFormat="1" x14ac:dyDescent="0.25"/>
    <row r="341" s="112" customFormat="1" x14ac:dyDescent="0.25"/>
    <row r="342" s="112" customFormat="1" x14ac:dyDescent="0.25"/>
    <row r="343" s="112" customFormat="1" x14ac:dyDescent="0.25"/>
    <row r="344" s="112" customFormat="1" x14ac:dyDescent="0.25"/>
    <row r="345" s="112" customFormat="1" x14ac:dyDescent="0.25"/>
    <row r="346" s="112" customFormat="1" x14ac:dyDescent="0.25"/>
    <row r="347" s="112" customFormat="1" x14ac:dyDescent="0.25"/>
    <row r="348" s="112" customFormat="1" x14ac:dyDescent="0.25"/>
    <row r="349" s="112" customFormat="1" x14ac:dyDescent="0.25"/>
    <row r="350" s="112" customFormat="1" x14ac:dyDescent="0.25"/>
    <row r="351" s="112" customFormat="1" x14ac:dyDescent="0.25"/>
    <row r="352" s="112" customFormat="1" x14ac:dyDescent="0.25"/>
    <row r="353" s="112" customFormat="1" x14ac:dyDescent="0.25"/>
    <row r="354" s="112" customFormat="1" x14ac:dyDescent="0.25"/>
    <row r="355" s="112" customFormat="1" x14ac:dyDescent="0.25"/>
    <row r="356" s="112" customFormat="1" x14ac:dyDescent="0.25"/>
    <row r="357" s="112" customFormat="1" x14ac:dyDescent="0.25"/>
    <row r="358" s="112" customFormat="1" x14ac:dyDescent="0.25"/>
    <row r="359" s="112" customFormat="1" x14ac:dyDescent="0.25"/>
    <row r="360" s="112" customFormat="1" x14ac:dyDescent="0.25"/>
    <row r="361" s="112" customFormat="1" x14ac:dyDescent="0.25"/>
    <row r="362" s="112" customFormat="1" x14ac:dyDescent="0.25"/>
    <row r="363" s="112" customFormat="1" x14ac:dyDescent="0.25"/>
    <row r="364" s="112" customFormat="1" x14ac:dyDescent="0.25"/>
    <row r="365" s="112" customFormat="1" x14ac:dyDescent="0.25"/>
    <row r="366" s="112" customFormat="1" x14ac:dyDescent="0.25"/>
    <row r="367" s="112" customFormat="1" x14ac:dyDescent="0.25"/>
    <row r="368" s="112" customFormat="1" x14ac:dyDescent="0.25"/>
    <row r="369" s="112" customFormat="1" x14ac:dyDescent="0.25"/>
    <row r="370" s="112" customFormat="1" x14ac:dyDescent="0.25"/>
    <row r="371" s="112" customFormat="1" x14ac:dyDescent="0.25"/>
    <row r="372" s="112" customFormat="1" x14ac:dyDescent="0.25"/>
    <row r="373" s="112" customFormat="1" x14ac:dyDescent="0.25"/>
    <row r="374" s="112" customFormat="1" x14ac:dyDescent="0.25"/>
    <row r="375" s="112" customFormat="1" x14ac:dyDescent="0.25"/>
    <row r="376" s="112" customFormat="1" x14ac:dyDescent="0.25"/>
    <row r="377" s="112" customFormat="1" x14ac:dyDescent="0.25"/>
    <row r="378" s="112" customFormat="1" x14ac:dyDescent="0.25"/>
    <row r="379" s="112" customFormat="1" x14ac:dyDescent="0.25"/>
    <row r="380" s="112" customFormat="1" x14ac:dyDescent="0.25"/>
    <row r="381" s="112" customFormat="1" x14ac:dyDescent="0.25"/>
    <row r="382" s="112" customFormat="1" x14ac:dyDescent="0.25"/>
    <row r="383" s="112" customFormat="1" x14ac:dyDescent="0.25"/>
    <row r="384" s="112" customFormat="1" x14ac:dyDescent="0.25"/>
    <row r="385" s="112" customFormat="1" x14ac:dyDescent="0.25"/>
    <row r="386" s="112" customFormat="1" x14ac:dyDescent="0.25"/>
    <row r="387" s="112" customFormat="1" x14ac:dyDescent="0.25"/>
    <row r="388" s="112" customFormat="1" x14ac:dyDescent="0.25"/>
    <row r="389" s="112" customFormat="1" x14ac:dyDescent="0.25"/>
    <row r="390" s="112" customFormat="1" x14ac:dyDescent="0.25"/>
    <row r="391" s="112" customFormat="1" x14ac:dyDescent="0.25"/>
    <row r="392" s="112" customFormat="1" x14ac:dyDescent="0.25"/>
    <row r="393" s="112" customFormat="1" x14ac:dyDescent="0.25"/>
    <row r="394" s="112" customFormat="1" x14ac:dyDescent="0.25"/>
    <row r="395" s="112" customFormat="1" x14ac:dyDescent="0.25"/>
    <row r="396" s="112" customFormat="1" x14ac:dyDescent="0.25"/>
    <row r="397" s="112" customFormat="1" x14ac:dyDescent="0.25"/>
    <row r="398" s="112" customFormat="1" x14ac:dyDescent="0.25"/>
    <row r="399" s="112" customFormat="1" x14ac:dyDescent="0.25"/>
    <row r="400" s="112" customFormat="1" x14ac:dyDescent="0.25"/>
    <row r="401" s="112" customFormat="1" x14ac:dyDescent="0.25"/>
    <row r="402" s="112" customFormat="1" x14ac:dyDescent="0.25"/>
    <row r="403" s="112" customFormat="1" x14ac:dyDescent="0.25"/>
    <row r="404" s="112" customFormat="1" x14ac:dyDescent="0.25"/>
    <row r="405" s="112" customFormat="1" x14ac:dyDescent="0.25"/>
    <row r="406" s="112" customFormat="1" x14ac:dyDescent="0.25"/>
    <row r="407" s="112" customFormat="1" x14ac:dyDescent="0.25"/>
    <row r="408" s="112" customFormat="1" x14ac:dyDescent="0.25"/>
    <row r="409" s="112" customFormat="1" x14ac:dyDescent="0.25"/>
    <row r="410" s="112" customFormat="1" x14ac:dyDescent="0.25"/>
    <row r="411" s="112" customFormat="1" x14ac:dyDescent="0.25"/>
    <row r="412" s="112" customFormat="1" x14ac:dyDescent="0.25"/>
    <row r="413" s="112" customFormat="1" x14ac:dyDescent="0.25"/>
    <row r="414" s="112" customFormat="1" x14ac:dyDescent="0.25"/>
    <row r="415" s="112" customFormat="1" x14ac:dyDescent="0.25"/>
    <row r="416" s="112" customFormat="1" x14ac:dyDescent="0.25"/>
    <row r="417" s="112" customFormat="1" x14ac:dyDescent="0.25"/>
    <row r="418" s="112" customFormat="1" x14ac:dyDescent="0.25"/>
    <row r="419" s="112" customFormat="1" x14ac:dyDescent="0.25"/>
    <row r="420" s="112" customFormat="1" x14ac:dyDescent="0.25"/>
    <row r="421" s="112" customFormat="1" x14ac:dyDescent="0.25"/>
    <row r="422" s="112" customFormat="1" x14ac:dyDescent="0.25"/>
    <row r="423" s="112" customFormat="1" x14ac:dyDescent="0.25"/>
    <row r="424" s="112" customFormat="1" x14ac:dyDescent="0.25"/>
    <row r="425" s="112" customFormat="1" x14ac:dyDescent="0.25"/>
    <row r="426" s="112" customFormat="1" x14ac:dyDescent="0.25"/>
    <row r="427" s="112" customFormat="1" x14ac:dyDescent="0.25"/>
    <row r="428" s="112" customFormat="1" x14ac:dyDescent="0.25"/>
    <row r="429" s="112" customFormat="1" x14ac:dyDescent="0.25"/>
    <row r="430" s="112" customFormat="1" x14ac:dyDescent="0.25"/>
    <row r="431" s="112" customFormat="1" x14ac:dyDescent="0.25"/>
    <row r="432" s="112" customFormat="1" x14ac:dyDescent="0.25"/>
    <row r="433" s="112" customFormat="1" x14ac:dyDescent="0.25"/>
    <row r="434" s="112" customFormat="1" x14ac:dyDescent="0.25"/>
    <row r="435" s="112" customFormat="1" x14ac:dyDescent="0.25"/>
    <row r="436" s="112" customFormat="1" x14ac:dyDescent="0.25"/>
    <row r="437" s="112" customFormat="1" x14ac:dyDescent="0.25"/>
    <row r="438" s="112" customFormat="1" x14ac:dyDescent="0.25"/>
    <row r="439" s="112" customFormat="1" x14ac:dyDescent="0.25"/>
    <row r="440" s="112" customFormat="1" x14ac:dyDescent="0.25"/>
    <row r="441" s="112" customFormat="1" x14ac:dyDescent="0.25"/>
    <row r="442" s="112" customFormat="1" x14ac:dyDescent="0.25"/>
    <row r="443" s="112" customFormat="1" x14ac:dyDescent="0.25"/>
    <row r="444" s="112" customFormat="1" x14ac:dyDescent="0.25"/>
    <row r="445" s="112" customFormat="1" x14ac:dyDescent="0.25"/>
    <row r="446" s="112" customFormat="1" x14ac:dyDescent="0.25"/>
    <row r="447" s="112" customFormat="1" x14ac:dyDescent="0.25"/>
    <row r="448" s="112" customFormat="1" x14ac:dyDescent="0.25"/>
    <row r="449" s="112" customFormat="1" x14ac:dyDescent="0.25"/>
    <row r="450" s="112" customFormat="1" x14ac:dyDescent="0.25"/>
    <row r="451" s="112" customFormat="1" x14ac:dyDescent="0.25"/>
    <row r="452" s="112" customFormat="1" x14ac:dyDescent="0.25"/>
    <row r="453" s="112" customFormat="1" x14ac:dyDescent="0.25"/>
    <row r="454" s="112" customFormat="1" x14ac:dyDescent="0.25"/>
    <row r="455" s="112" customFormat="1" x14ac:dyDescent="0.25"/>
    <row r="456" s="112" customFormat="1" x14ac:dyDescent="0.25"/>
    <row r="457" s="112" customFormat="1" x14ac:dyDescent="0.25"/>
    <row r="458" s="112" customFormat="1" x14ac:dyDescent="0.25"/>
    <row r="459" s="112" customFormat="1" x14ac:dyDescent="0.25"/>
    <row r="460" s="112" customFormat="1" x14ac:dyDescent="0.25"/>
    <row r="461" s="112" customFormat="1" x14ac:dyDescent="0.25"/>
    <row r="462" s="112" customFormat="1" x14ac:dyDescent="0.25"/>
    <row r="463" s="112" customFormat="1" x14ac:dyDescent="0.25"/>
    <row r="464" s="112" customFormat="1" x14ac:dyDescent="0.25"/>
    <row r="465" s="112" customFormat="1" x14ac:dyDescent="0.25"/>
    <row r="466" s="112" customFormat="1" x14ac:dyDescent="0.25"/>
    <row r="467" s="112" customFormat="1" x14ac:dyDescent="0.25"/>
    <row r="468" s="112" customFormat="1" x14ac:dyDescent="0.25"/>
    <row r="469" s="112" customFormat="1" x14ac:dyDescent="0.25"/>
    <row r="470" s="112" customFormat="1" x14ac:dyDescent="0.25"/>
    <row r="471" s="112" customFormat="1" x14ac:dyDescent="0.25"/>
    <row r="472" s="112" customFormat="1" x14ac:dyDescent="0.25"/>
    <row r="473" s="112" customFormat="1" x14ac:dyDescent="0.25"/>
    <row r="474" s="112" customFormat="1" x14ac:dyDescent="0.25"/>
    <row r="475" s="112" customFormat="1" x14ac:dyDescent="0.25"/>
    <row r="476" s="112" customFormat="1" x14ac:dyDescent="0.25"/>
    <row r="477" s="112" customFormat="1" x14ac:dyDescent="0.25"/>
    <row r="478" s="112" customFormat="1" x14ac:dyDescent="0.25"/>
    <row r="479" s="112" customFormat="1" x14ac:dyDescent="0.25"/>
    <row r="480" s="112" customFormat="1" x14ac:dyDescent="0.25"/>
    <row r="481" s="112" customFormat="1" x14ac:dyDescent="0.25"/>
    <row r="482" s="112" customFormat="1" x14ac:dyDescent="0.25"/>
    <row r="483" s="112" customFormat="1" x14ac:dyDescent="0.25"/>
    <row r="484" s="112" customFormat="1" x14ac:dyDescent="0.25"/>
    <row r="485" s="112" customFormat="1" x14ac:dyDescent="0.25"/>
    <row r="486" s="112" customFormat="1" x14ac:dyDescent="0.25"/>
  </sheetData>
  <conditionalFormatting sqref="M2">
    <cfRule type="containsText" dxfId="5" priority="3" operator="containsText" text="Oui">
      <formula>NOT(ISERROR(SEARCH("Oui",M2)))</formula>
    </cfRule>
    <cfRule type="containsText" dxfId="4" priority="4" operator="containsText" text="Non">
      <formula>NOT(ISERROR(SEARCH("Non",M2)))</formula>
    </cfRule>
  </conditionalFormatting>
  <conditionalFormatting sqref="E2:E8">
    <cfRule type="containsText" dxfId="3" priority="1" operator="containsText" text="non">
      <formula>NOT(ISERROR(SEARCH("non",E2)))</formula>
    </cfRule>
    <cfRule type="containsText" dxfId="2" priority="2" operator="containsText" text="oui">
      <formula>NOT(ISERROR(SEARCH("oui",E2)))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63B24-759E-413B-8B47-D3776F8F7D0C}">
  <sheetPr codeName="Feuil27">
    <tabColor rgb="FFFFFF00"/>
  </sheetPr>
  <dimension ref="A1:CF681"/>
  <sheetViews>
    <sheetView showGridLines="0" topLeftCell="A53" zoomScaleNormal="100" workbookViewId="0">
      <selection activeCell="I139" sqref="I139"/>
    </sheetView>
  </sheetViews>
  <sheetFormatPr baseColWidth="10" defaultColWidth="11.42578125" defaultRowHeight="15" x14ac:dyDescent="0.25"/>
  <cols>
    <col min="2" max="2" width="22.28515625" style="112" customWidth="1"/>
    <col min="3" max="3" width="107" style="112" bestFit="1" customWidth="1"/>
    <col min="4" max="4" width="31.85546875" style="112" customWidth="1"/>
    <col min="5" max="5" width="14.85546875" style="112" bestFit="1" customWidth="1"/>
    <col min="6" max="6" width="11.42578125" style="112" customWidth="1"/>
    <col min="7" max="7" width="13" style="112" bestFit="1" customWidth="1"/>
    <col min="8" max="8" width="18.28515625" style="112" bestFit="1" customWidth="1"/>
    <col min="9" max="9" width="28.5703125" customWidth="1"/>
    <col min="10" max="10" width="31.7109375" bestFit="1" customWidth="1"/>
    <col min="11" max="11" width="14.7109375" customWidth="1"/>
    <col min="12" max="12" width="14.140625" customWidth="1"/>
    <col min="14" max="15" width="11.42578125" style="112"/>
    <col min="16" max="16" width="31.140625" style="112" bestFit="1" customWidth="1"/>
    <col min="17" max="17" width="14.85546875" style="112" customWidth="1"/>
    <col min="18" max="18" width="14" style="112" customWidth="1"/>
    <col min="19" max="19" width="32.140625" style="112" customWidth="1"/>
    <col min="20" max="20" width="30" style="112" bestFit="1" customWidth="1"/>
    <col min="21" max="21" width="14.5703125" style="112" customWidth="1"/>
    <col min="22" max="22" width="14.42578125" style="112" bestFit="1" customWidth="1"/>
    <col min="23" max="23" width="9.85546875" style="112" bestFit="1" customWidth="1"/>
    <col min="24" max="24" width="60.5703125" style="112" bestFit="1" customWidth="1"/>
    <col min="25" max="25" width="9.85546875" style="112" bestFit="1" customWidth="1"/>
    <col min="26" max="26" width="12.7109375" style="112" bestFit="1" customWidth="1"/>
    <col min="27" max="27" width="5.42578125" style="112" bestFit="1" customWidth="1"/>
    <col min="28" max="28" width="13.42578125" style="112" customWidth="1"/>
    <col min="29" max="29" width="16.28515625" style="112" bestFit="1" customWidth="1"/>
    <col min="30" max="30" width="11.28515625" style="112" bestFit="1" customWidth="1"/>
    <col min="31" max="31" width="14" style="112" bestFit="1" customWidth="1"/>
    <col min="32" max="33" width="12.7109375" style="112" bestFit="1" customWidth="1"/>
    <col min="34" max="34" width="13.28515625" style="112" bestFit="1" customWidth="1"/>
    <col min="35" max="35" width="13" style="112" bestFit="1" customWidth="1"/>
    <col min="36" max="36" width="10.5703125" style="112" bestFit="1" customWidth="1"/>
    <col min="37" max="39" width="11.42578125" style="112"/>
    <col min="40" max="40" width="36.28515625" style="112" customWidth="1"/>
    <col min="41" max="41" width="11.42578125" style="112"/>
    <col min="42" max="42" width="55.7109375" style="112" bestFit="1" customWidth="1"/>
    <col min="43" max="43" width="91" style="112" customWidth="1"/>
    <col min="44" max="44" width="30.7109375" style="112" bestFit="1" customWidth="1"/>
    <col min="45" max="45" width="89.140625" style="112" bestFit="1" customWidth="1"/>
    <col min="46" max="46" width="40" style="112" bestFit="1" customWidth="1"/>
    <col min="47" max="47" width="21.140625" style="112" bestFit="1" customWidth="1"/>
    <col min="48" max="48" width="11.28515625" style="112" bestFit="1" customWidth="1"/>
    <col min="49" max="49" width="23.42578125" style="112" bestFit="1" customWidth="1"/>
    <col min="50" max="50" width="67.140625" style="112" bestFit="1" customWidth="1"/>
    <col min="51" max="51" width="18" style="112" customWidth="1"/>
    <col min="52" max="52" width="27.85546875" style="112" bestFit="1" customWidth="1"/>
    <col min="53" max="53" width="22.85546875" style="112" bestFit="1" customWidth="1"/>
    <col min="54" max="54" width="11.42578125" style="112"/>
    <col min="55" max="55" width="13.7109375" style="112" bestFit="1" customWidth="1"/>
    <col min="56" max="56" width="17.42578125" style="112" customWidth="1"/>
    <col min="57" max="57" width="22.85546875" style="112" bestFit="1" customWidth="1"/>
    <col min="58" max="58" width="11.28515625" style="112" bestFit="1" customWidth="1"/>
    <col min="59" max="59" width="13.7109375" style="112" bestFit="1" customWidth="1"/>
    <col min="60" max="60" width="26" style="112" bestFit="1" customWidth="1"/>
    <col min="61" max="62" width="11.42578125" style="112"/>
    <col min="63" max="63" width="67.42578125" style="112" bestFit="1" customWidth="1"/>
    <col min="64" max="64" width="11.28515625" style="112" bestFit="1" customWidth="1"/>
    <col min="65" max="65" width="15.28515625" style="112" bestFit="1" customWidth="1"/>
    <col min="66" max="84" width="11.42578125" style="112"/>
  </cols>
  <sheetData>
    <row r="1" spans="2:13" ht="21" x14ac:dyDescent="0.4">
      <c r="B1" s="322" t="s">
        <v>680</v>
      </c>
      <c r="C1" s="323"/>
      <c r="D1" s="323"/>
      <c r="E1" s="323"/>
      <c r="F1" s="323"/>
      <c r="G1" s="323"/>
      <c r="I1" s="322" t="s">
        <v>681</v>
      </c>
      <c r="J1" s="112"/>
      <c r="K1" s="112"/>
      <c r="L1" s="112"/>
      <c r="M1" s="112"/>
    </row>
    <row r="2" spans="2:13" ht="34.15" customHeight="1" x14ac:dyDescent="0.3">
      <c r="B2" s="323"/>
      <c r="C2" s="323"/>
      <c r="D2" s="323"/>
      <c r="E2" s="323"/>
      <c r="F2" s="323"/>
      <c r="G2" s="323"/>
      <c r="I2" s="112"/>
      <c r="J2" s="112"/>
      <c r="K2" s="112"/>
      <c r="L2" s="112"/>
      <c r="M2" s="112"/>
    </row>
    <row r="3" spans="2:13" ht="30" customHeight="1" x14ac:dyDescent="0.35">
      <c r="B3" s="323"/>
      <c r="C3" s="562" t="s">
        <v>684</v>
      </c>
      <c r="D3" s="562"/>
      <c r="E3" s="562"/>
      <c r="F3" s="562"/>
      <c r="G3" s="562"/>
      <c r="I3" s="112"/>
      <c r="J3" s="112"/>
      <c r="K3" s="112"/>
      <c r="L3" s="112"/>
      <c r="M3" s="112"/>
    </row>
    <row r="4" spans="2:13" ht="29.45" customHeight="1" x14ac:dyDescent="0.3">
      <c r="B4" s="323"/>
      <c r="C4" s="323"/>
      <c r="D4" s="323"/>
      <c r="E4" s="323"/>
      <c r="F4" s="323"/>
      <c r="G4" s="323"/>
      <c r="I4" s="112"/>
      <c r="J4" s="112"/>
      <c r="K4" s="112"/>
      <c r="L4" s="112"/>
      <c r="M4" s="112"/>
    </row>
    <row r="5" spans="2:13" ht="31.15" customHeight="1" x14ac:dyDescent="0.25">
      <c r="B5" s="324" t="s">
        <v>685</v>
      </c>
      <c r="C5" s="574" t="s">
        <v>686</v>
      </c>
      <c r="D5" s="574"/>
      <c r="E5" s="574"/>
      <c r="F5" s="575" t="str">
        <f>IF(AND(E7&lt;250,OR(E8&lt;50000000,E9&lt;43000000)),"OUI","NON")</f>
        <v>OUI</v>
      </c>
      <c r="G5" s="566" t="str">
        <f>IF(F5="NON", "JEI invalidée","")</f>
        <v/>
      </c>
      <c r="I5" s="249" t="s">
        <v>656</v>
      </c>
      <c r="J5" s="249" t="s">
        <v>657</v>
      </c>
      <c r="K5" s="249" t="s">
        <v>604</v>
      </c>
      <c r="L5" s="249" t="s">
        <v>658</v>
      </c>
      <c r="M5" s="249" t="s">
        <v>659</v>
      </c>
    </row>
    <row r="6" spans="2:13" ht="21.75" customHeight="1" x14ac:dyDescent="0.3">
      <c r="B6" s="325"/>
      <c r="C6" s="574"/>
      <c r="D6" s="574"/>
      <c r="E6" s="574"/>
      <c r="F6" s="576"/>
      <c r="G6" s="566"/>
      <c r="I6" s="418"/>
      <c r="J6" s="239">
        <f>SYNTHESE!C19</f>
        <v>321704.90330766223</v>
      </c>
      <c r="K6" s="253">
        <f>I6/J6</f>
        <v>0</v>
      </c>
      <c r="L6" s="254" t="str">
        <f>IF(K6&gt;=M6,"Oui","Non")</f>
        <v>Non</v>
      </c>
      <c r="M6" s="255">
        <v>0.2</v>
      </c>
    </row>
    <row r="7" spans="2:13" ht="19.5" customHeight="1" x14ac:dyDescent="0.3">
      <c r="B7" s="325"/>
      <c r="C7" s="567" t="s">
        <v>691</v>
      </c>
      <c r="D7" s="568"/>
      <c r="E7" s="342">
        <f>SUM(VALO_PERSO!O5:O6)</f>
        <v>2</v>
      </c>
      <c r="F7" s="576"/>
      <c r="G7" s="566"/>
      <c r="J7" s="112"/>
      <c r="K7" s="112"/>
      <c r="L7" s="112"/>
      <c r="M7" s="112"/>
    </row>
    <row r="8" spans="2:13" ht="19.5" customHeight="1" x14ac:dyDescent="0.3">
      <c r="B8" s="325"/>
      <c r="C8" s="567" t="s">
        <v>692</v>
      </c>
      <c r="D8" s="568"/>
      <c r="E8" s="343" t="s">
        <v>816</v>
      </c>
      <c r="F8" s="576"/>
      <c r="G8" s="566"/>
      <c r="I8" s="112"/>
      <c r="J8" s="112"/>
      <c r="K8" s="112"/>
      <c r="L8" s="112"/>
      <c r="M8" s="112"/>
    </row>
    <row r="9" spans="2:13" ht="15" customHeight="1" x14ac:dyDescent="0.3">
      <c r="B9" s="325"/>
      <c r="C9" s="578" t="s">
        <v>693</v>
      </c>
      <c r="D9" s="579"/>
      <c r="E9" s="344"/>
      <c r="F9" s="577"/>
      <c r="G9" s="566"/>
      <c r="I9" s="112"/>
      <c r="J9" s="112"/>
      <c r="K9" s="112"/>
      <c r="L9" s="112"/>
      <c r="M9" s="112"/>
    </row>
    <row r="10" spans="2:13" ht="20.25" customHeight="1" x14ac:dyDescent="0.25">
      <c r="B10" s="324" t="s">
        <v>694</v>
      </c>
      <c r="C10" s="327" t="s">
        <v>695</v>
      </c>
      <c r="D10" s="564">
        <v>44927</v>
      </c>
      <c r="E10" s="565"/>
      <c r="F10" s="581" t="str">
        <f ca="1">IF(AND($E$14&lt;$D$10,$F$14&lt;11),"OUI",IF($E$14&gt;=$D$10,"NA","NON"))</f>
        <v>NA</v>
      </c>
      <c r="G10" s="566" t="str">
        <f ca="1">IF(OR(F10="NON",F12="NON"), "JEI invalidée","")</f>
        <v/>
      </c>
      <c r="I10" s="379" t="s">
        <v>743</v>
      </c>
      <c r="J10" s="379" t="s">
        <v>744</v>
      </c>
      <c r="K10" s="379" t="s">
        <v>642</v>
      </c>
      <c r="L10" s="112"/>
      <c r="M10" s="112"/>
    </row>
    <row r="11" spans="2:13" ht="16.5" customHeight="1" x14ac:dyDescent="0.3">
      <c r="B11" s="324"/>
      <c r="C11" s="569" t="s">
        <v>696</v>
      </c>
      <c r="D11" s="570"/>
      <c r="E11" s="571"/>
      <c r="F11" s="582"/>
      <c r="G11" s="566"/>
      <c r="I11" s="380" t="s">
        <v>745</v>
      </c>
      <c r="J11" s="378" t="s">
        <v>746</v>
      </c>
      <c r="K11" s="378" t="s">
        <v>747</v>
      </c>
      <c r="L11" s="112"/>
      <c r="M11" s="112"/>
    </row>
    <row r="12" spans="2:13" ht="16.5" x14ac:dyDescent="0.3">
      <c r="B12" s="325"/>
      <c r="C12" s="328" t="s">
        <v>697</v>
      </c>
      <c r="D12" s="580">
        <v>44927</v>
      </c>
      <c r="E12" s="571"/>
      <c r="F12" s="581" t="str">
        <f ca="1">IF(AND($E$14&gt;=$D$12,$F$14&lt;8),"OUI",IF($E$14&lt;$D$12,"NA","NON"))</f>
        <v>OUI</v>
      </c>
      <c r="G12" s="566"/>
      <c r="I12" s="380" t="s">
        <v>748</v>
      </c>
      <c r="J12" s="378" t="s">
        <v>746</v>
      </c>
      <c r="K12" s="378" t="s">
        <v>747</v>
      </c>
      <c r="L12" s="112"/>
      <c r="M12" s="112"/>
    </row>
    <row r="13" spans="2:13" ht="16.5" customHeight="1" x14ac:dyDescent="0.3">
      <c r="B13" s="325"/>
      <c r="C13" s="583" t="s">
        <v>698</v>
      </c>
      <c r="D13" s="584"/>
      <c r="E13" s="585"/>
      <c r="F13" s="582"/>
      <c r="G13" s="566"/>
      <c r="I13" s="380" t="s">
        <v>749</v>
      </c>
      <c r="J13" s="378" t="s">
        <v>746</v>
      </c>
      <c r="K13" s="378" t="s">
        <v>747</v>
      </c>
      <c r="L13" s="112"/>
      <c r="M13" s="112"/>
    </row>
    <row r="14" spans="2:13" ht="16.5" customHeight="1" x14ac:dyDescent="0.3">
      <c r="B14" s="325"/>
      <c r="C14" s="572" t="s">
        <v>699</v>
      </c>
      <c r="D14" s="573"/>
      <c r="E14" s="345">
        <v>44977</v>
      </c>
      <c r="F14" s="339">
        <f ca="1">DATEDIF(E14,TODAY(),"Y")</f>
        <v>3</v>
      </c>
      <c r="G14" s="566"/>
      <c r="I14" s="380" t="s">
        <v>750</v>
      </c>
      <c r="J14" s="378" t="s">
        <v>746</v>
      </c>
      <c r="K14" s="378" t="s">
        <v>747</v>
      </c>
      <c r="L14" s="112"/>
      <c r="M14" s="112"/>
    </row>
    <row r="15" spans="2:13" ht="16.5" customHeight="1" x14ac:dyDescent="0.3">
      <c r="B15" s="324" t="s">
        <v>700</v>
      </c>
      <c r="C15" s="574" t="s">
        <v>701</v>
      </c>
      <c r="D15" s="574"/>
      <c r="E15" s="574"/>
      <c r="F15" s="587" t="str">
        <f>IF(K6&gt;20%,"OUI","NON")</f>
        <v>NON</v>
      </c>
      <c r="G15" s="566" t="str">
        <f>IF(F15="NON", "JEI invalidée","")</f>
        <v>JEI invalidée</v>
      </c>
      <c r="I15" s="380" t="s">
        <v>751</v>
      </c>
      <c r="J15" s="378" t="s">
        <v>746</v>
      </c>
      <c r="K15" s="378" t="s">
        <v>747</v>
      </c>
      <c r="L15" s="112"/>
      <c r="M15" s="112"/>
    </row>
    <row r="16" spans="2:13" ht="16.5" x14ac:dyDescent="0.3">
      <c r="B16" s="325"/>
      <c r="C16" s="586"/>
      <c r="D16" s="586"/>
      <c r="E16" s="586"/>
      <c r="F16" s="575"/>
      <c r="G16" s="566"/>
      <c r="I16" s="380" t="s">
        <v>752</v>
      </c>
      <c r="J16" s="378" t="s">
        <v>746</v>
      </c>
      <c r="K16" s="378" t="s">
        <v>747</v>
      </c>
      <c r="L16" s="112"/>
      <c r="M16" s="112"/>
    </row>
    <row r="17" spans="2:84" ht="16.5" customHeight="1" x14ac:dyDescent="0.3">
      <c r="B17" s="324" t="s">
        <v>702</v>
      </c>
      <c r="C17" s="588" t="s">
        <v>703</v>
      </c>
      <c r="D17" s="589"/>
      <c r="E17" s="590"/>
      <c r="F17" s="340" t="str">
        <f>IF(OR(F18="OUI",F19="OUI",F20="OUI",F21="OUI",F22="OUI",F23="OUI"),"OUI","NON")</f>
        <v>OUI</v>
      </c>
      <c r="G17" s="566" t="str">
        <f>IF(F17="NON", "JEI invalidée","")</f>
        <v/>
      </c>
      <c r="I17" s="380" t="s">
        <v>753</v>
      </c>
      <c r="J17" s="378" t="s">
        <v>746</v>
      </c>
      <c r="K17" s="378" t="s">
        <v>747</v>
      </c>
      <c r="L17" s="112"/>
      <c r="M17" s="112"/>
    </row>
    <row r="18" spans="2:84" ht="16.5" customHeight="1" x14ac:dyDescent="0.3">
      <c r="B18" s="324"/>
      <c r="C18" s="591" t="s">
        <v>704</v>
      </c>
      <c r="D18" s="592"/>
      <c r="E18" s="593"/>
      <c r="F18" s="346" t="s">
        <v>705</v>
      </c>
      <c r="G18" s="566"/>
      <c r="I18" s="380" t="s">
        <v>754</v>
      </c>
      <c r="J18" s="378" t="s">
        <v>746</v>
      </c>
      <c r="K18" s="378" t="s">
        <v>747</v>
      </c>
      <c r="L18" s="112"/>
      <c r="M18" s="112"/>
    </row>
    <row r="19" spans="2:84" ht="16.5" customHeight="1" x14ac:dyDescent="0.3">
      <c r="B19" s="324"/>
      <c r="C19" s="591" t="s">
        <v>706</v>
      </c>
      <c r="D19" s="592"/>
      <c r="E19" s="593"/>
      <c r="F19" s="346" t="s">
        <v>705</v>
      </c>
      <c r="G19" s="566"/>
      <c r="I19" s="380" t="s">
        <v>755</v>
      </c>
      <c r="J19" s="378" t="s">
        <v>746</v>
      </c>
      <c r="K19" s="378" t="s">
        <v>747</v>
      </c>
      <c r="L19" s="112"/>
      <c r="M19" s="112"/>
    </row>
    <row r="20" spans="2:84" ht="16.5" x14ac:dyDescent="0.3">
      <c r="B20" s="324"/>
      <c r="C20" s="591" t="s">
        <v>707</v>
      </c>
      <c r="D20" s="592"/>
      <c r="E20" s="593"/>
      <c r="F20" s="346" t="s">
        <v>708</v>
      </c>
      <c r="G20" s="566"/>
      <c r="I20" s="381" t="s">
        <v>756</v>
      </c>
      <c r="J20" s="378" t="s">
        <v>746</v>
      </c>
      <c r="K20" s="378" t="s">
        <v>747</v>
      </c>
      <c r="L20" s="112"/>
      <c r="M20" s="112"/>
    </row>
    <row r="21" spans="2:84" ht="16.5" customHeight="1" x14ac:dyDescent="0.25">
      <c r="B21" s="324"/>
      <c r="C21" s="591" t="s">
        <v>709</v>
      </c>
      <c r="D21" s="592"/>
      <c r="E21" s="593"/>
      <c r="F21" s="346" t="s">
        <v>708</v>
      </c>
      <c r="G21" s="566"/>
      <c r="I21" s="112"/>
      <c r="J21" s="112"/>
      <c r="K21" s="112"/>
      <c r="L21" s="112"/>
      <c r="M21" s="112"/>
    </row>
    <row r="22" spans="2:84" ht="16.5" customHeight="1" x14ac:dyDescent="0.25">
      <c r="B22" s="324"/>
      <c r="C22" s="591" t="s">
        <v>710</v>
      </c>
      <c r="D22" s="592"/>
      <c r="E22" s="593"/>
      <c r="F22" s="346" t="s">
        <v>708</v>
      </c>
      <c r="G22" s="566"/>
      <c r="I22" s="112"/>
      <c r="J22" s="112"/>
      <c r="K22" s="112"/>
      <c r="L22" s="112"/>
      <c r="M22" s="112"/>
    </row>
    <row r="23" spans="2:84" ht="22.5" customHeight="1" x14ac:dyDescent="0.3">
      <c r="B23" s="325"/>
      <c r="C23" s="599" t="s">
        <v>711</v>
      </c>
      <c r="D23" s="600"/>
      <c r="E23" s="601"/>
      <c r="F23" s="347" t="s">
        <v>708</v>
      </c>
      <c r="G23" s="566"/>
      <c r="I23" s="112"/>
      <c r="J23" s="112"/>
      <c r="K23" s="112"/>
      <c r="L23" s="112"/>
      <c r="M23" s="112"/>
    </row>
    <row r="24" spans="2:84" ht="32.25" customHeight="1" x14ac:dyDescent="0.3">
      <c r="B24" s="325" t="s">
        <v>716</v>
      </c>
      <c r="C24" s="602" t="s">
        <v>717</v>
      </c>
      <c r="D24" s="603"/>
      <c r="E24" s="604"/>
      <c r="F24" s="608" t="str">
        <f>IF(AND(F26="NON",F30="NON",F33="NON"),"OUI","NON")</f>
        <v>OUI</v>
      </c>
      <c r="G24" s="566" t="str">
        <f>IF(F24="NON", "JEI invalidée","")</f>
        <v/>
      </c>
      <c r="I24" s="112"/>
      <c r="J24" s="112"/>
      <c r="K24" s="112"/>
      <c r="L24" s="112"/>
      <c r="M24" s="112"/>
      <c r="CE24"/>
      <c r="CF24"/>
    </row>
    <row r="25" spans="2:84" ht="24.75" customHeight="1" x14ac:dyDescent="0.3">
      <c r="B25" s="325"/>
      <c r="C25" s="605"/>
      <c r="D25" s="606"/>
      <c r="E25" s="607"/>
      <c r="F25" s="609"/>
      <c r="G25" s="566"/>
      <c r="I25" s="112"/>
      <c r="J25" s="112"/>
      <c r="K25" s="112"/>
      <c r="L25" s="112"/>
      <c r="M25" s="112"/>
      <c r="CE25"/>
      <c r="CF25"/>
    </row>
    <row r="26" spans="2:84" ht="24.75" customHeight="1" x14ac:dyDescent="0.25">
      <c r="B26" s="326" t="s">
        <v>724</v>
      </c>
      <c r="C26" s="333" t="s">
        <v>725</v>
      </c>
      <c r="D26" s="336"/>
      <c r="E26" s="337"/>
      <c r="F26" s="341" t="str">
        <f>IF(AND(F27="NON",F28="NON",F29="NON"),"NON","OUI")</f>
        <v>NON</v>
      </c>
      <c r="G26" s="566"/>
      <c r="I26" s="112"/>
      <c r="J26" s="112"/>
      <c r="K26" s="112"/>
      <c r="L26" s="112"/>
      <c r="M26" s="112"/>
      <c r="CE26"/>
      <c r="CF26"/>
    </row>
    <row r="27" spans="2:84" ht="36.75" customHeight="1" x14ac:dyDescent="0.25">
      <c r="B27" s="326"/>
      <c r="C27" s="334" t="s">
        <v>727</v>
      </c>
      <c r="D27" s="338"/>
      <c r="E27" s="330"/>
      <c r="F27" s="348" t="s">
        <v>708</v>
      </c>
      <c r="G27" s="566"/>
      <c r="I27" s="112"/>
      <c r="J27" s="112"/>
      <c r="K27" s="112"/>
      <c r="L27" s="112"/>
      <c r="M27" s="112"/>
      <c r="CE27"/>
      <c r="CF27"/>
    </row>
    <row r="28" spans="2:84" ht="24.75" customHeight="1" x14ac:dyDescent="0.25">
      <c r="B28" s="326"/>
      <c r="C28" s="334" t="s">
        <v>728</v>
      </c>
      <c r="D28" s="329"/>
      <c r="E28" s="330"/>
      <c r="F28" s="348" t="s">
        <v>708</v>
      </c>
      <c r="G28" s="566"/>
      <c r="I28" s="112"/>
      <c r="J28" s="112"/>
      <c r="K28" s="112"/>
      <c r="L28" s="112"/>
      <c r="M28" s="112"/>
      <c r="CE28"/>
      <c r="CF28"/>
    </row>
    <row r="29" spans="2:84" ht="16.5" x14ac:dyDescent="0.25">
      <c r="B29" s="326"/>
      <c r="C29" s="335" t="s">
        <v>730</v>
      </c>
      <c r="D29" s="331"/>
      <c r="E29" s="332"/>
      <c r="F29" s="349" t="s">
        <v>708</v>
      </c>
      <c r="G29" s="566"/>
      <c r="I29" s="112"/>
      <c r="J29" s="112"/>
      <c r="K29" s="112"/>
      <c r="L29" s="112"/>
      <c r="M29" s="112"/>
      <c r="CE29"/>
      <c r="CF29"/>
    </row>
    <row r="30" spans="2:84" ht="16.5" x14ac:dyDescent="0.25">
      <c r="B30" s="326" t="s">
        <v>731</v>
      </c>
      <c r="C30" s="333" t="s">
        <v>732</v>
      </c>
      <c r="D30" s="336"/>
      <c r="E30" s="337"/>
      <c r="F30" s="341" t="str">
        <f>IF(AND(F31="NON",F32="NON"),"NON","OUI")</f>
        <v>NON</v>
      </c>
      <c r="G30" s="566"/>
      <c r="I30" s="112"/>
      <c r="J30" s="112"/>
      <c r="K30" s="112"/>
      <c r="L30" s="112"/>
      <c r="M30" s="112"/>
      <c r="CE30"/>
      <c r="CF30"/>
    </row>
    <row r="31" spans="2:84" ht="16.5" x14ac:dyDescent="0.25">
      <c r="B31" s="326"/>
      <c r="C31" s="334" t="s">
        <v>733</v>
      </c>
      <c r="D31" s="329"/>
      <c r="E31" s="330"/>
      <c r="F31" s="348" t="s">
        <v>708</v>
      </c>
      <c r="G31" s="566"/>
      <c r="I31" s="112"/>
      <c r="J31" s="112"/>
      <c r="K31" s="112"/>
      <c r="L31" s="112"/>
      <c r="M31" s="112"/>
      <c r="CE31"/>
      <c r="CF31"/>
    </row>
    <row r="32" spans="2:84" ht="16.5" x14ac:dyDescent="0.25">
      <c r="B32" s="326"/>
      <c r="C32" s="335" t="s">
        <v>735</v>
      </c>
      <c r="D32" s="331"/>
      <c r="E32" s="332"/>
      <c r="F32" s="349" t="s">
        <v>708</v>
      </c>
      <c r="G32" s="566"/>
      <c r="I32" s="112"/>
      <c r="J32" s="112"/>
      <c r="K32" s="112"/>
      <c r="L32" s="112"/>
      <c r="M32" s="112"/>
      <c r="CE32"/>
      <c r="CF32"/>
    </row>
    <row r="33" spans="1:84" ht="16.5" x14ac:dyDescent="0.25">
      <c r="B33" s="326" t="s">
        <v>736</v>
      </c>
      <c r="C33" s="333" t="s">
        <v>737</v>
      </c>
      <c r="D33" s="336"/>
      <c r="E33" s="337"/>
      <c r="F33" s="341" t="str">
        <f>IF(AND(F34="NON",F35="NON"),"NON","OUI")</f>
        <v>NON</v>
      </c>
      <c r="G33" s="566"/>
      <c r="I33" s="112"/>
      <c r="J33" s="112"/>
      <c r="K33" s="112"/>
      <c r="L33" s="112"/>
      <c r="M33" s="112"/>
      <c r="CE33"/>
      <c r="CF33"/>
    </row>
    <row r="34" spans="1:84" ht="16.5" x14ac:dyDescent="0.25">
      <c r="B34" s="326"/>
      <c r="C34" s="334" t="s">
        <v>738</v>
      </c>
      <c r="D34" s="329"/>
      <c r="E34" s="330"/>
      <c r="F34" s="348" t="s">
        <v>708</v>
      </c>
      <c r="G34" s="566"/>
      <c r="I34" s="112"/>
      <c r="J34" s="112"/>
      <c r="K34" s="112"/>
      <c r="L34" s="112"/>
      <c r="M34" s="112"/>
      <c r="CE34"/>
      <c r="CF34"/>
    </row>
    <row r="35" spans="1:84" ht="16.5" x14ac:dyDescent="0.25">
      <c r="B35" s="326"/>
      <c r="C35" s="335" t="s">
        <v>739</v>
      </c>
      <c r="D35" s="331"/>
      <c r="E35" s="332"/>
      <c r="F35" s="349" t="s">
        <v>708</v>
      </c>
      <c r="G35" s="566"/>
      <c r="I35" s="112"/>
      <c r="J35" s="112"/>
      <c r="K35" s="112"/>
      <c r="L35" s="112"/>
      <c r="M35" s="112"/>
      <c r="CE35"/>
      <c r="CF35"/>
    </row>
    <row r="36" spans="1:84" s="112" customFormat="1" x14ac:dyDescent="0.25"/>
    <row r="37" spans="1:84" s="112" customFormat="1" ht="14.45" customHeight="1" x14ac:dyDescent="0.4">
      <c r="B37" s="427"/>
      <c r="C37" s="563" t="s">
        <v>682</v>
      </c>
      <c r="D37" s="563"/>
      <c r="E37" s="563"/>
    </row>
    <row r="38" spans="1:84" s="112" customFormat="1" ht="14.45" customHeight="1" x14ac:dyDescent="0.4">
      <c r="B38" s="427"/>
      <c r="C38" s="563"/>
      <c r="D38" s="563"/>
      <c r="E38" s="563"/>
    </row>
    <row r="39" spans="1:84" s="112" customFormat="1" x14ac:dyDescent="0.25"/>
    <row r="40" spans="1:84" s="112" customFormat="1" ht="15.75" thickBot="1" x14ac:dyDescent="0.3"/>
    <row r="41" spans="1:84" s="112" customFormat="1" ht="15.75" thickBot="1" x14ac:dyDescent="0.3">
      <c r="B41" s="350"/>
      <c r="C41" s="610" t="s">
        <v>687</v>
      </c>
      <c r="D41" s="611"/>
      <c r="E41" s="611"/>
      <c r="F41" s="350"/>
      <c r="G41" s="350"/>
      <c r="H41" s="350"/>
    </row>
    <row r="42" spans="1:84" s="112" customFormat="1" ht="15.75" thickBot="1" x14ac:dyDescent="0.3">
      <c r="B42" s="370" t="s">
        <v>366</v>
      </c>
      <c r="C42" s="358" t="s">
        <v>73</v>
      </c>
      <c r="D42" s="359" t="s">
        <v>368</v>
      </c>
      <c r="E42" s="359" t="s">
        <v>690</v>
      </c>
      <c r="F42" s="350"/>
      <c r="G42" s="350"/>
      <c r="H42" s="350"/>
    </row>
    <row r="43" spans="1:84" s="112" customFormat="1" ht="24.75" thickBot="1" x14ac:dyDescent="0.3">
      <c r="A43" s="112" t="s">
        <v>815</v>
      </c>
      <c r="B43" s="360">
        <f>VALO_PERSO!F5</f>
        <v>1</v>
      </c>
      <c r="C43" s="351" t="str">
        <f>VALO_PERSO!G5</f>
        <v>CIEREN</v>
      </c>
      <c r="D43" s="351" t="str">
        <f>VALO_PERSO!H5</f>
        <v>Marion</v>
      </c>
      <c r="E43" s="351" t="str">
        <f>VALO_PERSO!J5</f>
        <v>UPMC Sorbonne + Doctorat</v>
      </c>
      <c r="F43" s="350"/>
      <c r="G43" s="350"/>
      <c r="H43" s="350"/>
    </row>
    <row r="44" spans="1:84" s="112" customFormat="1" ht="15.75" thickBot="1" x14ac:dyDescent="0.3">
      <c r="A44" s="112" t="s">
        <v>815</v>
      </c>
      <c r="B44" s="360" t="e">
        <f>VALO_PERSO!#REF!</f>
        <v>#REF!</v>
      </c>
      <c r="C44" s="351" t="e">
        <f>VALO_PERSO!#REF!</f>
        <v>#REF!</v>
      </c>
      <c r="D44" s="351" t="e">
        <f>VALO_PERSO!#REF!</f>
        <v>#REF!</v>
      </c>
      <c r="E44" s="351" t="e">
        <f>VALO_PERSO!#REF!</f>
        <v>#REF!</v>
      </c>
      <c r="F44" s="350"/>
      <c r="G44" s="350"/>
      <c r="H44" s="350"/>
    </row>
    <row r="45" spans="1:84" s="112" customFormat="1" ht="15.75" thickBot="1" x14ac:dyDescent="0.3">
      <c r="A45" s="112" t="s">
        <v>815</v>
      </c>
      <c r="B45" s="360" t="e">
        <f>VALO_PERSO!#REF!</f>
        <v>#REF!</v>
      </c>
      <c r="C45" s="351" t="e">
        <f>VALO_PERSO!#REF!</f>
        <v>#REF!</v>
      </c>
      <c r="D45" s="351" t="e">
        <f>VALO_PERSO!#REF!</f>
        <v>#REF!</v>
      </c>
      <c r="E45" s="351" t="e">
        <f>VALO_PERSO!#REF!</f>
        <v>#REF!</v>
      </c>
      <c r="F45" s="350"/>
      <c r="G45" s="350"/>
      <c r="H45" s="350"/>
    </row>
    <row r="46" spans="1:84" s="112" customFormat="1" ht="72.75" thickBot="1" x14ac:dyDescent="0.3">
      <c r="A46" s="112" t="s">
        <v>815</v>
      </c>
      <c r="B46" s="360">
        <f>VALO_PERSO!F6</f>
        <v>3</v>
      </c>
      <c r="C46" s="351" t="str">
        <f>VALO_PERSO!G6</f>
        <v>JONDOT</v>
      </c>
      <c r="D46" s="351" t="str">
        <f>VALO_PERSO!H6</f>
        <v>Keita</v>
      </c>
      <c r="E46" s="351" t="str">
        <f>VALO_PERSO!J6</f>
        <v>Université Grenoble Alpes + Master of Sciences et Management des Biotechnologies</v>
      </c>
      <c r="F46" s="350"/>
      <c r="G46" s="350"/>
      <c r="H46" s="350"/>
    </row>
    <row r="47" spans="1:84" s="112" customFormat="1" ht="15.75" thickBot="1" x14ac:dyDescent="0.3">
      <c r="A47" s="112" t="s">
        <v>815</v>
      </c>
      <c r="B47" s="360" t="e">
        <f>VALO_PERSO!#REF!</f>
        <v>#REF!</v>
      </c>
      <c r="C47" s="351" t="e">
        <f>VALO_PERSO!#REF!</f>
        <v>#REF!</v>
      </c>
      <c r="D47" s="351" t="e">
        <f>VALO_PERSO!#REF!</f>
        <v>#REF!</v>
      </c>
      <c r="E47" s="351" t="e">
        <f>VALO_PERSO!#REF!</f>
        <v>#REF!</v>
      </c>
      <c r="F47" s="350"/>
      <c r="G47" s="350"/>
      <c r="H47" s="350"/>
    </row>
    <row r="48" spans="1:84" s="112" customFormat="1" ht="15.75" thickBot="1" x14ac:dyDescent="0.3">
      <c r="A48" s="112" t="s">
        <v>815</v>
      </c>
      <c r="B48" s="360" t="e">
        <f>VALO_PERSO!#REF!</f>
        <v>#REF!</v>
      </c>
      <c r="C48" s="351" t="e">
        <f>VALO_PERSO!#REF!</f>
        <v>#REF!</v>
      </c>
      <c r="D48" s="351" t="e">
        <f>VALO_PERSO!#REF!</f>
        <v>#REF!</v>
      </c>
      <c r="E48" s="351" t="e">
        <f>VALO_PERSO!#REF!</f>
        <v>#REF!</v>
      </c>
      <c r="F48" s="350"/>
      <c r="G48" s="350"/>
      <c r="H48" s="350"/>
    </row>
    <row r="49" spans="1:8" s="112" customFormat="1" ht="15.75" thickBot="1" x14ac:dyDescent="0.3">
      <c r="A49" s="112" t="s">
        <v>815</v>
      </c>
      <c r="B49" s="360" t="e">
        <f>VALO_PERSO!#REF!</f>
        <v>#REF!</v>
      </c>
      <c r="C49" s="351" t="e">
        <f>VALO_PERSO!#REF!</f>
        <v>#REF!</v>
      </c>
      <c r="D49" s="351" t="e">
        <f>VALO_PERSO!#REF!</f>
        <v>#REF!</v>
      </c>
      <c r="E49" s="351" t="e">
        <f>VALO_PERSO!#REF!</f>
        <v>#REF!</v>
      </c>
      <c r="F49" s="350"/>
      <c r="G49" s="350"/>
      <c r="H49" s="350"/>
    </row>
    <row r="50" spans="1:8" s="112" customFormat="1" ht="15.75" thickBot="1" x14ac:dyDescent="0.3">
      <c r="A50" s="112" t="s">
        <v>815</v>
      </c>
      <c r="B50" s="360" t="e">
        <f>VALO_PERSO!#REF!</f>
        <v>#REF!</v>
      </c>
      <c r="C50" s="351" t="e">
        <f>VALO_PERSO!#REF!</f>
        <v>#REF!</v>
      </c>
      <c r="D50" s="351" t="e">
        <f>VALO_PERSO!#REF!</f>
        <v>#REF!</v>
      </c>
      <c r="E50" s="351" t="e">
        <f>VALO_PERSO!#REF!</f>
        <v>#REF!</v>
      </c>
      <c r="F50" s="350"/>
      <c r="G50" s="350"/>
      <c r="H50" s="350"/>
    </row>
    <row r="51" spans="1:8" s="112" customFormat="1" ht="15.75" thickBot="1" x14ac:dyDescent="0.3">
      <c r="A51" s="112" t="s">
        <v>815</v>
      </c>
      <c r="B51" s="360" t="e">
        <f>VALO_PERSO!#REF!</f>
        <v>#REF!</v>
      </c>
      <c r="C51" s="351" t="e">
        <f>VALO_PERSO!#REF!</f>
        <v>#REF!</v>
      </c>
      <c r="D51" s="351" t="e">
        <f>VALO_PERSO!#REF!</f>
        <v>#REF!</v>
      </c>
      <c r="E51" s="351" t="e">
        <f>VALO_PERSO!#REF!</f>
        <v>#REF!</v>
      </c>
      <c r="F51" s="350"/>
      <c r="G51" s="350"/>
      <c r="H51" s="350"/>
    </row>
    <row r="52" spans="1:8" s="112" customFormat="1" ht="15.75" thickBot="1" x14ac:dyDescent="0.3">
      <c r="A52" s="112" t="s">
        <v>815</v>
      </c>
      <c r="B52" s="360" t="e">
        <f>VALO_PERSO!#REF!</f>
        <v>#REF!</v>
      </c>
      <c r="C52" s="351" t="e">
        <f>VALO_PERSO!#REF!</f>
        <v>#REF!</v>
      </c>
      <c r="D52" s="351" t="e">
        <f>VALO_PERSO!#REF!</f>
        <v>#REF!</v>
      </c>
      <c r="E52" s="351" t="e">
        <f>VALO_PERSO!#REF!</f>
        <v>#REF!</v>
      </c>
      <c r="F52" s="350"/>
      <c r="G52" s="350"/>
      <c r="H52" s="350"/>
    </row>
    <row r="53" spans="1:8" s="112" customFormat="1" ht="15.75" thickBot="1" x14ac:dyDescent="0.3">
      <c r="A53" s="112" t="s">
        <v>815</v>
      </c>
      <c r="B53" s="360" t="e">
        <f>VALO_PERSO!#REF!</f>
        <v>#REF!</v>
      </c>
      <c r="C53" s="351" t="e">
        <f>VALO_PERSO!#REF!</f>
        <v>#REF!</v>
      </c>
      <c r="D53" s="351" t="e">
        <f>VALO_PERSO!#REF!</f>
        <v>#REF!</v>
      </c>
      <c r="E53" s="351" t="e">
        <f>VALO_PERSO!#REF!</f>
        <v>#REF!</v>
      </c>
      <c r="F53" s="350"/>
      <c r="G53" s="350"/>
      <c r="H53" s="350"/>
    </row>
    <row r="54" spans="1:8" s="112" customFormat="1" ht="15.75" thickBot="1" x14ac:dyDescent="0.3">
      <c r="A54" s="112" t="s">
        <v>815</v>
      </c>
      <c r="B54" s="360" t="e">
        <f>VALO_PERSO!#REF!</f>
        <v>#REF!</v>
      </c>
      <c r="C54" s="351" t="e">
        <f>VALO_PERSO!#REF!</f>
        <v>#REF!</v>
      </c>
      <c r="D54" s="351" t="e">
        <f>VALO_PERSO!#REF!</f>
        <v>#REF!</v>
      </c>
      <c r="E54" s="351" t="e">
        <f>VALO_PERSO!#REF!</f>
        <v>#REF!</v>
      </c>
      <c r="F54" s="350"/>
      <c r="G54" s="350"/>
      <c r="H54" s="350"/>
    </row>
    <row r="55" spans="1:8" s="112" customFormat="1" ht="15.75" thickBot="1" x14ac:dyDescent="0.3">
      <c r="A55" s="112" t="s">
        <v>815</v>
      </c>
      <c r="B55" s="360" t="e">
        <f>VALO_PERSO!#REF!</f>
        <v>#REF!</v>
      </c>
      <c r="C55" s="351" t="e">
        <f>VALO_PERSO!#REF!</f>
        <v>#REF!</v>
      </c>
      <c r="D55" s="351" t="e">
        <f>VALO_PERSO!#REF!</f>
        <v>#REF!</v>
      </c>
      <c r="E55" s="351" t="e">
        <f>VALO_PERSO!#REF!</f>
        <v>#REF!</v>
      </c>
      <c r="F55" s="350"/>
      <c r="G55" s="350"/>
      <c r="H55" s="350"/>
    </row>
    <row r="56" spans="1:8" s="112" customFormat="1" ht="15.75" thickBot="1" x14ac:dyDescent="0.3">
      <c r="A56" s="112" t="s">
        <v>815</v>
      </c>
      <c r="B56" s="360" t="e">
        <f>VALO_PERSO!#REF!</f>
        <v>#REF!</v>
      </c>
      <c r="C56" s="351" t="e">
        <f>VALO_PERSO!#REF!</f>
        <v>#REF!</v>
      </c>
      <c r="D56" s="351" t="e">
        <f>VALO_PERSO!#REF!</f>
        <v>#REF!</v>
      </c>
      <c r="E56" s="351" t="e">
        <f>VALO_PERSO!#REF!</f>
        <v>#REF!</v>
      </c>
      <c r="F56" s="350"/>
      <c r="G56" s="350"/>
      <c r="H56" s="350"/>
    </row>
    <row r="57" spans="1:8" s="112" customFormat="1" ht="15.75" thickBot="1" x14ac:dyDescent="0.3">
      <c r="A57" s="112" t="s">
        <v>815</v>
      </c>
      <c r="B57" s="360" t="e">
        <f>VALO_PERSO!#REF!</f>
        <v>#REF!</v>
      </c>
      <c r="C57" s="351" t="e">
        <f>VALO_PERSO!#REF!</f>
        <v>#REF!</v>
      </c>
      <c r="D57" s="351" t="e">
        <f>VALO_PERSO!#REF!</f>
        <v>#REF!</v>
      </c>
      <c r="E57" s="351" t="e">
        <f>VALO_PERSO!#REF!</f>
        <v>#REF!</v>
      </c>
      <c r="F57" s="350"/>
      <c r="G57" s="350"/>
      <c r="H57" s="350"/>
    </row>
    <row r="58" spans="1:8" s="112" customFormat="1" ht="15.75" thickBot="1" x14ac:dyDescent="0.3">
      <c r="A58" s="112" t="s">
        <v>815</v>
      </c>
      <c r="B58" s="360" t="e">
        <f>VALO_PERSO!#REF!</f>
        <v>#REF!</v>
      </c>
      <c r="C58" s="351" t="e">
        <f>VALO_PERSO!#REF!</f>
        <v>#REF!</v>
      </c>
      <c r="D58" s="351" t="e">
        <f>VALO_PERSO!#REF!</f>
        <v>#REF!</v>
      </c>
      <c r="E58" s="351" t="e">
        <f>VALO_PERSO!#REF!</f>
        <v>#REF!</v>
      </c>
      <c r="F58" s="350"/>
      <c r="G58" s="350"/>
      <c r="H58" s="350"/>
    </row>
    <row r="59" spans="1:8" s="112" customFormat="1" ht="15.75" thickBot="1" x14ac:dyDescent="0.3">
      <c r="A59" s="112" t="s">
        <v>815</v>
      </c>
      <c r="B59" s="360" t="e">
        <f>VALO_PERSO!#REF!</f>
        <v>#REF!</v>
      </c>
      <c r="C59" s="351" t="e">
        <f>VALO_PERSO!#REF!</f>
        <v>#REF!</v>
      </c>
      <c r="D59" s="351" t="e">
        <f>VALO_PERSO!#REF!</f>
        <v>#REF!</v>
      </c>
      <c r="E59" s="351" t="e">
        <f>VALO_PERSO!#REF!</f>
        <v>#REF!</v>
      </c>
      <c r="F59" s="350"/>
      <c r="G59" s="350"/>
      <c r="H59" s="350"/>
    </row>
    <row r="60" spans="1:8" s="112" customFormat="1" ht="15.75" thickBot="1" x14ac:dyDescent="0.3">
      <c r="A60" s="112" t="s">
        <v>815</v>
      </c>
      <c r="B60" s="360" t="e">
        <f>VALO_PERSO!#REF!</f>
        <v>#REF!</v>
      </c>
      <c r="C60" s="351" t="e">
        <f>VALO_PERSO!#REF!</f>
        <v>#REF!</v>
      </c>
      <c r="D60" s="351" t="e">
        <f>VALO_PERSO!#REF!</f>
        <v>#REF!</v>
      </c>
      <c r="E60" s="351" t="e">
        <f>VALO_PERSO!#REF!</f>
        <v>#REF!</v>
      </c>
      <c r="F60" s="350"/>
      <c r="G60" s="350"/>
      <c r="H60" s="350"/>
    </row>
    <row r="61" spans="1:8" s="112" customFormat="1" ht="15.75" thickBot="1" x14ac:dyDescent="0.3">
      <c r="A61" s="112" t="s">
        <v>815</v>
      </c>
      <c r="B61" s="360" t="e">
        <f>VALO_PERSO!#REF!</f>
        <v>#REF!</v>
      </c>
      <c r="C61" s="351" t="e">
        <f>VALO_PERSO!#REF!</f>
        <v>#REF!</v>
      </c>
      <c r="D61" s="351" t="e">
        <f>VALO_PERSO!#REF!</f>
        <v>#REF!</v>
      </c>
      <c r="E61" s="351" t="e">
        <f>VALO_PERSO!#REF!</f>
        <v>#REF!</v>
      </c>
      <c r="F61" s="350"/>
      <c r="G61" s="350"/>
      <c r="H61" s="350"/>
    </row>
    <row r="62" spans="1:8" s="112" customFormat="1" ht="15.75" thickBot="1" x14ac:dyDescent="0.3">
      <c r="A62" s="112" t="s">
        <v>815</v>
      </c>
      <c r="B62" s="360" t="e">
        <f>VALO_PERSO!#REF!</f>
        <v>#REF!</v>
      </c>
      <c r="C62" s="351" t="e">
        <f>VALO_PERSO!#REF!</f>
        <v>#REF!</v>
      </c>
      <c r="D62" s="351" t="e">
        <f>VALO_PERSO!#REF!</f>
        <v>#REF!</v>
      </c>
      <c r="E62" s="351" t="e">
        <f>VALO_PERSO!#REF!</f>
        <v>#REF!</v>
      </c>
      <c r="F62" s="350"/>
      <c r="G62" s="350"/>
      <c r="H62" s="350"/>
    </row>
    <row r="63" spans="1:8" s="112" customFormat="1" ht="15.75" thickBot="1" x14ac:dyDescent="0.3">
      <c r="A63" s="112" t="s">
        <v>815</v>
      </c>
      <c r="B63" s="360" t="e">
        <f>VALO_PERSO!#REF!</f>
        <v>#REF!</v>
      </c>
      <c r="C63" s="351" t="e">
        <f>VALO_PERSO!#REF!</f>
        <v>#REF!</v>
      </c>
      <c r="D63" s="351" t="e">
        <f>VALO_PERSO!#REF!</f>
        <v>#REF!</v>
      </c>
      <c r="E63" s="351" t="e">
        <f>VALO_PERSO!#REF!</f>
        <v>#REF!</v>
      </c>
      <c r="F63" s="350"/>
      <c r="G63" s="350"/>
      <c r="H63" s="350"/>
    </row>
    <row r="64" spans="1:8" s="112" customFormat="1" ht="15.75" thickBot="1" x14ac:dyDescent="0.3">
      <c r="A64" s="112" t="s">
        <v>815</v>
      </c>
      <c r="B64" s="360" t="e">
        <f>VALO_PERSO!#REF!</f>
        <v>#REF!</v>
      </c>
      <c r="C64" s="351" t="e">
        <f>VALO_PERSO!#REF!</f>
        <v>#REF!</v>
      </c>
      <c r="D64" s="351" t="e">
        <f>VALO_PERSO!#REF!</f>
        <v>#REF!</v>
      </c>
      <c r="E64" s="351" t="e">
        <f>VALO_PERSO!#REF!</f>
        <v>#REF!</v>
      </c>
      <c r="F64" s="350"/>
      <c r="G64" s="350"/>
      <c r="H64" s="350"/>
    </row>
    <row r="65" spans="1:8" s="112" customFormat="1" ht="15.75" thickBot="1" x14ac:dyDescent="0.3">
      <c r="A65" s="112" t="s">
        <v>815</v>
      </c>
      <c r="B65" s="360" t="e">
        <f>VALO_PERSO!#REF!</f>
        <v>#REF!</v>
      </c>
      <c r="C65" s="351" t="e">
        <f>VALO_PERSO!#REF!</f>
        <v>#REF!</v>
      </c>
      <c r="D65" s="351" t="e">
        <f>VALO_PERSO!#REF!</f>
        <v>#REF!</v>
      </c>
      <c r="E65" s="351" t="e">
        <f>VALO_PERSO!#REF!</f>
        <v>#REF!</v>
      </c>
      <c r="F65" s="350"/>
      <c r="G65" s="350"/>
      <c r="H65" s="350"/>
    </row>
    <row r="66" spans="1:8" s="112" customFormat="1" ht="15.75" thickBot="1" x14ac:dyDescent="0.3">
      <c r="A66" s="112" t="s">
        <v>815</v>
      </c>
      <c r="B66" s="360" t="e">
        <f>VALO_PERSO!#REF!</f>
        <v>#REF!</v>
      </c>
      <c r="C66" s="351" t="e">
        <f>VALO_PERSO!#REF!</f>
        <v>#REF!</v>
      </c>
      <c r="D66" s="351" t="e">
        <f>VALO_PERSO!#REF!</f>
        <v>#REF!</v>
      </c>
      <c r="E66" s="351" t="e">
        <f>VALO_PERSO!#REF!</f>
        <v>#REF!</v>
      </c>
      <c r="F66" s="350"/>
      <c r="G66" s="350"/>
      <c r="H66" s="350"/>
    </row>
    <row r="67" spans="1:8" s="112" customFormat="1" ht="15.75" thickBot="1" x14ac:dyDescent="0.3">
      <c r="A67" s="112" t="s">
        <v>815</v>
      </c>
      <c r="B67" s="360" t="e">
        <f>VALO_PERSO!#REF!</f>
        <v>#REF!</v>
      </c>
      <c r="C67" s="351" t="e">
        <f>VALO_PERSO!#REF!</f>
        <v>#REF!</v>
      </c>
      <c r="D67" s="351" t="e">
        <f>VALO_PERSO!#REF!</f>
        <v>#REF!</v>
      </c>
      <c r="E67" s="351" t="e">
        <f>VALO_PERSO!#REF!</f>
        <v>#REF!</v>
      </c>
      <c r="F67" s="350"/>
      <c r="G67" s="350"/>
      <c r="H67" s="350"/>
    </row>
    <row r="68" spans="1:8" s="112" customFormat="1" ht="15.75" thickBot="1" x14ac:dyDescent="0.3">
      <c r="A68" s="112" t="s">
        <v>815</v>
      </c>
      <c r="B68" s="360" t="e">
        <f>VALO_PERSO!#REF!</f>
        <v>#REF!</v>
      </c>
      <c r="C68" s="351" t="e">
        <f>VALO_PERSO!#REF!</f>
        <v>#REF!</v>
      </c>
      <c r="D68" s="351" t="e">
        <f>VALO_PERSO!#REF!</f>
        <v>#REF!</v>
      </c>
      <c r="E68" s="351" t="e">
        <f>VALO_PERSO!#REF!</f>
        <v>#REF!</v>
      </c>
      <c r="F68" s="350"/>
      <c r="G68" s="350"/>
      <c r="H68" s="350"/>
    </row>
    <row r="69" spans="1:8" s="112" customFormat="1" ht="15.75" thickBot="1" x14ac:dyDescent="0.3">
      <c r="A69" s="112" t="s">
        <v>815</v>
      </c>
      <c r="B69" s="360" t="e">
        <f>VALO_PERSO!#REF!</f>
        <v>#REF!</v>
      </c>
      <c r="C69" s="351" t="e">
        <f>VALO_PERSO!#REF!</f>
        <v>#REF!</v>
      </c>
      <c r="D69" s="351" t="e">
        <f>VALO_PERSO!#REF!</f>
        <v>#REF!</v>
      </c>
      <c r="E69" s="351" t="e">
        <f>VALO_PERSO!#REF!</f>
        <v>#REF!</v>
      </c>
      <c r="F69" s="350"/>
      <c r="G69" s="350"/>
      <c r="H69" s="350"/>
    </row>
    <row r="70" spans="1:8" s="112" customFormat="1" ht="15.75" thickBot="1" x14ac:dyDescent="0.3">
      <c r="A70" s="112" t="s">
        <v>815</v>
      </c>
      <c r="B70" s="360" t="e">
        <f>VALO_PERSO!#REF!</f>
        <v>#REF!</v>
      </c>
      <c r="C70" s="351" t="e">
        <f>VALO_PERSO!#REF!</f>
        <v>#REF!</v>
      </c>
      <c r="D70" s="351" t="e">
        <f>VALO_PERSO!#REF!</f>
        <v>#REF!</v>
      </c>
      <c r="E70" s="351" t="e">
        <f>VALO_PERSO!#REF!</f>
        <v>#REF!</v>
      </c>
      <c r="F70" s="350"/>
      <c r="G70" s="350"/>
      <c r="H70" s="350"/>
    </row>
    <row r="71" spans="1:8" s="112" customFormat="1" ht="15.75" thickBot="1" x14ac:dyDescent="0.3">
      <c r="A71" s="112" t="s">
        <v>815</v>
      </c>
      <c r="B71" s="360" t="e">
        <f>VALO_PERSO!#REF!</f>
        <v>#REF!</v>
      </c>
      <c r="C71" s="351" t="e">
        <f>VALO_PERSO!#REF!</f>
        <v>#REF!</v>
      </c>
      <c r="D71" s="351" t="e">
        <f>VALO_PERSO!#REF!</f>
        <v>#REF!</v>
      </c>
      <c r="E71" s="351" t="e">
        <f>VALO_PERSO!#REF!</f>
        <v>#REF!</v>
      </c>
      <c r="F71" s="350"/>
      <c r="G71" s="350"/>
      <c r="H71" s="350"/>
    </row>
    <row r="72" spans="1:8" s="112" customFormat="1" ht="15.75" thickBot="1" x14ac:dyDescent="0.3">
      <c r="A72" s="112" t="s">
        <v>815</v>
      </c>
      <c r="B72" s="360" t="e">
        <f>VALO_PERSO!#REF!</f>
        <v>#REF!</v>
      </c>
      <c r="C72" s="351" t="e">
        <f>VALO_PERSO!#REF!</f>
        <v>#REF!</v>
      </c>
      <c r="D72" s="351" t="e">
        <f>VALO_PERSO!#REF!</f>
        <v>#REF!</v>
      </c>
      <c r="E72" s="351" t="e">
        <f>VALO_PERSO!#REF!</f>
        <v>#REF!</v>
      </c>
      <c r="F72" s="350"/>
      <c r="G72" s="350"/>
      <c r="H72" s="350"/>
    </row>
    <row r="73" spans="1:8" s="112" customFormat="1" ht="15.75" thickBot="1" x14ac:dyDescent="0.3">
      <c r="A73" s="112" t="s">
        <v>815</v>
      </c>
      <c r="B73" s="360" t="e">
        <f>VALO_PERSO!#REF!</f>
        <v>#REF!</v>
      </c>
      <c r="C73" s="351" t="e">
        <f>VALO_PERSO!#REF!</f>
        <v>#REF!</v>
      </c>
      <c r="D73" s="351" t="e">
        <f>VALO_PERSO!#REF!</f>
        <v>#REF!</v>
      </c>
      <c r="E73" s="351" t="e">
        <f>VALO_PERSO!#REF!</f>
        <v>#REF!</v>
      </c>
      <c r="F73" s="350"/>
      <c r="G73" s="350"/>
      <c r="H73" s="350"/>
    </row>
    <row r="74" spans="1:8" s="112" customFormat="1" ht="15.75" thickBot="1" x14ac:dyDescent="0.3">
      <c r="A74" s="112" t="s">
        <v>815</v>
      </c>
      <c r="B74" s="360" t="e">
        <f>VALO_PERSO!#REF!</f>
        <v>#REF!</v>
      </c>
      <c r="C74" s="351" t="e">
        <f>VALO_PERSO!#REF!</f>
        <v>#REF!</v>
      </c>
      <c r="D74" s="351" t="e">
        <f>VALO_PERSO!#REF!</f>
        <v>#REF!</v>
      </c>
      <c r="E74" s="351" t="e">
        <f>VALO_PERSO!#REF!</f>
        <v>#REF!</v>
      </c>
      <c r="F74" s="350"/>
      <c r="G74" s="350"/>
      <c r="H74" s="350"/>
    </row>
    <row r="75" spans="1:8" s="112" customFormat="1" ht="15.75" thickBot="1" x14ac:dyDescent="0.3">
      <c r="A75" s="112" t="s">
        <v>815</v>
      </c>
      <c r="B75" s="360" t="e">
        <f>VALO_PERSO!#REF!</f>
        <v>#REF!</v>
      </c>
      <c r="C75" s="351" t="e">
        <f>VALO_PERSO!#REF!</f>
        <v>#REF!</v>
      </c>
      <c r="D75" s="351" t="e">
        <f>VALO_PERSO!#REF!</f>
        <v>#REF!</v>
      </c>
      <c r="E75" s="351" t="e">
        <f>VALO_PERSO!#REF!</f>
        <v>#REF!</v>
      </c>
      <c r="F75" s="350"/>
      <c r="G75" s="350"/>
      <c r="H75" s="350"/>
    </row>
    <row r="76" spans="1:8" s="112" customFormat="1" ht="15.75" thickBot="1" x14ac:dyDescent="0.3">
      <c r="A76" s="112" t="s">
        <v>815</v>
      </c>
      <c r="B76" s="360" t="e">
        <f>VALO_PERSO!#REF!</f>
        <v>#REF!</v>
      </c>
      <c r="C76" s="351" t="e">
        <f>VALO_PERSO!#REF!</f>
        <v>#REF!</v>
      </c>
      <c r="D76" s="351" t="e">
        <f>VALO_PERSO!#REF!</f>
        <v>#REF!</v>
      </c>
      <c r="E76" s="351" t="e">
        <f>VALO_PERSO!#REF!</f>
        <v>#REF!</v>
      </c>
      <c r="F76" s="350"/>
      <c r="G76" s="350"/>
      <c r="H76" s="350"/>
    </row>
    <row r="77" spans="1:8" s="112" customFormat="1" ht="15.75" thickBot="1" x14ac:dyDescent="0.3">
      <c r="A77" s="112" t="s">
        <v>815</v>
      </c>
      <c r="B77" s="360" t="e">
        <f>VALO_PERSO!#REF!</f>
        <v>#REF!</v>
      </c>
      <c r="C77" s="351" t="e">
        <f>VALO_PERSO!#REF!</f>
        <v>#REF!</v>
      </c>
      <c r="D77" s="351" t="e">
        <f>VALO_PERSO!#REF!</f>
        <v>#REF!</v>
      </c>
      <c r="E77" s="351" t="e">
        <f>VALO_PERSO!#REF!</f>
        <v>#REF!</v>
      </c>
      <c r="F77" s="350"/>
      <c r="G77" s="350"/>
      <c r="H77" s="350"/>
    </row>
    <row r="78" spans="1:8" s="112" customFormat="1" ht="15.75" thickBot="1" x14ac:dyDescent="0.3">
      <c r="A78" s="112" t="s">
        <v>815</v>
      </c>
      <c r="B78" s="360" t="e">
        <f>VALO_PERSO!#REF!</f>
        <v>#REF!</v>
      </c>
      <c r="C78" s="351" t="e">
        <f>VALO_PERSO!#REF!</f>
        <v>#REF!</v>
      </c>
      <c r="D78" s="351" t="e">
        <f>VALO_PERSO!#REF!</f>
        <v>#REF!</v>
      </c>
      <c r="E78" s="351" t="e">
        <f>VALO_PERSO!#REF!</f>
        <v>#REF!</v>
      </c>
      <c r="F78" s="350"/>
      <c r="G78" s="350"/>
      <c r="H78" s="350"/>
    </row>
    <row r="79" spans="1:8" s="112" customFormat="1" ht="15.75" thickBot="1" x14ac:dyDescent="0.3">
      <c r="A79" s="112" t="s">
        <v>815</v>
      </c>
      <c r="B79" s="360" t="e">
        <f>VALO_PERSO!#REF!</f>
        <v>#REF!</v>
      </c>
      <c r="C79" s="351" t="e">
        <f>VALO_PERSO!#REF!</f>
        <v>#REF!</v>
      </c>
      <c r="D79" s="351" t="e">
        <f>VALO_PERSO!#REF!</f>
        <v>#REF!</v>
      </c>
      <c r="E79" s="351" t="e">
        <f>VALO_PERSO!#REF!</f>
        <v>#REF!</v>
      </c>
      <c r="F79" s="350"/>
      <c r="G79" s="350"/>
      <c r="H79" s="350"/>
    </row>
    <row r="80" spans="1:8" s="112" customFormat="1" ht="15.75" thickBot="1" x14ac:dyDescent="0.3">
      <c r="A80" s="112" t="s">
        <v>815</v>
      </c>
      <c r="B80" s="360" t="e">
        <f>VALO_PERSO!#REF!</f>
        <v>#REF!</v>
      </c>
      <c r="C80" s="351" t="e">
        <f>VALO_PERSO!#REF!</f>
        <v>#REF!</v>
      </c>
      <c r="D80" s="351" t="e">
        <f>VALO_PERSO!#REF!</f>
        <v>#REF!</v>
      </c>
      <c r="E80" s="351" t="e">
        <f>VALO_PERSO!#REF!</f>
        <v>#REF!</v>
      </c>
      <c r="F80" s="350"/>
      <c r="G80" s="350"/>
      <c r="H80" s="350"/>
    </row>
    <row r="81" spans="1:8" s="112" customFormat="1" ht="15.75" thickBot="1" x14ac:dyDescent="0.3">
      <c r="A81" s="112" t="s">
        <v>815</v>
      </c>
      <c r="B81" s="360" t="e">
        <f>VALO_PERSO!#REF!</f>
        <v>#REF!</v>
      </c>
      <c r="C81" s="351" t="e">
        <f>VALO_PERSO!#REF!</f>
        <v>#REF!</v>
      </c>
      <c r="D81" s="351" t="e">
        <f>VALO_PERSO!#REF!</f>
        <v>#REF!</v>
      </c>
      <c r="E81" s="351" t="e">
        <f>VALO_PERSO!#REF!</f>
        <v>#REF!</v>
      </c>
      <c r="F81" s="350"/>
      <c r="G81" s="350"/>
      <c r="H81" s="350"/>
    </row>
    <row r="82" spans="1:8" s="112" customFormat="1" ht="15.75" thickBot="1" x14ac:dyDescent="0.3">
      <c r="A82" s="112" t="s">
        <v>815</v>
      </c>
      <c r="B82" s="360" t="e">
        <f>VALO_PERSO!#REF!</f>
        <v>#REF!</v>
      </c>
      <c r="C82" s="351" t="e">
        <f>VALO_PERSO!#REF!</f>
        <v>#REF!</v>
      </c>
      <c r="D82" s="351" t="e">
        <f>VALO_PERSO!#REF!</f>
        <v>#REF!</v>
      </c>
      <c r="E82" s="351" t="e">
        <f>VALO_PERSO!#REF!</f>
        <v>#REF!</v>
      </c>
      <c r="F82" s="350"/>
      <c r="G82" s="350"/>
      <c r="H82" s="350"/>
    </row>
    <row r="83" spans="1:8" s="112" customFormat="1" ht="15.75" thickBot="1" x14ac:dyDescent="0.3">
      <c r="A83" s="112" t="s">
        <v>815</v>
      </c>
      <c r="B83" s="360" t="e">
        <f>VALO_PERSO!#REF!</f>
        <v>#REF!</v>
      </c>
      <c r="C83" s="351" t="e">
        <f>VALO_PERSO!#REF!</f>
        <v>#REF!</v>
      </c>
      <c r="D83" s="351" t="e">
        <f>VALO_PERSO!#REF!</f>
        <v>#REF!</v>
      </c>
      <c r="E83" s="351" t="e">
        <f>VALO_PERSO!#REF!</f>
        <v>#REF!</v>
      </c>
      <c r="F83" s="350"/>
      <c r="G83" s="350"/>
      <c r="H83" s="350"/>
    </row>
    <row r="84" spans="1:8" s="112" customFormat="1" ht="15.75" thickBot="1" x14ac:dyDescent="0.3">
      <c r="A84" s="112" t="s">
        <v>815</v>
      </c>
      <c r="B84" s="360" t="e">
        <f>VALO_PERSO!#REF!</f>
        <v>#REF!</v>
      </c>
      <c r="C84" s="351" t="e">
        <f>VALO_PERSO!#REF!</f>
        <v>#REF!</v>
      </c>
      <c r="D84" s="351" t="e">
        <f>VALO_PERSO!#REF!</f>
        <v>#REF!</v>
      </c>
      <c r="E84" s="351" t="e">
        <f>VALO_PERSO!#REF!</f>
        <v>#REF!</v>
      </c>
      <c r="F84" s="350"/>
      <c r="G84" s="350"/>
      <c r="H84" s="350"/>
    </row>
    <row r="85" spans="1:8" s="112" customFormat="1" ht="15.75" thickBot="1" x14ac:dyDescent="0.3">
      <c r="A85" s="112" t="s">
        <v>815</v>
      </c>
      <c r="B85" s="360" t="e">
        <f>VALO_PERSO!#REF!</f>
        <v>#REF!</v>
      </c>
      <c r="C85" s="351" t="e">
        <f>VALO_PERSO!#REF!</f>
        <v>#REF!</v>
      </c>
      <c r="D85" s="351" t="e">
        <f>VALO_PERSO!#REF!</f>
        <v>#REF!</v>
      </c>
      <c r="E85" s="351" t="e">
        <f>VALO_PERSO!#REF!</f>
        <v>#REF!</v>
      </c>
      <c r="F85" s="350"/>
      <c r="G85" s="350"/>
      <c r="H85" s="350"/>
    </row>
    <row r="86" spans="1:8" s="112" customFormat="1" ht="15.75" thickBot="1" x14ac:dyDescent="0.3">
      <c r="A86" s="112" t="s">
        <v>815</v>
      </c>
      <c r="B86" s="360" t="e">
        <f>VALO_PERSO!#REF!</f>
        <v>#REF!</v>
      </c>
      <c r="C86" s="351" t="e">
        <f>VALO_PERSO!#REF!</f>
        <v>#REF!</v>
      </c>
      <c r="D86" s="351" t="e">
        <f>VALO_PERSO!#REF!</f>
        <v>#REF!</v>
      </c>
      <c r="E86" s="351" t="e">
        <f>VALO_PERSO!#REF!</f>
        <v>#REF!</v>
      </c>
      <c r="F86" s="350"/>
      <c r="G86" s="350"/>
      <c r="H86" s="350"/>
    </row>
    <row r="87" spans="1:8" s="112" customFormat="1" ht="15.75" thickBot="1" x14ac:dyDescent="0.3">
      <c r="B87" s="360" t="e">
        <f>VALO_PERSO!#REF!</f>
        <v>#REF!</v>
      </c>
      <c r="C87" s="351" t="e">
        <f>VALO_PERSO!#REF!</f>
        <v>#REF!</v>
      </c>
      <c r="D87" s="351" t="e">
        <f>VALO_PERSO!#REF!</f>
        <v>#REF!</v>
      </c>
      <c r="E87" s="351" t="e">
        <f>VALO_PERSO!#REF!</f>
        <v>#REF!</v>
      </c>
      <c r="F87" s="350"/>
      <c r="G87" s="350"/>
      <c r="H87" s="350"/>
    </row>
    <row r="88" spans="1:8" s="112" customFormat="1" ht="72.75" thickBot="1" x14ac:dyDescent="0.3">
      <c r="B88" s="360">
        <f>VALO_PERSO!F6</f>
        <v>3</v>
      </c>
      <c r="C88" s="351" t="str">
        <f>VALO_PERSO!G6</f>
        <v>JONDOT</v>
      </c>
      <c r="D88" s="351" t="str">
        <f>VALO_PERSO!H6</f>
        <v>Keita</v>
      </c>
      <c r="E88" s="351" t="str">
        <f>VALO_PERSO!J6</f>
        <v>Université Grenoble Alpes + Master of Sciences et Management des Biotechnologies</v>
      </c>
      <c r="F88" s="350"/>
      <c r="G88" s="350"/>
      <c r="H88" s="350"/>
    </row>
    <row r="89" spans="1:8" s="112" customFormat="1" ht="15.75" thickBot="1" x14ac:dyDescent="0.3">
      <c r="B89" s="360" t="e">
        <f>VALO_PERSO!#REF!</f>
        <v>#REF!</v>
      </c>
      <c r="C89" s="351" t="e">
        <f>VALO_PERSO!#REF!</f>
        <v>#REF!</v>
      </c>
      <c r="D89" s="351" t="e">
        <f>VALO_PERSO!#REF!</f>
        <v>#REF!</v>
      </c>
      <c r="E89" s="351" t="e">
        <f>VALO_PERSO!#REF!</f>
        <v>#REF!</v>
      </c>
      <c r="F89" s="350"/>
      <c r="G89" s="350"/>
      <c r="H89" s="350"/>
    </row>
    <row r="90" spans="1:8" s="112" customFormat="1" ht="15.75" thickBot="1" x14ac:dyDescent="0.3">
      <c r="B90" s="360" t="e">
        <f>VALO_PERSO!#REF!</f>
        <v>#REF!</v>
      </c>
      <c r="C90" s="351" t="e">
        <f>VALO_PERSO!#REF!</f>
        <v>#REF!</v>
      </c>
      <c r="D90" s="351" t="e">
        <f>VALO_PERSO!#REF!</f>
        <v>#REF!</v>
      </c>
      <c r="E90" s="351" t="e">
        <f>VALO_PERSO!#REF!</f>
        <v>#REF!</v>
      </c>
      <c r="F90" s="350"/>
      <c r="G90" s="350"/>
      <c r="H90" s="350"/>
    </row>
    <row r="91" spans="1:8" s="112" customFormat="1" ht="15.75" thickBot="1" x14ac:dyDescent="0.3">
      <c r="B91" s="360" t="e">
        <f>VALO_PERSO!#REF!</f>
        <v>#REF!</v>
      </c>
      <c r="C91" s="351" t="e">
        <f>VALO_PERSO!#REF!</f>
        <v>#REF!</v>
      </c>
      <c r="D91" s="351" t="e">
        <f>VALO_PERSO!#REF!</f>
        <v>#REF!</v>
      </c>
      <c r="E91" s="351" t="e">
        <f>VALO_PERSO!#REF!</f>
        <v>#REF!</v>
      </c>
      <c r="F91" s="350"/>
      <c r="G91" s="350"/>
      <c r="H91" s="350"/>
    </row>
    <row r="92" spans="1:8" s="112" customFormat="1" ht="15.75" thickBot="1" x14ac:dyDescent="0.3">
      <c r="B92" s="360" t="e">
        <f>VALO_PERSO!#REF!</f>
        <v>#REF!</v>
      </c>
      <c r="C92" s="351" t="e">
        <f>VALO_PERSO!#REF!</f>
        <v>#REF!</v>
      </c>
      <c r="D92" s="351" t="e">
        <f>VALO_PERSO!#REF!</f>
        <v>#REF!</v>
      </c>
      <c r="E92" s="351" t="e">
        <f>VALO_PERSO!#REF!</f>
        <v>#REF!</v>
      </c>
      <c r="F92" s="350"/>
      <c r="G92" s="350"/>
      <c r="H92" s="350"/>
    </row>
    <row r="93" spans="1:8" s="112" customFormat="1" ht="15.75" thickBot="1" x14ac:dyDescent="0.3">
      <c r="B93" s="360" t="e">
        <f>VALO_PERSO!#REF!</f>
        <v>#REF!</v>
      </c>
      <c r="C93" s="351" t="e">
        <f>VALO_PERSO!#REF!</f>
        <v>#REF!</v>
      </c>
      <c r="D93" s="351" t="e">
        <f>VALO_PERSO!#REF!</f>
        <v>#REF!</v>
      </c>
      <c r="E93" s="351" t="e">
        <f>VALO_PERSO!#REF!</f>
        <v>#REF!</v>
      </c>
      <c r="F93" s="350"/>
      <c r="G93" s="350"/>
      <c r="H93" s="350"/>
    </row>
    <row r="94" spans="1:8" s="112" customFormat="1" ht="15.75" thickBot="1" x14ac:dyDescent="0.3">
      <c r="B94" s="360" t="e">
        <f>VALO_PERSO!#REF!</f>
        <v>#REF!</v>
      </c>
      <c r="C94" s="351" t="e">
        <f>VALO_PERSO!#REF!</f>
        <v>#REF!</v>
      </c>
      <c r="D94" s="351" t="e">
        <f>VALO_PERSO!#REF!</f>
        <v>#REF!</v>
      </c>
      <c r="E94" s="351" t="e">
        <f>VALO_PERSO!#REF!</f>
        <v>#REF!</v>
      </c>
      <c r="F94" s="350"/>
      <c r="G94" s="350"/>
      <c r="H94" s="350"/>
    </row>
    <row r="95" spans="1:8" s="112" customFormat="1" ht="15.75" thickBot="1" x14ac:dyDescent="0.3">
      <c r="B95" s="360" t="e">
        <f>VALO_PERSO!#REF!</f>
        <v>#REF!</v>
      </c>
      <c r="C95" s="351" t="e">
        <f>VALO_PERSO!#REF!</f>
        <v>#REF!</v>
      </c>
      <c r="D95" s="351" t="e">
        <f>VALO_PERSO!#REF!</f>
        <v>#REF!</v>
      </c>
      <c r="E95" s="351" t="e">
        <f>VALO_PERSO!#REF!</f>
        <v>#REF!</v>
      </c>
      <c r="F95" s="350"/>
      <c r="H95" s="350"/>
    </row>
    <row r="96" spans="1:8" s="112" customFormat="1" ht="15.75" thickBot="1" x14ac:dyDescent="0.3">
      <c r="B96" s="360" t="e">
        <f>VALO_PERSO!#REF!</f>
        <v>#REF!</v>
      </c>
      <c r="C96" s="351" t="e">
        <f>VALO_PERSO!#REF!</f>
        <v>#REF!</v>
      </c>
      <c r="D96" s="351" t="e">
        <f>VALO_PERSO!#REF!</f>
        <v>#REF!</v>
      </c>
      <c r="E96" s="351" t="e">
        <f>VALO_PERSO!#REF!</f>
        <v>#REF!</v>
      </c>
      <c r="F96" s="350"/>
      <c r="G96" s="350"/>
      <c r="H96" s="350"/>
    </row>
    <row r="97" spans="1:8" s="112" customFormat="1" ht="15.75" thickBot="1" x14ac:dyDescent="0.3">
      <c r="B97" s="360" t="e">
        <f>VALO_PERSO!#REF!</f>
        <v>#REF!</v>
      </c>
      <c r="C97" s="351" t="e">
        <f>VALO_PERSO!#REF!</f>
        <v>#REF!</v>
      </c>
      <c r="D97" s="351" t="e">
        <f>VALO_PERSO!#REF!</f>
        <v>#REF!</v>
      </c>
      <c r="E97" s="351" t="e">
        <f>VALO_PERSO!#REF!</f>
        <v>#REF!</v>
      </c>
      <c r="F97" s="350"/>
      <c r="G97" s="350"/>
      <c r="H97" s="350"/>
    </row>
    <row r="98" spans="1:8" s="112" customFormat="1" ht="15.75" thickBot="1" x14ac:dyDescent="0.3">
      <c r="B98" s="360" t="e">
        <f>VALO_PERSO!#REF!</f>
        <v>#REF!</v>
      </c>
      <c r="C98" s="351" t="e">
        <f>VALO_PERSO!#REF!</f>
        <v>#REF!</v>
      </c>
      <c r="D98" s="351" t="e">
        <f>VALO_PERSO!#REF!</f>
        <v>#REF!</v>
      </c>
      <c r="E98" s="351" t="e">
        <f>VALO_PERSO!#REF!</f>
        <v>#REF!</v>
      </c>
      <c r="F98" s="350"/>
      <c r="G98" s="350"/>
      <c r="H98" s="350"/>
    </row>
    <row r="99" spans="1:8" s="112" customFormat="1" ht="15.75" thickBot="1" x14ac:dyDescent="0.3">
      <c r="B99" s="360" t="e">
        <f>VALO_PERSO!#REF!</f>
        <v>#REF!</v>
      </c>
      <c r="C99" s="351" t="e">
        <f>VALO_PERSO!#REF!</f>
        <v>#REF!</v>
      </c>
      <c r="D99" s="351" t="e">
        <f>VALO_PERSO!#REF!</f>
        <v>#REF!</v>
      </c>
      <c r="E99" s="351" t="e">
        <f>VALO_PERSO!#REF!</f>
        <v>#REF!</v>
      </c>
      <c r="F99" s="350"/>
      <c r="G99" s="350"/>
      <c r="H99" s="350"/>
    </row>
    <row r="100" spans="1:8" s="112" customFormat="1" ht="15.75" thickBot="1" x14ac:dyDescent="0.3">
      <c r="B100" s="360" t="e">
        <f>VALO_PERSO!#REF!</f>
        <v>#REF!</v>
      </c>
      <c r="C100" s="351" t="e">
        <f>VALO_PERSO!#REF!</f>
        <v>#REF!</v>
      </c>
      <c r="D100" s="351" t="e">
        <f>VALO_PERSO!#REF!</f>
        <v>#REF!</v>
      </c>
      <c r="E100" s="351" t="e">
        <f>VALO_PERSO!#REF!</f>
        <v>#REF!</v>
      </c>
      <c r="F100" s="350"/>
      <c r="H100" s="350"/>
    </row>
    <row r="101" spans="1:8" s="112" customFormat="1" x14ac:dyDescent="0.25">
      <c r="B101" s="350"/>
      <c r="C101" s="350"/>
      <c r="D101" s="350"/>
      <c r="E101" s="350"/>
      <c r="F101" s="350"/>
      <c r="G101" s="350"/>
      <c r="H101" s="350"/>
    </row>
    <row r="102" spans="1:8" s="112" customFormat="1" ht="15.75" thickBot="1" x14ac:dyDescent="0.3">
      <c r="B102" s="350"/>
      <c r="C102" s="350"/>
      <c r="D102" s="350"/>
      <c r="E102" s="350"/>
      <c r="F102" s="350"/>
      <c r="G102" s="350"/>
      <c r="H102" s="350"/>
    </row>
    <row r="103" spans="1:8" s="112" customFormat="1" ht="15.75" thickBot="1" x14ac:dyDescent="0.3">
      <c r="B103" s="360"/>
      <c r="C103" s="610" t="str">
        <f>'REP cout'!B4</f>
        <v>Opération 1: Bioluminescence</v>
      </c>
      <c r="D103" s="611"/>
      <c r="E103" s="611"/>
      <c r="F103" s="611"/>
      <c r="G103" s="350"/>
    </row>
    <row r="104" spans="1:8" s="112" customFormat="1" ht="36.75" thickBot="1" x14ac:dyDescent="0.3">
      <c r="B104" s="369" t="s">
        <v>366</v>
      </c>
      <c r="C104" s="352" t="s">
        <v>718</v>
      </c>
      <c r="D104" s="353" t="s">
        <v>719</v>
      </c>
      <c r="E104" s="353" t="s">
        <v>720</v>
      </c>
      <c r="F104" s="353" t="s">
        <v>721</v>
      </c>
    </row>
    <row r="105" spans="1:8" s="112" customFormat="1" ht="15.6" customHeight="1" thickBot="1" x14ac:dyDescent="0.3">
      <c r="A105" s="112" t="s">
        <v>815</v>
      </c>
      <c r="B105" s="360">
        <f>VALO_PERSO!F5</f>
        <v>1</v>
      </c>
      <c r="C105" s="351" t="e">
        <f>CONCATENATE(C87," ",D87)</f>
        <v>#REF!</v>
      </c>
      <c r="D105" s="351" t="str">
        <f>VALO_PERSO!I5</f>
        <v>Chef de Projet R&amp;D</v>
      </c>
      <c r="E105" s="354">
        <f>VALO_PERSO!Y5</f>
        <v>816</v>
      </c>
      <c r="F105" s="355">
        <f>VALO_PERSO!AO5</f>
        <v>33185.550671167279</v>
      </c>
    </row>
    <row r="106" spans="1:8" s="112" customFormat="1" ht="15.6" customHeight="1" thickBot="1" x14ac:dyDescent="0.3">
      <c r="A106" s="112" t="s">
        <v>815</v>
      </c>
      <c r="B106" s="360" t="e">
        <f>VALO_PERSO!#REF!</f>
        <v>#REF!</v>
      </c>
      <c r="C106" s="351" t="str">
        <f>CONCATENATE(C88," ",D88)</f>
        <v>JONDOT Keita</v>
      </c>
      <c r="D106" s="351" t="e">
        <f>VALO_PERSO!#REF!</f>
        <v>#REF!</v>
      </c>
      <c r="E106" s="354" t="e">
        <f>VALO_PERSO!#REF!</f>
        <v>#REF!</v>
      </c>
      <c r="F106" s="355" t="e">
        <f>VALO_PERSO!#REF!</f>
        <v>#REF!</v>
      </c>
    </row>
    <row r="107" spans="1:8" s="112" customFormat="1" ht="15.6" customHeight="1" thickBot="1" x14ac:dyDescent="0.3">
      <c r="A107" s="112" t="s">
        <v>815</v>
      </c>
      <c r="B107" s="360" t="e">
        <f>VALO_PERSO!#REF!</f>
        <v>#REF!</v>
      </c>
      <c r="C107" s="351" t="str">
        <f>CONCATENATE(C88," ",D88)</f>
        <v>JONDOT Keita</v>
      </c>
      <c r="D107" s="351" t="e">
        <f>VALO_PERSO!#REF!</f>
        <v>#REF!</v>
      </c>
      <c r="E107" s="354" t="e">
        <f>VALO_PERSO!#REF!</f>
        <v>#REF!</v>
      </c>
      <c r="F107" s="355" t="e">
        <f>VALO_PERSO!#REF!</f>
        <v>#REF!</v>
      </c>
    </row>
    <row r="108" spans="1:8" s="112" customFormat="1" ht="15.6" customHeight="1" thickBot="1" x14ac:dyDescent="0.3">
      <c r="A108" s="112" t="s">
        <v>815</v>
      </c>
      <c r="B108" s="360">
        <f>VALO_PERSO!F6</f>
        <v>3</v>
      </c>
      <c r="C108" s="351" t="e">
        <f>CONCATENATE(C89," ",D89)</f>
        <v>#REF!</v>
      </c>
      <c r="D108" s="351" t="str">
        <f>VALO_PERSO!I6</f>
        <v>Ingénieur R&amp;D</v>
      </c>
      <c r="E108" s="354">
        <f>VALO_PERSO!Y6</f>
        <v>942</v>
      </c>
      <c r="F108" s="355">
        <f>VALO_PERSO!AO6</f>
        <v>22606.94610497238</v>
      </c>
    </row>
    <row r="109" spans="1:8" s="112" customFormat="1" ht="15.6" customHeight="1" thickBot="1" x14ac:dyDescent="0.3">
      <c r="A109" s="112" t="s">
        <v>815</v>
      </c>
      <c r="B109" s="360" t="e">
        <f>VALO_PERSO!#REF!</f>
        <v>#REF!</v>
      </c>
      <c r="C109" s="351" t="str">
        <f>CONCATENATE(C88," ",D88)</f>
        <v>JONDOT Keita</v>
      </c>
      <c r="D109" s="351" t="e">
        <f>VALO_PERSO!#REF!</f>
        <v>#REF!</v>
      </c>
      <c r="E109" s="354" t="e">
        <f>VALO_PERSO!#REF!</f>
        <v>#REF!</v>
      </c>
      <c r="F109" s="355" t="e">
        <f>VALO_PERSO!#REF!</f>
        <v>#REF!</v>
      </c>
    </row>
    <row r="110" spans="1:8" s="112" customFormat="1" ht="15.6" customHeight="1" thickBot="1" x14ac:dyDescent="0.3">
      <c r="A110" s="112" t="s">
        <v>815</v>
      </c>
      <c r="B110" s="360" t="e">
        <f>VALO_PERSO!#REF!</f>
        <v>#REF!</v>
      </c>
      <c r="C110" s="351" t="e">
        <f>CONCATENATE(C89," ",D89)</f>
        <v>#REF!</v>
      </c>
      <c r="D110" s="351" t="e">
        <f>VALO_PERSO!#REF!</f>
        <v>#REF!</v>
      </c>
      <c r="E110" s="354" t="e">
        <f>VALO_PERSO!#REF!</f>
        <v>#REF!</v>
      </c>
      <c r="F110" s="355" t="e">
        <f>VALO_PERSO!#REF!</f>
        <v>#REF!</v>
      </c>
    </row>
    <row r="111" spans="1:8" s="112" customFormat="1" ht="15.6" customHeight="1" thickBot="1" x14ac:dyDescent="0.3">
      <c r="A111" s="112" t="s">
        <v>815</v>
      </c>
      <c r="B111" s="360" t="e">
        <f>VALO_PERSO!#REF!</f>
        <v>#REF!</v>
      </c>
      <c r="C111" s="351" t="e">
        <f>CONCATENATE(C89," ",D89)</f>
        <v>#REF!</v>
      </c>
      <c r="D111" s="351" t="e">
        <f>VALO_PERSO!#REF!</f>
        <v>#REF!</v>
      </c>
      <c r="E111" s="354" t="e">
        <f>VALO_PERSO!#REF!</f>
        <v>#REF!</v>
      </c>
      <c r="F111" s="355" t="e">
        <f>VALO_PERSO!#REF!</f>
        <v>#REF!</v>
      </c>
    </row>
    <row r="112" spans="1:8" s="112" customFormat="1" ht="15.6" customHeight="1" thickBot="1" x14ac:dyDescent="0.3">
      <c r="A112" s="112" t="s">
        <v>815</v>
      </c>
      <c r="B112" s="360" t="e">
        <f>VALO_PERSO!#REF!</f>
        <v>#REF!</v>
      </c>
      <c r="C112" s="351" t="e">
        <f>CONCATENATE(C90," ",D90)</f>
        <v>#REF!</v>
      </c>
      <c r="D112" s="351" t="e">
        <f>VALO_PERSO!#REF!</f>
        <v>#REF!</v>
      </c>
      <c r="E112" s="354" t="e">
        <f>VALO_PERSO!#REF!</f>
        <v>#REF!</v>
      </c>
      <c r="F112" s="355" t="e">
        <f>VALO_PERSO!#REF!</f>
        <v>#REF!</v>
      </c>
    </row>
    <row r="113" spans="1:6" s="112" customFormat="1" ht="15.6" customHeight="1" thickBot="1" x14ac:dyDescent="0.3">
      <c r="A113" s="112" t="s">
        <v>815</v>
      </c>
      <c r="B113" s="360" t="e">
        <f>VALO_PERSO!#REF!</f>
        <v>#REF!</v>
      </c>
      <c r="C113" s="351" t="str">
        <f>CONCATENATE(C88," ",D88)</f>
        <v>JONDOT Keita</v>
      </c>
      <c r="D113" s="351" t="e">
        <f>VALO_PERSO!#REF!</f>
        <v>#REF!</v>
      </c>
      <c r="E113" s="354" t="e">
        <f>VALO_PERSO!#REF!</f>
        <v>#REF!</v>
      </c>
      <c r="F113" s="355" t="e">
        <f>VALO_PERSO!#REF!</f>
        <v>#REF!</v>
      </c>
    </row>
    <row r="114" spans="1:6" s="112" customFormat="1" ht="15.6" customHeight="1" thickBot="1" x14ac:dyDescent="0.3">
      <c r="A114" s="112" t="s">
        <v>815</v>
      </c>
      <c r="B114" s="360" t="e">
        <f>VALO_PERSO!#REF!</f>
        <v>#REF!</v>
      </c>
      <c r="C114" s="351" t="e">
        <f>CONCATENATE(C89," ",D89)</f>
        <v>#REF!</v>
      </c>
      <c r="D114" s="351" t="e">
        <f>VALO_PERSO!#REF!</f>
        <v>#REF!</v>
      </c>
      <c r="E114" s="354" t="e">
        <f>VALO_PERSO!#REF!</f>
        <v>#REF!</v>
      </c>
      <c r="F114" s="355" t="e">
        <f>VALO_PERSO!#REF!</f>
        <v>#REF!</v>
      </c>
    </row>
    <row r="115" spans="1:6" s="112" customFormat="1" ht="15.6" customHeight="1" thickBot="1" x14ac:dyDescent="0.3">
      <c r="A115" s="112" t="s">
        <v>815</v>
      </c>
      <c r="B115" s="360" t="e">
        <f>VALO_PERSO!#REF!</f>
        <v>#REF!</v>
      </c>
      <c r="C115" s="351" t="e">
        <f>CONCATENATE(C89," ",D89)</f>
        <v>#REF!</v>
      </c>
      <c r="D115" s="351" t="e">
        <f>VALO_PERSO!#REF!</f>
        <v>#REF!</v>
      </c>
      <c r="E115" s="354" t="e">
        <f>VALO_PERSO!#REF!</f>
        <v>#REF!</v>
      </c>
      <c r="F115" s="355" t="e">
        <f>VALO_PERSO!#REF!</f>
        <v>#REF!</v>
      </c>
    </row>
    <row r="116" spans="1:6" s="112" customFormat="1" ht="15.6" customHeight="1" thickBot="1" x14ac:dyDescent="0.3">
      <c r="A116" s="112" t="s">
        <v>815</v>
      </c>
      <c r="B116" s="360" t="e">
        <f>VALO_PERSO!#REF!</f>
        <v>#REF!</v>
      </c>
      <c r="C116" s="351" t="e">
        <f>CONCATENATE(C90," ",D90)</f>
        <v>#REF!</v>
      </c>
      <c r="D116" s="351" t="e">
        <f>VALO_PERSO!#REF!</f>
        <v>#REF!</v>
      </c>
      <c r="E116" s="354" t="e">
        <f>VALO_PERSO!#REF!</f>
        <v>#REF!</v>
      </c>
      <c r="F116" s="355" t="e">
        <f>VALO_PERSO!#REF!</f>
        <v>#REF!</v>
      </c>
    </row>
    <row r="117" spans="1:6" s="112" customFormat="1" ht="15.6" customHeight="1" thickBot="1" x14ac:dyDescent="0.3">
      <c r="A117" s="112" t="s">
        <v>815</v>
      </c>
      <c r="B117" s="360" t="e">
        <f>VALO_PERSO!#REF!</f>
        <v>#REF!</v>
      </c>
      <c r="C117" s="351" t="str">
        <f>CONCATENATE(C88," ",D88)</f>
        <v>JONDOT Keita</v>
      </c>
      <c r="D117" s="351" t="e">
        <f>VALO_PERSO!#REF!</f>
        <v>#REF!</v>
      </c>
      <c r="E117" s="354" t="e">
        <f>VALO_PERSO!#REF!</f>
        <v>#REF!</v>
      </c>
      <c r="F117" s="355" t="e">
        <f>VALO_PERSO!#REF!</f>
        <v>#REF!</v>
      </c>
    </row>
    <row r="118" spans="1:6" s="112" customFormat="1" ht="15.6" customHeight="1" thickBot="1" x14ac:dyDescent="0.3">
      <c r="A118" s="112" t="s">
        <v>815</v>
      </c>
      <c r="B118" s="360" t="e">
        <f>VALO_PERSO!#REF!</f>
        <v>#REF!</v>
      </c>
      <c r="C118" s="351" t="e">
        <f>CONCATENATE(C89," ",D89)</f>
        <v>#REF!</v>
      </c>
      <c r="D118" s="351" t="e">
        <f>VALO_PERSO!#REF!</f>
        <v>#REF!</v>
      </c>
      <c r="E118" s="354" t="e">
        <f>VALO_PERSO!#REF!</f>
        <v>#REF!</v>
      </c>
      <c r="F118" s="355" t="e">
        <f>VALO_PERSO!#REF!</f>
        <v>#REF!</v>
      </c>
    </row>
    <row r="119" spans="1:6" s="112" customFormat="1" ht="15.6" customHeight="1" thickBot="1" x14ac:dyDescent="0.3">
      <c r="A119" s="112" t="s">
        <v>815</v>
      </c>
      <c r="B119" s="360" t="e">
        <f>VALO_PERSO!#REF!</f>
        <v>#REF!</v>
      </c>
      <c r="C119" s="351" t="e">
        <f>CONCATENATE(C89," ",D89)</f>
        <v>#REF!</v>
      </c>
      <c r="D119" s="351" t="e">
        <f>VALO_PERSO!#REF!</f>
        <v>#REF!</v>
      </c>
      <c r="E119" s="354" t="e">
        <f>VALO_PERSO!#REF!</f>
        <v>#REF!</v>
      </c>
      <c r="F119" s="355" t="e">
        <f>VALO_PERSO!#REF!</f>
        <v>#REF!</v>
      </c>
    </row>
    <row r="120" spans="1:6" s="112" customFormat="1" ht="15.6" customHeight="1" thickBot="1" x14ac:dyDescent="0.3">
      <c r="A120" s="112" t="s">
        <v>815</v>
      </c>
      <c r="B120" s="360" t="e">
        <f>VALO_PERSO!#REF!</f>
        <v>#REF!</v>
      </c>
      <c r="C120" s="351" t="e">
        <f>CONCATENATE(C90," ",D90)</f>
        <v>#REF!</v>
      </c>
      <c r="D120" s="351" t="e">
        <f>VALO_PERSO!#REF!</f>
        <v>#REF!</v>
      </c>
      <c r="E120" s="354" t="e">
        <f>VALO_PERSO!#REF!</f>
        <v>#REF!</v>
      </c>
      <c r="F120" s="355" t="e">
        <f>VALO_PERSO!#REF!</f>
        <v>#REF!</v>
      </c>
    </row>
    <row r="121" spans="1:6" s="112" customFormat="1" ht="15.6" customHeight="1" thickBot="1" x14ac:dyDescent="0.3">
      <c r="A121" s="112" t="s">
        <v>815</v>
      </c>
      <c r="B121" s="360" t="e">
        <f>VALO_PERSO!#REF!</f>
        <v>#REF!</v>
      </c>
      <c r="C121" s="351" t="str">
        <f>CONCATENATE(C88," ",D88)</f>
        <v>JONDOT Keita</v>
      </c>
      <c r="D121" s="351" t="e">
        <f>VALO_PERSO!#REF!</f>
        <v>#REF!</v>
      </c>
      <c r="E121" s="354" t="e">
        <f>VALO_PERSO!#REF!</f>
        <v>#REF!</v>
      </c>
      <c r="F121" s="355" t="e">
        <f>VALO_PERSO!#REF!</f>
        <v>#REF!</v>
      </c>
    </row>
    <row r="122" spans="1:6" s="112" customFormat="1" ht="15.6" customHeight="1" thickBot="1" x14ac:dyDescent="0.3">
      <c r="A122" s="112" t="s">
        <v>815</v>
      </c>
      <c r="B122" s="360" t="e">
        <f>VALO_PERSO!#REF!</f>
        <v>#REF!</v>
      </c>
      <c r="C122" s="351" t="e">
        <f>CONCATENATE(C89," ",D89)</f>
        <v>#REF!</v>
      </c>
      <c r="D122" s="351" t="e">
        <f>VALO_PERSO!#REF!</f>
        <v>#REF!</v>
      </c>
      <c r="E122" s="354" t="e">
        <f>VALO_PERSO!#REF!</f>
        <v>#REF!</v>
      </c>
      <c r="F122" s="355" t="e">
        <f>VALO_PERSO!#REF!</f>
        <v>#REF!</v>
      </c>
    </row>
    <row r="123" spans="1:6" s="112" customFormat="1" ht="15.6" customHeight="1" thickBot="1" x14ac:dyDescent="0.3">
      <c r="A123" s="112" t="s">
        <v>815</v>
      </c>
      <c r="B123" s="360" t="e">
        <f>VALO_PERSO!#REF!</f>
        <v>#REF!</v>
      </c>
      <c r="C123" s="351" t="e">
        <f>CONCATENATE(C89," ",D89)</f>
        <v>#REF!</v>
      </c>
      <c r="D123" s="351" t="e">
        <f>VALO_PERSO!#REF!</f>
        <v>#REF!</v>
      </c>
      <c r="E123" s="354" t="e">
        <f>VALO_PERSO!#REF!</f>
        <v>#REF!</v>
      </c>
      <c r="F123" s="355" t="e">
        <f>VALO_PERSO!#REF!</f>
        <v>#REF!</v>
      </c>
    </row>
    <row r="124" spans="1:6" s="112" customFormat="1" ht="15.6" customHeight="1" thickBot="1" x14ac:dyDescent="0.3">
      <c r="A124" s="112" t="s">
        <v>815</v>
      </c>
      <c r="B124" s="360" t="e">
        <f>VALO_PERSO!#REF!</f>
        <v>#REF!</v>
      </c>
      <c r="C124" s="351" t="e">
        <f>CONCATENATE(C90," ",D90)</f>
        <v>#REF!</v>
      </c>
      <c r="D124" s="351" t="e">
        <f>VALO_PERSO!#REF!</f>
        <v>#REF!</v>
      </c>
      <c r="E124" s="354" t="e">
        <f>VALO_PERSO!#REF!</f>
        <v>#REF!</v>
      </c>
      <c r="F124" s="355" t="e">
        <f>VALO_PERSO!#REF!</f>
        <v>#REF!</v>
      </c>
    </row>
    <row r="125" spans="1:6" s="112" customFormat="1" ht="15.6" customHeight="1" thickBot="1" x14ac:dyDescent="0.3">
      <c r="A125" s="112" t="s">
        <v>815</v>
      </c>
      <c r="B125" s="360" t="e">
        <f>VALO_PERSO!#REF!</f>
        <v>#REF!</v>
      </c>
      <c r="C125" s="351" t="str">
        <f>CONCATENATE(C88," ",D88)</f>
        <v>JONDOT Keita</v>
      </c>
      <c r="D125" s="351" t="e">
        <f>VALO_PERSO!#REF!</f>
        <v>#REF!</v>
      </c>
      <c r="E125" s="354" t="e">
        <f>VALO_PERSO!#REF!</f>
        <v>#REF!</v>
      </c>
      <c r="F125" s="355" t="e">
        <f>VALO_PERSO!#REF!</f>
        <v>#REF!</v>
      </c>
    </row>
    <row r="126" spans="1:6" s="112" customFormat="1" ht="15.6" customHeight="1" thickBot="1" x14ac:dyDescent="0.3">
      <c r="A126" s="112" t="s">
        <v>815</v>
      </c>
      <c r="B126" s="360" t="e">
        <f>VALO_PERSO!#REF!</f>
        <v>#REF!</v>
      </c>
      <c r="C126" s="351" t="e">
        <f>CONCATENATE(C89," ",D89)</f>
        <v>#REF!</v>
      </c>
      <c r="D126" s="351" t="e">
        <f>VALO_PERSO!#REF!</f>
        <v>#REF!</v>
      </c>
      <c r="E126" s="354" t="e">
        <f>VALO_PERSO!#REF!</f>
        <v>#REF!</v>
      </c>
      <c r="F126" s="355" t="e">
        <f>VALO_PERSO!#REF!</f>
        <v>#REF!</v>
      </c>
    </row>
    <row r="127" spans="1:6" s="112" customFormat="1" ht="15.6" customHeight="1" thickBot="1" x14ac:dyDescent="0.3">
      <c r="A127" s="112" t="s">
        <v>815</v>
      </c>
      <c r="B127" s="360" t="e">
        <f>VALO_PERSO!#REF!</f>
        <v>#REF!</v>
      </c>
      <c r="C127" s="351" t="e">
        <f>CONCATENATE(C89," ",D89)</f>
        <v>#REF!</v>
      </c>
      <c r="D127" s="351" t="e">
        <f>VALO_PERSO!#REF!</f>
        <v>#REF!</v>
      </c>
      <c r="E127" s="354" t="e">
        <f>VALO_PERSO!#REF!</f>
        <v>#REF!</v>
      </c>
      <c r="F127" s="355" t="e">
        <f>VALO_PERSO!#REF!</f>
        <v>#REF!</v>
      </c>
    </row>
    <row r="128" spans="1:6" s="112" customFormat="1" ht="15.6" customHeight="1" thickBot="1" x14ac:dyDescent="0.3">
      <c r="A128" s="112" t="s">
        <v>815</v>
      </c>
      <c r="B128" s="360" t="e">
        <f>VALO_PERSO!#REF!</f>
        <v>#REF!</v>
      </c>
      <c r="C128" s="351" t="e">
        <f>CONCATENATE(C90," ",D90)</f>
        <v>#REF!</v>
      </c>
      <c r="D128" s="351" t="e">
        <f>VALO_PERSO!#REF!</f>
        <v>#REF!</v>
      </c>
      <c r="E128" s="354" t="e">
        <f>VALO_PERSO!#REF!</f>
        <v>#REF!</v>
      </c>
      <c r="F128" s="355" t="e">
        <f>VALO_PERSO!#REF!</f>
        <v>#REF!</v>
      </c>
    </row>
    <row r="129" spans="1:6" s="112" customFormat="1" ht="15.6" customHeight="1" thickBot="1" x14ac:dyDescent="0.3">
      <c r="A129" s="112" t="s">
        <v>815</v>
      </c>
      <c r="B129" s="360" t="e">
        <f>VALO_PERSO!#REF!</f>
        <v>#REF!</v>
      </c>
      <c r="C129" s="351" t="str">
        <f>CONCATENATE(C88," ",D88)</f>
        <v>JONDOT Keita</v>
      </c>
      <c r="D129" s="351" t="e">
        <f>VALO_PERSO!#REF!</f>
        <v>#REF!</v>
      </c>
      <c r="E129" s="354" t="e">
        <f>VALO_PERSO!#REF!</f>
        <v>#REF!</v>
      </c>
      <c r="F129" s="355" t="e">
        <f>VALO_PERSO!#REF!</f>
        <v>#REF!</v>
      </c>
    </row>
    <row r="130" spans="1:6" s="112" customFormat="1" ht="15.6" customHeight="1" thickBot="1" x14ac:dyDescent="0.3">
      <c r="A130" s="112" t="s">
        <v>815</v>
      </c>
      <c r="B130" s="360" t="e">
        <f>VALO_PERSO!#REF!</f>
        <v>#REF!</v>
      </c>
      <c r="C130" s="351" t="e">
        <f>CONCATENATE(C89," ",D89)</f>
        <v>#REF!</v>
      </c>
      <c r="D130" s="351" t="e">
        <f>VALO_PERSO!#REF!</f>
        <v>#REF!</v>
      </c>
      <c r="E130" s="354" t="e">
        <f>VALO_PERSO!#REF!</f>
        <v>#REF!</v>
      </c>
      <c r="F130" s="355" t="e">
        <f>VALO_PERSO!#REF!</f>
        <v>#REF!</v>
      </c>
    </row>
    <row r="131" spans="1:6" s="112" customFormat="1" ht="15.6" customHeight="1" thickBot="1" x14ac:dyDescent="0.3">
      <c r="A131" s="112" t="s">
        <v>815</v>
      </c>
      <c r="B131" s="360" t="e">
        <f>VALO_PERSO!#REF!</f>
        <v>#REF!</v>
      </c>
      <c r="C131" s="351" t="e">
        <f>CONCATENATE(C89," ",D89)</f>
        <v>#REF!</v>
      </c>
      <c r="D131" s="351" t="e">
        <f>VALO_PERSO!#REF!</f>
        <v>#REF!</v>
      </c>
      <c r="E131" s="354" t="e">
        <f>VALO_PERSO!#REF!</f>
        <v>#REF!</v>
      </c>
      <c r="F131" s="355" t="e">
        <f>VALO_PERSO!#REF!</f>
        <v>#REF!</v>
      </c>
    </row>
    <row r="132" spans="1:6" s="112" customFormat="1" ht="15.6" customHeight="1" thickBot="1" x14ac:dyDescent="0.3">
      <c r="A132" s="112" t="s">
        <v>815</v>
      </c>
      <c r="B132" s="360" t="e">
        <f>VALO_PERSO!#REF!</f>
        <v>#REF!</v>
      </c>
      <c r="C132" s="351" t="e">
        <f>CONCATENATE(C90," ",D90)</f>
        <v>#REF!</v>
      </c>
      <c r="D132" s="351" t="e">
        <f>VALO_PERSO!#REF!</f>
        <v>#REF!</v>
      </c>
      <c r="E132" s="354" t="e">
        <f>VALO_PERSO!#REF!</f>
        <v>#REF!</v>
      </c>
      <c r="F132" s="355" t="e">
        <f>VALO_PERSO!#REF!</f>
        <v>#REF!</v>
      </c>
    </row>
    <row r="133" spans="1:6" s="112" customFormat="1" ht="15.6" customHeight="1" thickBot="1" x14ac:dyDescent="0.3">
      <c r="A133" s="112" t="s">
        <v>815</v>
      </c>
      <c r="B133" s="360" t="e">
        <f>VALO_PERSO!#REF!</f>
        <v>#REF!</v>
      </c>
      <c r="C133" s="351" t="str">
        <f>CONCATENATE(C88," ",D88)</f>
        <v>JONDOT Keita</v>
      </c>
      <c r="D133" s="351" t="e">
        <f>VALO_PERSO!#REF!</f>
        <v>#REF!</v>
      </c>
      <c r="E133" s="354" t="e">
        <f>VALO_PERSO!#REF!</f>
        <v>#REF!</v>
      </c>
      <c r="F133" s="355" t="e">
        <f>VALO_PERSO!#REF!</f>
        <v>#REF!</v>
      </c>
    </row>
    <row r="134" spans="1:6" s="112" customFormat="1" ht="15.6" customHeight="1" thickBot="1" x14ac:dyDescent="0.3">
      <c r="A134" s="112" t="s">
        <v>815</v>
      </c>
      <c r="B134" s="360" t="e">
        <f>VALO_PERSO!#REF!</f>
        <v>#REF!</v>
      </c>
      <c r="C134" s="351" t="e">
        <f>CONCATENATE(C89," ",D89)</f>
        <v>#REF!</v>
      </c>
      <c r="D134" s="351" t="e">
        <f>VALO_PERSO!#REF!</f>
        <v>#REF!</v>
      </c>
      <c r="E134" s="354" t="e">
        <f>VALO_PERSO!#REF!</f>
        <v>#REF!</v>
      </c>
      <c r="F134" s="355" t="e">
        <f>VALO_PERSO!#REF!</f>
        <v>#REF!</v>
      </c>
    </row>
    <row r="135" spans="1:6" s="112" customFormat="1" ht="15.6" customHeight="1" thickBot="1" x14ac:dyDescent="0.3">
      <c r="A135" s="112" t="s">
        <v>815</v>
      </c>
      <c r="B135" s="360" t="e">
        <f>VALO_PERSO!#REF!</f>
        <v>#REF!</v>
      </c>
      <c r="C135" s="351" t="e">
        <f>CONCATENATE(C89," ",D89)</f>
        <v>#REF!</v>
      </c>
      <c r="D135" s="351" t="e">
        <f>VALO_PERSO!#REF!</f>
        <v>#REF!</v>
      </c>
      <c r="E135" s="354" t="e">
        <f>VALO_PERSO!#REF!</f>
        <v>#REF!</v>
      </c>
      <c r="F135" s="355" t="e">
        <f>VALO_PERSO!#REF!</f>
        <v>#REF!</v>
      </c>
    </row>
    <row r="136" spans="1:6" s="112" customFormat="1" ht="15.6" customHeight="1" thickBot="1" x14ac:dyDescent="0.3">
      <c r="A136" s="112" t="s">
        <v>815</v>
      </c>
      <c r="B136" s="360" t="e">
        <f>VALO_PERSO!#REF!</f>
        <v>#REF!</v>
      </c>
      <c r="C136" s="351" t="e">
        <f>CONCATENATE(C90," ",D90)</f>
        <v>#REF!</v>
      </c>
      <c r="D136" s="351" t="e">
        <f>VALO_PERSO!#REF!</f>
        <v>#REF!</v>
      </c>
      <c r="E136" s="354" t="e">
        <f>VALO_PERSO!#REF!</f>
        <v>#REF!</v>
      </c>
      <c r="F136" s="355" t="e">
        <f>VALO_PERSO!#REF!</f>
        <v>#REF!</v>
      </c>
    </row>
    <row r="137" spans="1:6" s="112" customFormat="1" ht="15.6" customHeight="1" thickBot="1" x14ac:dyDescent="0.3">
      <c r="A137" s="112" t="s">
        <v>815</v>
      </c>
      <c r="B137" s="360" t="e">
        <f>VALO_PERSO!#REF!</f>
        <v>#REF!</v>
      </c>
      <c r="C137" s="351" t="str">
        <f>CONCATENATE(C88," ",D88)</f>
        <v>JONDOT Keita</v>
      </c>
      <c r="D137" s="351" t="e">
        <f>VALO_PERSO!#REF!</f>
        <v>#REF!</v>
      </c>
      <c r="E137" s="354" t="e">
        <f>VALO_PERSO!#REF!</f>
        <v>#REF!</v>
      </c>
      <c r="F137" s="355" t="e">
        <f>VALO_PERSO!#REF!</f>
        <v>#REF!</v>
      </c>
    </row>
    <row r="138" spans="1:6" s="112" customFormat="1" ht="15.6" customHeight="1" thickBot="1" x14ac:dyDescent="0.3">
      <c r="A138" s="112" t="s">
        <v>815</v>
      </c>
      <c r="B138" s="360" t="e">
        <f>VALO_PERSO!#REF!</f>
        <v>#REF!</v>
      </c>
      <c r="C138" s="351" t="e">
        <f>CONCATENATE(C89," ",D89)</f>
        <v>#REF!</v>
      </c>
      <c r="D138" s="351" t="e">
        <f>VALO_PERSO!#REF!</f>
        <v>#REF!</v>
      </c>
      <c r="E138" s="354" t="e">
        <f>VALO_PERSO!#REF!</f>
        <v>#REF!</v>
      </c>
      <c r="F138" s="355" t="e">
        <f>VALO_PERSO!#REF!</f>
        <v>#REF!</v>
      </c>
    </row>
    <row r="139" spans="1:6" s="112" customFormat="1" ht="15.6" customHeight="1" thickBot="1" x14ac:dyDescent="0.3">
      <c r="A139" s="112" t="s">
        <v>815</v>
      </c>
      <c r="B139" s="360" t="e">
        <f>VALO_PERSO!#REF!</f>
        <v>#REF!</v>
      </c>
      <c r="C139" s="351" t="e">
        <f>CONCATENATE(C89," ",D89)</f>
        <v>#REF!</v>
      </c>
      <c r="D139" s="351" t="e">
        <f>VALO_PERSO!#REF!</f>
        <v>#REF!</v>
      </c>
      <c r="E139" s="354" t="e">
        <f>VALO_PERSO!#REF!</f>
        <v>#REF!</v>
      </c>
      <c r="F139" s="355" t="e">
        <f>VALO_PERSO!#REF!</f>
        <v>#REF!</v>
      </c>
    </row>
    <row r="140" spans="1:6" s="112" customFormat="1" ht="15.6" customHeight="1" thickBot="1" x14ac:dyDescent="0.3">
      <c r="A140" s="112" t="s">
        <v>815</v>
      </c>
      <c r="B140" s="360" t="e">
        <f>VALO_PERSO!#REF!</f>
        <v>#REF!</v>
      </c>
      <c r="C140" s="351" t="e">
        <f>CONCATENATE(C90," ",D90)</f>
        <v>#REF!</v>
      </c>
      <c r="D140" s="351" t="e">
        <f>VALO_PERSO!#REF!</f>
        <v>#REF!</v>
      </c>
      <c r="E140" s="354" t="e">
        <f>VALO_PERSO!#REF!</f>
        <v>#REF!</v>
      </c>
      <c r="F140" s="355" t="e">
        <f>VALO_PERSO!#REF!</f>
        <v>#REF!</v>
      </c>
    </row>
    <row r="141" spans="1:6" s="112" customFormat="1" ht="15.6" customHeight="1" thickBot="1" x14ac:dyDescent="0.3">
      <c r="A141" s="112" t="s">
        <v>815</v>
      </c>
      <c r="B141" s="360" t="e">
        <f>VALO_PERSO!#REF!</f>
        <v>#REF!</v>
      </c>
      <c r="C141" s="351" t="str">
        <f>CONCATENATE(C88," ",D88)</f>
        <v>JONDOT Keita</v>
      </c>
      <c r="D141" s="351" t="e">
        <f>VALO_PERSO!#REF!</f>
        <v>#REF!</v>
      </c>
      <c r="E141" s="354" t="e">
        <f>VALO_PERSO!#REF!</f>
        <v>#REF!</v>
      </c>
      <c r="F141" s="355" t="e">
        <f>VALO_PERSO!#REF!</f>
        <v>#REF!</v>
      </c>
    </row>
    <row r="142" spans="1:6" s="112" customFormat="1" ht="15.6" customHeight="1" thickBot="1" x14ac:dyDescent="0.3">
      <c r="A142" s="112" t="s">
        <v>815</v>
      </c>
      <c r="B142" s="360" t="e">
        <f>VALO_PERSO!#REF!</f>
        <v>#REF!</v>
      </c>
      <c r="C142" s="351" t="e">
        <f>CONCATENATE(C89," ",D89)</f>
        <v>#REF!</v>
      </c>
      <c r="D142" s="351" t="e">
        <f>VALO_PERSO!#REF!</f>
        <v>#REF!</v>
      </c>
      <c r="E142" s="354" t="e">
        <f>VALO_PERSO!#REF!</f>
        <v>#REF!</v>
      </c>
      <c r="F142" s="355" t="e">
        <f>VALO_PERSO!#REF!</f>
        <v>#REF!</v>
      </c>
    </row>
    <row r="143" spans="1:6" s="112" customFormat="1" ht="15.6" customHeight="1" thickBot="1" x14ac:dyDescent="0.3">
      <c r="A143" s="112" t="s">
        <v>815</v>
      </c>
      <c r="B143" s="360" t="e">
        <f>VALO_PERSO!#REF!</f>
        <v>#REF!</v>
      </c>
      <c r="C143" s="351" t="e">
        <f>CONCATENATE(C89," ",D89)</f>
        <v>#REF!</v>
      </c>
      <c r="D143" s="351" t="e">
        <f>VALO_PERSO!#REF!</f>
        <v>#REF!</v>
      </c>
      <c r="E143" s="354" t="e">
        <f>VALO_PERSO!#REF!</f>
        <v>#REF!</v>
      </c>
      <c r="F143" s="355" t="e">
        <f>VALO_PERSO!#REF!</f>
        <v>#REF!</v>
      </c>
    </row>
    <row r="144" spans="1:6" s="112" customFormat="1" ht="15.6" customHeight="1" thickBot="1" x14ac:dyDescent="0.3">
      <c r="A144" s="112" t="s">
        <v>815</v>
      </c>
      <c r="B144" s="360" t="e">
        <f>VALO_PERSO!#REF!</f>
        <v>#REF!</v>
      </c>
      <c r="C144" s="351" t="e">
        <f>CONCATENATE(C90," ",D90)</f>
        <v>#REF!</v>
      </c>
      <c r="D144" s="351" t="e">
        <f>VALO_PERSO!#REF!</f>
        <v>#REF!</v>
      </c>
      <c r="E144" s="354" t="e">
        <f>VALO_PERSO!#REF!</f>
        <v>#REF!</v>
      </c>
      <c r="F144" s="355" t="e">
        <f>VALO_PERSO!#REF!</f>
        <v>#REF!</v>
      </c>
    </row>
    <row r="145" spans="1:20" s="112" customFormat="1" ht="15.6" customHeight="1" thickBot="1" x14ac:dyDescent="0.3">
      <c r="A145" s="112" t="s">
        <v>815</v>
      </c>
      <c r="B145" s="360" t="e">
        <f>VALO_PERSO!#REF!</f>
        <v>#REF!</v>
      </c>
      <c r="C145" s="351" t="str">
        <f>CONCATENATE(C88," ",D88)</f>
        <v>JONDOT Keita</v>
      </c>
      <c r="D145" s="351" t="e">
        <f>VALO_PERSO!#REF!</f>
        <v>#REF!</v>
      </c>
      <c r="E145" s="354" t="e">
        <f>VALO_PERSO!#REF!</f>
        <v>#REF!</v>
      </c>
      <c r="F145" s="355" t="e">
        <f>VALO_PERSO!#REF!</f>
        <v>#REF!</v>
      </c>
    </row>
    <row r="146" spans="1:20" s="112" customFormat="1" ht="15.6" customHeight="1" thickBot="1" x14ac:dyDescent="0.3">
      <c r="A146" s="112" t="s">
        <v>815</v>
      </c>
      <c r="B146" s="360" t="e">
        <f>VALO_PERSO!#REF!</f>
        <v>#REF!</v>
      </c>
      <c r="C146" s="351" t="e">
        <f>CONCATENATE(C89," ",D89)</f>
        <v>#REF!</v>
      </c>
      <c r="D146" s="351" t="e">
        <f>VALO_PERSO!#REF!</f>
        <v>#REF!</v>
      </c>
      <c r="E146" s="354" t="e">
        <f>VALO_PERSO!#REF!</f>
        <v>#REF!</v>
      </c>
      <c r="F146" s="355" t="e">
        <f>VALO_PERSO!#REF!</f>
        <v>#REF!</v>
      </c>
    </row>
    <row r="147" spans="1:20" s="112" customFormat="1" ht="15.6" customHeight="1" thickBot="1" x14ac:dyDescent="0.3">
      <c r="A147" s="112" t="s">
        <v>815</v>
      </c>
      <c r="B147" s="360" t="e">
        <f>VALO_PERSO!#REF!</f>
        <v>#REF!</v>
      </c>
      <c r="C147" s="351" t="e">
        <f>CONCATENATE(C89," ",D89)</f>
        <v>#REF!</v>
      </c>
      <c r="D147" s="351" t="e">
        <f>VALO_PERSO!#REF!</f>
        <v>#REF!</v>
      </c>
      <c r="E147" s="354" t="e">
        <f>VALO_PERSO!#REF!</f>
        <v>#REF!</v>
      </c>
      <c r="F147" s="355" t="e">
        <f>VALO_PERSO!#REF!</f>
        <v>#REF!</v>
      </c>
    </row>
    <row r="148" spans="1:20" s="112" customFormat="1" ht="15.6" customHeight="1" thickBot="1" x14ac:dyDescent="0.3">
      <c r="A148" s="112" t="s">
        <v>815</v>
      </c>
      <c r="B148" s="360" t="e">
        <f>VALO_PERSO!#REF!</f>
        <v>#REF!</v>
      </c>
      <c r="C148" s="351" t="e">
        <f>CONCATENATE(C90," ",D90)</f>
        <v>#REF!</v>
      </c>
      <c r="D148" s="351" t="e">
        <f>VALO_PERSO!#REF!</f>
        <v>#REF!</v>
      </c>
      <c r="E148" s="354" t="e">
        <f>VALO_PERSO!#REF!</f>
        <v>#REF!</v>
      </c>
      <c r="F148" s="355" t="e">
        <f>VALO_PERSO!#REF!</f>
        <v>#REF!</v>
      </c>
    </row>
    <row r="149" spans="1:20" s="112" customFormat="1" ht="15.75" thickBot="1" x14ac:dyDescent="0.3">
      <c r="B149" s="360" t="e">
        <f>VALO_PERSO!#REF!</f>
        <v>#REF!</v>
      </c>
      <c r="C149" s="351" t="e">
        <f t="shared" ref="C149:C162" si="0">CONCATENATE(C87," ",D87)</f>
        <v>#REF!</v>
      </c>
      <c r="D149" s="351" t="e">
        <f>VALO_PERSO!#REF!</f>
        <v>#REF!</v>
      </c>
      <c r="E149" s="354" t="e">
        <f>VALO_PERSO!#REF!</f>
        <v>#REF!</v>
      </c>
      <c r="F149" s="355" t="e">
        <f>VALO_PERSO!#REF!</f>
        <v>#REF!</v>
      </c>
    </row>
    <row r="150" spans="1:20" s="112" customFormat="1" ht="15.75" thickBot="1" x14ac:dyDescent="0.3">
      <c r="B150" s="360">
        <f>VALO_PERSO!F6</f>
        <v>3</v>
      </c>
      <c r="C150" s="351" t="str">
        <f t="shared" si="0"/>
        <v>JONDOT Keita</v>
      </c>
      <c r="D150" s="351" t="str">
        <f>VALO_PERSO!I6</f>
        <v>Ingénieur R&amp;D</v>
      </c>
      <c r="E150" s="354">
        <f>VALO_PERSO!Y6</f>
        <v>942</v>
      </c>
      <c r="F150" s="355">
        <f>VALO_PERSO!AO6</f>
        <v>22606.94610497238</v>
      </c>
    </row>
    <row r="151" spans="1:20" s="112" customFormat="1" ht="15.75" thickBot="1" x14ac:dyDescent="0.3">
      <c r="B151" s="360" t="e">
        <f>VALO_PERSO!#REF!</f>
        <v>#REF!</v>
      </c>
      <c r="C151" s="351" t="e">
        <f t="shared" si="0"/>
        <v>#REF!</v>
      </c>
      <c r="D151" s="351" t="e">
        <f>VALO_PERSO!#REF!</f>
        <v>#REF!</v>
      </c>
      <c r="E151" s="354" t="e">
        <f>VALO_PERSO!#REF!</f>
        <v>#REF!</v>
      </c>
      <c r="F151" s="355" t="e">
        <f>VALO_PERSO!#REF!</f>
        <v>#REF!</v>
      </c>
    </row>
    <row r="152" spans="1:20" s="112" customFormat="1" ht="15.75" thickBot="1" x14ac:dyDescent="0.3">
      <c r="B152" s="360" t="e">
        <f>VALO_PERSO!#REF!</f>
        <v>#REF!</v>
      </c>
      <c r="C152" s="351" t="e">
        <f t="shared" si="0"/>
        <v>#REF!</v>
      </c>
      <c r="D152" s="351" t="e">
        <f>VALO_PERSO!#REF!</f>
        <v>#REF!</v>
      </c>
      <c r="E152" s="354" t="e">
        <f>VALO_PERSO!#REF!</f>
        <v>#REF!</v>
      </c>
      <c r="F152" s="355" t="e">
        <f>VALO_PERSO!#REF!</f>
        <v>#REF!</v>
      </c>
    </row>
    <row r="153" spans="1:20" s="112" customFormat="1" ht="15.75" thickBot="1" x14ac:dyDescent="0.3">
      <c r="B153" s="360" t="e">
        <f>VALO_PERSO!#REF!</f>
        <v>#REF!</v>
      </c>
      <c r="C153" s="351" t="e">
        <f t="shared" si="0"/>
        <v>#REF!</v>
      </c>
      <c r="D153" s="351" t="e">
        <f>VALO_PERSO!#REF!</f>
        <v>#REF!</v>
      </c>
      <c r="E153" s="354" t="e">
        <f>VALO_PERSO!#REF!</f>
        <v>#REF!</v>
      </c>
      <c r="F153" s="355" t="e">
        <f>VALO_PERSO!#REF!</f>
        <v>#REF!</v>
      </c>
    </row>
    <row r="154" spans="1:20" s="112" customFormat="1" ht="15.75" thickBot="1" x14ac:dyDescent="0.3">
      <c r="B154" s="360" t="e">
        <f>VALO_PERSO!#REF!</f>
        <v>#REF!</v>
      </c>
      <c r="C154" s="351" t="e">
        <f t="shared" si="0"/>
        <v>#REF!</v>
      </c>
      <c r="D154" s="351" t="e">
        <f>VALO_PERSO!#REF!</f>
        <v>#REF!</v>
      </c>
      <c r="E154" s="354" t="e">
        <f>VALO_PERSO!#REF!</f>
        <v>#REF!</v>
      </c>
      <c r="F154" s="355" t="e">
        <f>VALO_PERSO!#REF!</f>
        <v>#REF!</v>
      </c>
    </row>
    <row r="155" spans="1:20" s="112" customFormat="1" ht="15.75" thickBot="1" x14ac:dyDescent="0.3">
      <c r="B155" s="360" t="e">
        <f>VALO_PERSO!#REF!</f>
        <v>#REF!</v>
      </c>
      <c r="C155" s="351" t="e">
        <f t="shared" si="0"/>
        <v>#REF!</v>
      </c>
      <c r="D155" s="351" t="e">
        <f>VALO_PERSO!#REF!</f>
        <v>#REF!</v>
      </c>
      <c r="E155" s="354" t="e">
        <f>VALO_PERSO!#REF!</f>
        <v>#REF!</v>
      </c>
      <c r="F155" s="355" t="e">
        <f>VALO_PERSO!#REF!</f>
        <v>#REF!</v>
      </c>
    </row>
    <row r="156" spans="1:20" s="112" customFormat="1" ht="15.75" thickBot="1" x14ac:dyDescent="0.3">
      <c r="B156" s="360" t="e">
        <f>VALO_PERSO!#REF!</f>
        <v>#REF!</v>
      </c>
      <c r="C156" s="351" t="e">
        <f t="shared" si="0"/>
        <v>#REF!</v>
      </c>
      <c r="D156" s="351" t="e">
        <f>VALO_PERSO!#REF!</f>
        <v>#REF!</v>
      </c>
      <c r="E156" s="354" t="e">
        <f>VALO_PERSO!#REF!</f>
        <v>#REF!</v>
      </c>
      <c r="F156" s="355" t="e">
        <f>VALO_PERSO!#REF!</f>
        <v>#REF!</v>
      </c>
    </row>
    <row r="157" spans="1:20" s="112" customFormat="1" ht="15.75" thickBot="1" x14ac:dyDescent="0.3">
      <c r="B157" s="360" t="e">
        <f>VALO_PERSO!#REF!</f>
        <v>#REF!</v>
      </c>
      <c r="C157" s="351" t="e">
        <f t="shared" si="0"/>
        <v>#REF!</v>
      </c>
      <c r="D157" s="351" t="e">
        <f>VALO_PERSO!#REF!</f>
        <v>#REF!</v>
      </c>
      <c r="E157" s="354" t="e">
        <f>VALO_PERSO!#REF!</f>
        <v>#REF!</v>
      </c>
      <c r="F157" s="355" t="e">
        <f>VALO_PERSO!#REF!</f>
        <v>#REF!</v>
      </c>
    </row>
    <row r="158" spans="1:20" s="112" customFormat="1" ht="15.75" thickBot="1" x14ac:dyDescent="0.3">
      <c r="B158" s="360" t="e">
        <f>VALO_PERSO!#REF!</f>
        <v>#REF!</v>
      </c>
      <c r="C158" s="351" t="e">
        <f t="shared" si="0"/>
        <v>#REF!</v>
      </c>
      <c r="D158" s="351" t="e">
        <f>VALO_PERSO!#REF!</f>
        <v>#REF!</v>
      </c>
      <c r="E158" s="354" t="e">
        <f>VALO_PERSO!#REF!</f>
        <v>#REF!</v>
      </c>
      <c r="F158" s="355" t="e">
        <f>VALO_PERSO!#REF!</f>
        <v>#REF!</v>
      </c>
    </row>
    <row r="159" spans="1:20" s="112" customFormat="1" ht="15.75" thickBot="1" x14ac:dyDescent="0.3">
      <c r="B159" s="416" t="e">
        <f>VALO_PERSO!#REF!</f>
        <v>#REF!</v>
      </c>
      <c r="C159" s="420" t="e">
        <f t="shared" si="0"/>
        <v>#REF!</v>
      </c>
      <c r="D159" s="420" t="e">
        <f>VALO_PERSO!#REF!</f>
        <v>#REF!</v>
      </c>
      <c r="E159" s="421" t="e">
        <f>VALO_PERSO!#REF!</f>
        <v>#REF!</v>
      </c>
      <c r="F159" s="422" t="e">
        <f>VALO_PERSO!#REF!</f>
        <v>#REF!</v>
      </c>
      <c r="G159" s="413"/>
      <c r="H159" s="413"/>
      <c r="I159" s="413"/>
      <c r="J159" s="413"/>
      <c r="K159" s="413"/>
      <c r="L159" s="413"/>
      <c r="M159" s="413"/>
      <c r="N159" s="413"/>
      <c r="O159" s="413"/>
      <c r="P159" s="413"/>
      <c r="Q159" s="413"/>
      <c r="R159" s="413"/>
      <c r="S159" s="413"/>
      <c r="T159" s="413"/>
    </row>
    <row r="160" spans="1:20" s="112" customFormat="1" ht="15.75" thickBot="1" x14ac:dyDescent="0.3">
      <c r="B160" s="360" t="e">
        <f>VALO_PERSO!#REF!</f>
        <v>#REF!</v>
      </c>
      <c r="C160" s="351" t="e">
        <f t="shared" si="0"/>
        <v>#REF!</v>
      </c>
      <c r="D160" s="351" t="e">
        <f>VALO_PERSO!#REF!</f>
        <v>#REF!</v>
      </c>
      <c r="E160" s="354" t="e">
        <f>VALO_PERSO!#REF!</f>
        <v>#REF!</v>
      </c>
      <c r="F160" s="355" t="e">
        <f>VALO_PERSO!#REF!</f>
        <v>#REF!</v>
      </c>
    </row>
    <row r="161" spans="1:36" s="112" customFormat="1" ht="15.75" thickBot="1" x14ac:dyDescent="0.3">
      <c r="B161" s="360" t="e">
        <f>VALO_PERSO!#REF!</f>
        <v>#REF!</v>
      </c>
      <c r="C161" s="351" t="e">
        <f t="shared" si="0"/>
        <v>#REF!</v>
      </c>
      <c r="D161" s="351" t="e">
        <f>VALO_PERSO!#REF!</f>
        <v>#REF!</v>
      </c>
      <c r="E161" s="354" t="e">
        <f>VALO_PERSO!#REF!</f>
        <v>#REF!</v>
      </c>
      <c r="F161" s="355" t="e">
        <f>VALO_PERSO!#REF!</f>
        <v>#REF!</v>
      </c>
    </row>
    <row r="162" spans="1:36" s="112" customFormat="1" ht="15.75" thickBot="1" x14ac:dyDescent="0.3">
      <c r="B162" s="360" t="e">
        <f>VALO_PERSO!#REF!</f>
        <v>#REF!</v>
      </c>
      <c r="C162" s="351" t="e">
        <f t="shared" si="0"/>
        <v>#REF!</v>
      </c>
      <c r="D162" s="351" t="e">
        <f>VALO_PERSO!#REF!</f>
        <v>#REF!</v>
      </c>
      <c r="E162" s="354" t="e">
        <f>VALO_PERSO!#REF!</f>
        <v>#REF!</v>
      </c>
      <c r="F162" s="355" t="e">
        <f>VALO_PERSO!#REF!</f>
        <v>#REF!</v>
      </c>
    </row>
    <row r="163" spans="1:36" s="112" customFormat="1" ht="15.75" thickBot="1" x14ac:dyDescent="0.3">
      <c r="B163" s="338"/>
      <c r="C163" s="417" t="s">
        <v>448</v>
      </c>
      <c r="D163" s="419"/>
      <c r="E163" s="361" t="e">
        <f>SUM(E105:E162)</f>
        <v>#REF!</v>
      </c>
      <c r="F163" s="362" t="e">
        <f>SUM(F105:F162)</f>
        <v>#REF!</v>
      </c>
    </row>
    <row r="164" spans="1:36" s="112" customFormat="1" x14ac:dyDescent="0.25">
      <c r="C164" s="350"/>
      <c r="D164" s="350"/>
      <c r="E164" s="350"/>
      <c r="F164" s="350"/>
      <c r="G164" s="350"/>
      <c r="H164" s="350"/>
    </row>
    <row r="165" spans="1:36" s="112" customFormat="1" ht="15.75" thickBot="1" x14ac:dyDescent="0.3">
      <c r="C165" s="350"/>
      <c r="D165" s="350"/>
      <c r="E165" s="350"/>
      <c r="F165" s="350"/>
      <c r="G165" s="350"/>
      <c r="H165" s="350"/>
    </row>
    <row r="166" spans="1:36" s="112" customFormat="1" ht="15.75" thickBot="1" x14ac:dyDescent="0.3">
      <c r="B166" s="338"/>
      <c r="C166" s="610" t="s">
        <v>740</v>
      </c>
      <c r="D166" s="611"/>
      <c r="E166" s="611"/>
      <c r="F166" s="611"/>
    </row>
    <row r="167" spans="1:36" s="112" customFormat="1" ht="36.75" thickBot="1" x14ac:dyDescent="0.3">
      <c r="B167" s="369" t="s">
        <v>366</v>
      </c>
      <c r="C167" s="356" t="s">
        <v>718</v>
      </c>
      <c r="D167" s="357" t="s">
        <v>719</v>
      </c>
      <c r="E167" s="357" t="s">
        <v>720</v>
      </c>
      <c r="F167" s="357" t="s">
        <v>721</v>
      </c>
      <c r="AI167" s="350"/>
      <c r="AJ167" s="350"/>
    </row>
    <row r="168" spans="1:36" s="112" customFormat="1" ht="15.75" thickBot="1" x14ac:dyDescent="0.3">
      <c r="A168" s="112" t="s">
        <v>815</v>
      </c>
      <c r="B168" s="360">
        <f>VALO_PERSO!F5</f>
        <v>1</v>
      </c>
      <c r="C168" s="351" t="str">
        <f t="shared" ref="C168" si="1">CONCATENATE(C43," ",D43)</f>
        <v>CIEREN Marion</v>
      </c>
      <c r="D168" s="351" t="str">
        <f>VALO_PERSO!I5</f>
        <v>Chef de Projet R&amp;D</v>
      </c>
      <c r="E168" s="351">
        <f>VALO_PERSO!Y5</f>
        <v>816</v>
      </c>
      <c r="F168" s="351">
        <f>VALO_PERSO!AO5</f>
        <v>33185.550671167279</v>
      </c>
      <c r="H168" s="112" t="s">
        <v>741</v>
      </c>
      <c r="AI168" s="350"/>
      <c r="AJ168" s="350"/>
    </row>
    <row r="169" spans="1:36" s="112" customFormat="1" ht="15.75" thickBot="1" x14ac:dyDescent="0.3">
      <c r="A169" s="112" t="s">
        <v>815</v>
      </c>
      <c r="B169" s="360" t="e">
        <f>VALO_PERSO!#REF!</f>
        <v>#REF!</v>
      </c>
      <c r="C169" s="351" t="e">
        <f t="shared" ref="C169" si="2">CONCATENATE(C45," ",D45)</f>
        <v>#REF!</v>
      </c>
      <c r="D169" s="351" t="e">
        <f>VALO_PERSO!#REF!</f>
        <v>#REF!</v>
      </c>
      <c r="E169" s="351" t="e">
        <f>VALO_PERSO!#REF!</f>
        <v>#REF!</v>
      </c>
      <c r="F169" s="351" t="e">
        <f>VALO_PERSO!#REF!</f>
        <v>#REF!</v>
      </c>
      <c r="H169" s="112" t="s">
        <v>741</v>
      </c>
      <c r="AI169" s="350"/>
      <c r="AJ169" s="350"/>
    </row>
    <row r="170" spans="1:36" s="112" customFormat="1" ht="15.75" thickBot="1" x14ac:dyDescent="0.3">
      <c r="A170" s="112" t="s">
        <v>815</v>
      </c>
      <c r="B170" s="360" t="e">
        <f>VALO_PERSO!#REF!</f>
        <v>#REF!</v>
      </c>
      <c r="C170" s="351" t="e">
        <f t="shared" ref="C170" si="3">CONCATENATE(C47," ",D47)</f>
        <v>#REF!</v>
      </c>
      <c r="D170" s="351" t="e">
        <f>VALO_PERSO!#REF!</f>
        <v>#REF!</v>
      </c>
      <c r="E170" s="351" t="e">
        <f>VALO_PERSO!#REF!</f>
        <v>#REF!</v>
      </c>
      <c r="F170" s="351" t="e">
        <f>VALO_PERSO!#REF!</f>
        <v>#REF!</v>
      </c>
      <c r="H170" s="112" t="s">
        <v>741</v>
      </c>
      <c r="AI170" s="350"/>
      <c r="AJ170" s="350"/>
    </row>
    <row r="171" spans="1:36" s="112" customFormat="1" ht="15.75" thickBot="1" x14ac:dyDescent="0.3">
      <c r="A171" s="112" t="s">
        <v>815</v>
      </c>
      <c r="B171" s="360">
        <f>VALO_PERSO!F6</f>
        <v>3</v>
      </c>
      <c r="C171" s="351" t="e">
        <f t="shared" ref="C171" si="4">CONCATENATE(C49," ",D49)</f>
        <v>#REF!</v>
      </c>
      <c r="D171" s="351" t="str">
        <f>VALO_PERSO!I6</f>
        <v>Ingénieur R&amp;D</v>
      </c>
      <c r="E171" s="351">
        <f>VALO_PERSO!Y6</f>
        <v>942</v>
      </c>
      <c r="F171" s="351">
        <f>VALO_PERSO!AO6</f>
        <v>22606.94610497238</v>
      </c>
      <c r="H171" s="112" t="s">
        <v>741</v>
      </c>
      <c r="AI171" s="350"/>
      <c r="AJ171" s="350"/>
    </row>
    <row r="172" spans="1:36" s="112" customFormat="1" ht="15.75" thickBot="1" x14ac:dyDescent="0.3">
      <c r="A172" s="112" t="s">
        <v>815</v>
      </c>
      <c r="B172" s="360" t="e">
        <f>VALO_PERSO!#REF!</f>
        <v>#REF!</v>
      </c>
      <c r="C172" s="351" t="e">
        <f t="shared" ref="C172" si="5">CONCATENATE(C87," ",D87)</f>
        <v>#REF!</v>
      </c>
      <c r="D172" s="351" t="e">
        <f>VALO_PERSO!#REF!</f>
        <v>#REF!</v>
      </c>
      <c r="E172" s="351" t="e">
        <f>VALO_PERSO!#REF!</f>
        <v>#REF!</v>
      </c>
      <c r="F172" s="351" t="e">
        <f>VALO_PERSO!#REF!</f>
        <v>#REF!</v>
      </c>
      <c r="H172" s="112" t="s">
        <v>741</v>
      </c>
      <c r="AI172" s="350"/>
      <c r="AJ172" s="350"/>
    </row>
    <row r="173" spans="1:36" s="112" customFormat="1" ht="15.75" thickBot="1" x14ac:dyDescent="0.3">
      <c r="A173" s="112" t="s">
        <v>815</v>
      </c>
      <c r="B173" s="360" t="e">
        <f>VALO_PERSO!#REF!</f>
        <v>#REF!</v>
      </c>
      <c r="C173" s="351" t="str">
        <f t="shared" ref="C173" si="6">CONCATENATE(C88," ",D88)</f>
        <v>JONDOT Keita</v>
      </c>
      <c r="D173" s="351" t="e">
        <f>VALO_PERSO!#REF!</f>
        <v>#REF!</v>
      </c>
      <c r="E173" s="351" t="e">
        <f>VALO_PERSO!#REF!</f>
        <v>#REF!</v>
      </c>
      <c r="F173" s="351" t="e">
        <f>VALO_PERSO!#REF!</f>
        <v>#REF!</v>
      </c>
      <c r="H173" s="112" t="s">
        <v>741</v>
      </c>
      <c r="AI173" s="350"/>
      <c r="AJ173" s="350"/>
    </row>
    <row r="174" spans="1:36" s="112" customFormat="1" ht="15.75" thickBot="1" x14ac:dyDescent="0.3">
      <c r="A174" s="112" t="s">
        <v>815</v>
      </c>
      <c r="B174" s="360" t="e">
        <f>VALO_PERSO!#REF!</f>
        <v>#REF!</v>
      </c>
      <c r="C174" s="351" t="str">
        <f t="shared" ref="C174" si="7">CONCATENATE(C88," ",D88)</f>
        <v>JONDOT Keita</v>
      </c>
      <c r="D174" s="351" t="e">
        <f>VALO_PERSO!#REF!</f>
        <v>#REF!</v>
      </c>
      <c r="E174" s="351" t="e">
        <f>VALO_PERSO!#REF!</f>
        <v>#REF!</v>
      </c>
      <c r="F174" s="351" t="e">
        <f>VALO_PERSO!#REF!</f>
        <v>#REF!</v>
      </c>
      <c r="H174" s="112" t="s">
        <v>741</v>
      </c>
      <c r="AI174" s="350"/>
      <c r="AJ174" s="350"/>
    </row>
    <row r="175" spans="1:36" s="112" customFormat="1" ht="15.75" thickBot="1" x14ac:dyDescent="0.3">
      <c r="A175" s="112" t="s">
        <v>815</v>
      </c>
      <c r="B175" s="360" t="e">
        <f>VALO_PERSO!#REF!</f>
        <v>#REF!</v>
      </c>
      <c r="C175" s="351" t="e">
        <f t="shared" ref="C175" si="8">CONCATENATE(C89," ",D89)</f>
        <v>#REF!</v>
      </c>
      <c r="D175" s="351" t="e">
        <f>VALO_PERSO!#REF!</f>
        <v>#REF!</v>
      </c>
      <c r="E175" s="351" t="e">
        <f>VALO_PERSO!#REF!</f>
        <v>#REF!</v>
      </c>
      <c r="F175" s="351" t="e">
        <f>VALO_PERSO!#REF!</f>
        <v>#REF!</v>
      </c>
      <c r="H175" s="112" t="s">
        <v>741</v>
      </c>
      <c r="AI175" s="350"/>
      <c r="AJ175" s="350"/>
    </row>
    <row r="176" spans="1:36" s="112" customFormat="1" ht="15.75" thickBot="1" x14ac:dyDescent="0.3">
      <c r="A176" s="112" t="s">
        <v>815</v>
      </c>
      <c r="B176" s="360" t="e">
        <f>VALO_PERSO!#REF!</f>
        <v>#REF!</v>
      </c>
      <c r="C176" s="351" t="e">
        <f t="shared" ref="C176" si="9">CONCATENATE(C87," ",D87)</f>
        <v>#REF!</v>
      </c>
      <c r="D176" s="351" t="e">
        <f>VALO_PERSO!#REF!</f>
        <v>#REF!</v>
      </c>
      <c r="E176" s="351" t="e">
        <f>VALO_PERSO!#REF!</f>
        <v>#REF!</v>
      </c>
      <c r="F176" s="351" t="e">
        <f>VALO_PERSO!#REF!</f>
        <v>#REF!</v>
      </c>
      <c r="H176" s="112" t="s">
        <v>741</v>
      </c>
      <c r="AI176" s="350"/>
      <c r="AJ176" s="350"/>
    </row>
    <row r="177" spans="1:36" s="112" customFormat="1" ht="15.75" thickBot="1" x14ac:dyDescent="0.3">
      <c r="A177" s="112" t="s">
        <v>815</v>
      </c>
      <c r="B177" s="360" t="e">
        <f>VALO_PERSO!#REF!</f>
        <v>#REF!</v>
      </c>
      <c r="C177" s="351" t="str">
        <f t="shared" ref="C177" si="10">CONCATENATE(C88," ",D88)</f>
        <v>JONDOT Keita</v>
      </c>
      <c r="D177" s="351" t="e">
        <f>VALO_PERSO!#REF!</f>
        <v>#REF!</v>
      </c>
      <c r="E177" s="351" t="e">
        <f>VALO_PERSO!#REF!</f>
        <v>#REF!</v>
      </c>
      <c r="F177" s="351" t="e">
        <f>VALO_PERSO!#REF!</f>
        <v>#REF!</v>
      </c>
      <c r="H177" s="112" t="s">
        <v>741</v>
      </c>
      <c r="AI177" s="350"/>
      <c r="AJ177" s="350"/>
    </row>
    <row r="178" spans="1:36" s="112" customFormat="1" ht="15.75" thickBot="1" x14ac:dyDescent="0.3">
      <c r="A178" s="112" t="s">
        <v>815</v>
      </c>
      <c r="B178" s="360" t="e">
        <f>VALO_PERSO!#REF!</f>
        <v>#REF!</v>
      </c>
      <c r="C178" s="351" t="str">
        <f t="shared" ref="C178" si="11">CONCATENATE(C88," ",D88)</f>
        <v>JONDOT Keita</v>
      </c>
      <c r="D178" s="351" t="e">
        <f>VALO_PERSO!#REF!</f>
        <v>#REF!</v>
      </c>
      <c r="E178" s="351" t="e">
        <f>VALO_PERSO!#REF!</f>
        <v>#REF!</v>
      </c>
      <c r="F178" s="351" t="e">
        <f>VALO_PERSO!#REF!</f>
        <v>#REF!</v>
      </c>
      <c r="H178" s="112" t="s">
        <v>741</v>
      </c>
      <c r="AI178" s="350"/>
      <c r="AJ178" s="350"/>
    </row>
    <row r="179" spans="1:36" s="112" customFormat="1" ht="15.75" thickBot="1" x14ac:dyDescent="0.3">
      <c r="A179" s="112" t="s">
        <v>815</v>
      </c>
      <c r="B179" s="360" t="e">
        <f>VALO_PERSO!#REF!</f>
        <v>#REF!</v>
      </c>
      <c r="C179" s="351" t="e">
        <f t="shared" ref="C179" si="12">CONCATENATE(C89," ",D89)</f>
        <v>#REF!</v>
      </c>
      <c r="D179" s="351" t="e">
        <f>VALO_PERSO!#REF!</f>
        <v>#REF!</v>
      </c>
      <c r="E179" s="351" t="e">
        <f>VALO_PERSO!#REF!</f>
        <v>#REF!</v>
      </c>
      <c r="F179" s="351" t="e">
        <f>VALO_PERSO!#REF!</f>
        <v>#REF!</v>
      </c>
      <c r="H179" s="112" t="s">
        <v>741</v>
      </c>
      <c r="AI179" s="350"/>
      <c r="AJ179" s="350"/>
    </row>
    <row r="180" spans="1:36" s="112" customFormat="1" ht="15.75" thickBot="1" x14ac:dyDescent="0.3">
      <c r="A180" s="112" t="s">
        <v>815</v>
      </c>
      <c r="B180" s="360" t="e">
        <f>VALO_PERSO!#REF!</f>
        <v>#REF!</v>
      </c>
      <c r="C180" s="351" t="e">
        <f t="shared" ref="C180" si="13">CONCATENATE(C87," ",D87)</f>
        <v>#REF!</v>
      </c>
      <c r="D180" s="351" t="e">
        <f>VALO_PERSO!#REF!</f>
        <v>#REF!</v>
      </c>
      <c r="E180" s="351" t="e">
        <f>VALO_PERSO!#REF!</f>
        <v>#REF!</v>
      </c>
      <c r="F180" s="351" t="e">
        <f>VALO_PERSO!#REF!</f>
        <v>#REF!</v>
      </c>
      <c r="H180" s="112" t="s">
        <v>741</v>
      </c>
      <c r="AI180" s="350"/>
      <c r="AJ180" s="350"/>
    </row>
    <row r="181" spans="1:36" s="112" customFormat="1" ht="15.75" thickBot="1" x14ac:dyDescent="0.3">
      <c r="A181" s="112" t="s">
        <v>815</v>
      </c>
      <c r="B181" s="360" t="e">
        <f>VALO_PERSO!#REF!</f>
        <v>#REF!</v>
      </c>
      <c r="C181" s="351" t="str">
        <f t="shared" ref="C181" si="14">CONCATENATE(C88," ",D88)</f>
        <v>JONDOT Keita</v>
      </c>
      <c r="D181" s="351" t="e">
        <f>VALO_PERSO!#REF!</f>
        <v>#REF!</v>
      </c>
      <c r="E181" s="351" t="e">
        <f>VALO_PERSO!#REF!</f>
        <v>#REF!</v>
      </c>
      <c r="F181" s="351" t="e">
        <f>VALO_PERSO!#REF!</f>
        <v>#REF!</v>
      </c>
      <c r="H181" s="112" t="s">
        <v>741</v>
      </c>
      <c r="AI181" s="350"/>
      <c r="AJ181" s="350"/>
    </row>
    <row r="182" spans="1:36" s="112" customFormat="1" ht="15.75" thickBot="1" x14ac:dyDescent="0.3">
      <c r="A182" s="112" t="s">
        <v>815</v>
      </c>
      <c r="B182" s="360" t="e">
        <f>VALO_PERSO!#REF!</f>
        <v>#REF!</v>
      </c>
      <c r="C182" s="351" t="str">
        <f t="shared" ref="C182" si="15">CONCATENATE(C88," ",D88)</f>
        <v>JONDOT Keita</v>
      </c>
      <c r="D182" s="351" t="e">
        <f>VALO_PERSO!#REF!</f>
        <v>#REF!</v>
      </c>
      <c r="E182" s="351" t="e">
        <f>VALO_PERSO!#REF!</f>
        <v>#REF!</v>
      </c>
      <c r="F182" s="351" t="e">
        <f>VALO_PERSO!#REF!</f>
        <v>#REF!</v>
      </c>
      <c r="H182" s="112" t="s">
        <v>741</v>
      </c>
      <c r="AI182" s="350"/>
      <c r="AJ182" s="350"/>
    </row>
    <row r="183" spans="1:36" s="112" customFormat="1" ht="15.75" thickBot="1" x14ac:dyDescent="0.3">
      <c r="A183" s="112" t="s">
        <v>815</v>
      </c>
      <c r="B183" s="360" t="e">
        <f>VALO_PERSO!#REF!</f>
        <v>#REF!</v>
      </c>
      <c r="C183" s="351" t="e">
        <f t="shared" ref="C183" si="16">CONCATENATE(C89," ",D89)</f>
        <v>#REF!</v>
      </c>
      <c r="D183" s="351" t="e">
        <f>VALO_PERSO!#REF!</f>
        <v>#REF!</v>
      </c>
      <c r="E183" s="351" t="e">
        <f>VALO_PERSO!#REF!</f>
        <v>#REF!</v>
      </c>
      <c r="F183" s="351" t="e">
        <f>VALO_PERSO!#REF!</f>
        <v>#REF!</v>
      </c>
      <c r="H183" s="112" t="s">
        <v>741</v>
      </c>
      <c r="AI183" s="350"/>
      <c r="AJ183" s="350"/>
    </row>
    <row r="184" spans="1:36" s="112" customFormat="1" ht="15.75" thickBot="1" x14ac:dyDescent="0.3">
      <c r="A184" s="112" t="s">
        <v>815</v>
      </c>
      <c r="B184" s="360" t="e">
        <f>VALO_PERSO!#REF!</f>
        <v>#REF!</v>
      </c>
      <c r="C184" s="351" t="e">
        <f t="shared" ref="C184" si="17">CONCATENATE(C87," ",D87)</f>
        <v>#REF!</v>
      </c>
      <c r="D184" s="351" t="e">
        <f>VALO_PERSO!#REF!</f>
        <v>#REF!</v>
      </c>
      <c r="E184" s="351" t="e">
        <f>VALO_PERSO!#REF!</f>
        <v>#REF!</v>
      </c>
      <c r="F184" s="351" t="e">
        <f>VALO_PERSO!#REF!</f>
        <v>#REF!</v>
      </c>
      <c r="H184" s="112" t="s">
        <v>741</v>
      </c>
      <c r="AI184" s="350"/>
      <c r="AJ184" s="350"/>
    </row>
    <row r="185" spans="1:36" s="112" customFormat="1" ht="15.75" thickBot="1" x14ac:dyDescent="0.3">
      <c r="A185" s="112" t="s">
        <v>815</v>
      </c>
      <c r="B185" s="360" t="e">
        <f>VALO_PERSO!#REF!</f>
        <v>#REF!</v>
      </c>
      <c r="C185" s="351" t="str">
        <f t="shared" ref="C185" si="18">CONCATENATE(C88," ",D88)</f>
        <v>JONDOT Keita</v>
      </c>
      <c r="D185" s="351" t="e">
        <f>VALO_PERSO!#REF!</f>
        <v>#REF!</v>
      </c>
      <c r="E185" s="351" t="e">
        <f>VALO_PERSO!#REF!</f>
        <v>#REF!</v>
      </c>
      <c r="F185" s="351" t="e">
        <f>VALO_PERSO!#REF!</f>
        <v>#REF!</v>
      </c>
      <c r="H185" s="112" t="s">
        <v>741</v>
      </c>
      <c r="AI185" s="350"/>
      <c r="AJ185" s="350"/>
    </row>
    <row r="186" spans="1:36" s="112" customFormat="1" ht="15.75" thickBot="1" x14ac:dyDescent="0.3">
      <c r="A186" s="112" t="s">
        <v>815</v>
      </c>
      <c r="B186" s="360" t="e">
        <f>VALO_PERSO!#REF!</f>
        <v>#REF!</v>
      </c>
      <c r="C186" s="351" t="str">
        <f t="shared" ref="C186" si="19">CONCATENATE(C88," ",D88)</f>
        <v>JONDOT Keita</v>
      </c>
      <c r="D186" s="351" t="e">
        <f>VALO_PERSO!#REF!</f>
        <v>#REF!</v>
      </c>
      <c r="E186" s="351" t="e">
        <f>VALO_PERSO!#REF!</f>
        <v>#REF!</v>
      </c>
      <c r="F186" s="351" t="e">
        <f>VALO_PERSO!#REF!</f>
        <v>#REF!</v>
      </c>
      <c r="H186" s="112" t="s">
        <v>741</v>
      </c>
      <c r="AI186" s="350"/>
      <c r="AJ186" s="350"/>
    </row>
    <row r="187" spans="1:36" s="112" customFormat="1" ht="15.75" thickBot="1" x14ac:dyDescent="0.3">
      <c r="A187" s="112" t="s">
        <v>815</v>
      </c>
      <c r="B187" s="360" t="e">
        <f>VALO_PERSO!#REF!</f>
        <v>#REF!</v>
      </c>
      <c r="C187" s="351" t="e">
        <f t="shared" ref="C187" si="20">CONCATENATE(C89," ",D89)</f>
        <v>#REF!</v>
      </c>
      <c r="D187" s="351" t="e">
        <f>VALO_PERSO!#REF!</f>
        <v>#REF!</v>
      </c>
      <c r="E187" s="351" t="e">
        <f>VALO_PERSO!#REF!</f>
        <v>#REF!</v>
      </c>
      <c r="F187" s="351" t="e">
        <f>VALO_PERSO!#REF!</f>
        <v>#REF!</v>
      </c>
      <c r="H187" s="112" t="s">
        <v>741</v>
      </c>
      <c r="AI187" s="350"/>
      <c r="AJ187" s="350"/>
    </row>
    <row r="188" spans="1:36" s="112" customFormat="1" ht="15.75" thickBot="1" x14ac:dyDescent="0.3">
      <c r="A188" s="112" t="s">
        <v>815</v>
      </c>
      <c r="B188" s="360" t="e">
        <f>VALO_PERSO!#REF!</f>
        <v>#REF!</v>
      </c>
      <c r="C188" s="351" t="e">
        <f t="shared" ref="C188" si="21">CONCATENATE(C87," ",D87)</f>
        <v>#REF!</v>
      </c>
      <c r="D188" s="351" t="e">
        <f>VALO_PERSO!#REF!</f>
        <v>#REF!</v>
      </c>
      <c r="E188" s="351" t="e">
        <f>VALO_PERSO!#REF!</f>
        <v>#REF!</v>
      </c>
      <c r="F188" s="351" t="e">
        <f>VALO_PERSO!#REF!</f>
        <v>#REF!</v>
      </c>
      <c r="H188" s="112" t="s">
        <v>741</v>
      </c>
      <c r="AI188" s="350"/>
      <c r="AJ188" s="350"/>
    </row>
    <row r="189" spans="1:36" s="112" customFormat="1" ht="15.75" thickBot="1" x14ac:dyDescent="0.3">
      <c r="A189" s="112" t="s">
        <v>815</v>
      </c>
      <c r="B189" s="360" t="e">
        <f>VALO_PERSO!#REF!</f>
        <v>#REF!</v>
      </c>
      <c r="C189" s="351" t="str">
        <f t="shared" ref="C189" si="22">CONCATENATE(C88," ",D88)</f>
        <v>JONDOT Keita</v>
      </c>
      <c r="D189" s="351" t="e">
        <f>VALO_PERSO!#REF!</f>
        <v>#REF!</v>
      </c>
      <c r="E189" s="351" t="e">
        <f>VALO_PERSO!#REF!</f>
        <v>#REF!</v>
      </c>
      <c r="F189" s="351" t="e">
        <f>VALO_PERSO!#REF!</f>
        <v>#REF!</v>
      </c>
      <c r="H189" s="112" t="s">
        <v>741</v>
      </c>
      <c r="AI189" s="350"/>
      <c r="AJ189" s="350"/>
    </row>
    <row r="190" spans="1:36" s="112" customFormat="1" ht="15.75" thickBot="1" x14ac:dyDescent="0.3">
      <c r="A190" s="112" t="s">
        <v>815</v>
      </c>
      <c r="B190" s="360" t="e">
        <f>VALO_PERSO!#REF!</f>
        <v>#REF!</v>
      </c>
      <c r="C190" s="351" t="str">
        <f t="shared" ref="C190" si="23">CONCATENATE(C88," ",D88)</f>
        <v>JONDOT Keita</v>
      </c>
      <c r="D190" s="351" t="e">
        <f>VALO_PERSO!#REF!</f>
        <v>#REF!</v>
      </c>
      <c r="E190" s="351" t="e">
        <f>VALO_PERSO!#REF!</f>
        <v>#REF!</v>
      </c>
      <c r="F190" s="351" t="e">
        <f>VALO_PERSO!#REF!</f>
        <v>#REF!</v>
      </c>
      <c r="H190" s="112" t="s">
        <v>741</v>
      </c>
      <c r="AI190" s="350"/>
      <c r="AJ190" s="350"/>
    </row>
    <row r="191" spans="1:36" s="112" customFormat="1" ht="15.75" thickBot="1" x14ac:dyDescent="0.3">
      <c r="A191" s="112" t="s">
        <v>815</v>
      </c>
      <c r="B191" s="360" t="e">
        <f>VALO_PERSO!#REF!</f>
        <v>#REF!</v>
      </c>
      <c r="C191" s="351" t="e">
        <f t="shared" ref="C191" si="24">CONCATENATE(C89," ",D89)</f>
        <v>#REF!</v>
      </c>
      <c r="D191" s="351" t="e">
        <f>VALO_PERSO!#REF!</f>
        <v>#REF!</v>
      </c>
      <c r="E191" s="351" t="e">
        <f>VALO_PERSO!#REF!</f>
        <v>#REF!</v>
      </c>
      <c r="F191" s="351" t="e">
        <f>VALO_PERSO!#REF!</f>
        <v>#REF!</v>
      </c>
      <c r="H191" s="112" t="s">
        <v>741</v>
      </c>
      <c r="AI191" s="350"/>
      <c r="AJ191" s="350"/>
    </row>
    <row r="192" spans="1:36" s="112" customFormat="1" ht="15.75" thickBot="1" x14ac:dyDescent="0.3">
      <c r="A192" s="112" t="s">
        <v>815</v>
      </c>
      <c r="B192" s="360" t="e">
        <f>VALO_PERSO!#REF!</f>
        <v>#REF!</v>
      </c>
      <c r="C192" s="351" t="e">
        <f t="shared" ref="C192" si="25">CONCATENATE(C87," ",D87)</f>
        <v>#REF!</v>
      </c>
      <c r="D192" s="351" t="e">
        <f>VALO_PERSO!#REF!</f>
        <v>#REF!</v>
      </c>
      <c r="E192" s="351" t="e">
        <f>VALO_PERSO!#REF!</f>
        <v>#REF!</v>
      </c>
      <c r="F192" s="351" t="e">
        <f>VALO_PERSO!#REF!</f>
        <v>#REF!</v>
      </c>
      <c r="H192" s="112" t="s">
        <v>741</v>
      </c>
      <c r="AI192" s="350"/>
      <c r="AJ192" s="350"/>
    </row>
    <row r="193" spans="1:36" s="112" customFormat="1" ht="15.75" thickBot="1" x14ac:dyDescent="0.3">
      <c r="A193" s="112" t="s">
        <v>815</v>
      </c>
      <c r="B193" s="360" t="e">
        <f>VALO_PERSO!#REF!</f>
        <v>#REF!</v>
      </c>
      <c r="C193" s="351" t="str">
        <f t="shared" ref="C193" si="26">CONCATENATE(C88," ",D88)</f>
        <v>JONDOT Keita</v>
      </c>
      <c r="D193" s="351" t="e">
        <f>VALO_PERSO!#REF!</f>
        <v>#REF!</v>
      </c>
      <c r="E193" s="351" t="e">
        <f>VALO_PERSO!#REF!</f>
        <v>#REF!</v>
      </c>
      <c r="F193" s="351" t="e">
        <f>VALO_PERSO!#REF!</f>
        <v>#REF!</v>
      </c>
      <c r="H193" s="112" t="s">
        <v>741</v>
      </c>
      <c r="AI193" s="350"/>
      <c r="AJ193" s="350"/>
    </row>
    <row r="194" spans="1:36" s="112" customFormat="1" ht="15.75" thickBot="1" x14ac:dyDescent="0.3">
      <c r="A194" s="112" t="s">
        <v>815</v>
      </c>
      <c r="B194" s="360" t="e">
        <f>VALO_PERSO!#REF!</f>
        <v>#REF!</v>
      </c>
      <c r="C194" s="351" t="str">
        <f t="shared" ref="C194" si="27">CONCATENATE(C88," ",D88)</f>
        <v>JONDOT Keita</v>
      </c>
      <c r="D194" s="351" t="e">
        <f>VALO_PERSO!#REF!</f>
        <v>#REF!</v>
      </c>
      <c r="E194" s="351" t="e">
        <f>VALO_PERSO!#REF!</f>
        <v>#REF!</v>
      </c>
      <c r="F194" s="351" t="e">
        <f>VALO_PERSO!#REF!</f>
        <v>#REF!</v>
      </c>
      <c r="H194" s="112" t="s">
        <v>741</v>
      </c>
      <c r="AI194" s="350"/>
      <c r="AJ194" s="350"/>
    </row>
    <row r="195" spans="1:36" s="112" customFormat="1" ht="15.75" thickBot="1" x14ac:dyDescent="0.3">
      <c r="A195" s="112" t="s">
        <v>815</v>
      </c>
      <c r="B195" s="360" t="e">
        <f>VALO_PERSO!#REF!</f>
        <v>#REF!</v>
      </c>
      <c r="C195" s="351" t="e">
        <f t="shared" ref="C195" si="28">CONCATENATE(C89," ",D89)</f>
        <v>#REF!</v>
      </c>
      <c r="D195" s="351" t="e">
        <f>VALO_PERSO!#REF!</f>
        <v>#REF!</v>
      </c>
      <c r="E195" s="351" t="e">
        <f>VALO_PERSO!#REF!</f>
        <v>#REF!</v>
      </c>
      <c r="F195" s="351" t="e">
        <f>VALO_PERSO!#REF!</f>
        <v>#REF!</v>
      </c>
      <c r="H195" s="112" t="s">
        <v>741</v>
      </c>
      <c r="AI195" s="350"/>
      <c r="AJ195" s="350"/>
    </row>
    <row r="196" spans="1:36" s="112" customFormat="1" ht="15.75" thickBot="1" x14ac:dyDescent="0.3">
      <c r="A196" s="112" t="s">
        <v>815</v>
      </c>
      <c r="B196" s="360" t="e">
        <f>VALO_PERSO!#REF!</f>
        <v>#REF!</v>
      </c>
      <c r="C196" s="351" t="e">
        <f t="shared" ref="C196" si="29">CONCATENATE(C87," ",D87)</f>
        <v>#REF!</v>
      </c>
      <c r="D196" s="351" t="e">
        <f>VALO_PERSO!#REF!</f>
        <v>#REF!</v>
      </c>
      <c r="E196" s="351" t="e">
        <f>VALO_PERSO!#REF!</f>
        <v>#REF!</v>
      </c>
      <c r="F196" s="351" t="e">
        <f>VALO_PERSO!#REF!</f>
        <v>#REF!</v>
      </c>
      <c r="H196" s="112" t="s">
        <v>741</v>
      </c>
      <c r="AI196" s="350"/>
      <c r="AJ196" s="350"/>
    </row>
    <row r="197" spans="1:36" s="112" customFormat="1" ht="15.75" thickBot="1" x14ac:dyDescent="0.3">
      <c r="A197" s="112" t="s">
        <v>815</v>
      </c>
      <c r="B197" s="360" t="e">
        <f>VALO_PERSO!#REF!</f>
        <v>#REF!</v>
      </c>
      <c r="C197" s="351" t="str">
        <f t="shared" ref="C197" si="30">CONCATENATE(C88," ",D88)</f>
        <v>JONDOT Keita</v>
      </c>
      <c r="D197" s="351" t="e">
        <f>VALO_PERSO!#REF!</f>
        <v>#REF!</v>
      </c>
      <c r="E197" s="351" t="e">
        <f>VALO_PERSO!#REF!</f>
        <v>#REF!</v>
      </c>
      <c r="F197" s="351" t="e">
        <f>VALO_PERSO!#REF!</f>
        <v>#REF!</v>
      </c>
      <c r="H197" s="112" t="s">
        <v>741</v>
      </c>
      <c r="AI197" s="350"/>
      <c r="AJ197" s="350"/>
    </row>
    <row r="198" spans="1:36" s="112" customFormat="1" ht="15.75" thickBot="1" x14ac:dyDescent="0.3">
      <c r="A198" s="112" t="s">
        <v>815</v>
      </c>
      <c r="B198" s="360" t="e">
        <f>VALO_PERSO!#REF!</f>
        <v>#REF!</v>
      </c>
      <c r="C198" s="351" t="str">
        <f t="shared" ref="C198" si="31">CONCATENATE(C88," ",D88)</f>
        <v>JONDOT Keita</v>
      </c>
      <c r="D198" s="351" t="e">
        <f>VALO_PERSO!#REF!</f>
        <v>#REF!</v>
      </c>
      <c r="E198" s="351" t="e">
        <f>VALO_PERSO!#REF!</f>
        <v>#REF!</v>
      </c>
      <c r="F198" s="351" t="e">
        <f>VALO_PERSO!#REF!</f>
        <v>#REF!</v>
      </c>
      <c r="H198" s="112" t="s">
        <v>741</v>
      </c>
      <c r="AI198" s="350"/>
      <c r="AJ198" s="350"/>
    </row>
    <row r="199" spans="1:36" s="112" customFormat="1" ht="15.75" thickBot="1" x14ac:dyDescent="0.3">
      <c r="A199" s="112" t="s">
        <v>815</v>
      </c>
      <c r="B199" s="360" t="e">
        <f>VALO_PERSO!#REF!</f>
        <v>#REF!</v>
      </c>
      <c r="C199" s="351" t="e">
        <f t="shared" ref="C199" si="32">CONCATENATE(C89," ",D89)</f>
        <v>#REF!</v>
      </c>
      <c r="D199" s="351" t="e">
        <f>VALO_PERSO!#REF!</f>
        <v>#REF!</v>
      </c>
      <c r="E199" s="351" t="e">
        <f>VALO_PERSO!#REF!</f>
        <v>#REF!</v>
      </c>
      <c r="F199" s="351" t="e">
        <f>VALO_PERSO!#REF!</f>
        <v>#REF!</v>
      </c>
      <c r="H199" s="112" t="s">
        <v>741</v>
      </c>
      <c r="AI199" s="350"/>
      <c r="AJ199" s="350"/>
    </row>
    <row r="200" spans="1:36" s="112" customFormat="1" ht="15.75" thickBot="1" x14ac:dyDescent="0.3">
      <c r="A200" s="112" t="s">
        <v>815</v>
      </c>
      <c r="B200" s="360" t="e">
        <f>VALO_PERSO!#REF!</f>
        <v>#REF!</v>
      </c>
      <c r="C200" s="351" t="e">
        <f t="shared" ref="C200" si="33">CONCATENATE(C87," ",D87)</f>
        <v>#REF!</v>
      </c>
      <c r="D200" s="351" t="e">
        <f>VALO_PERSO!#REF!</f>
        <v>#REF!</v>
      </c>
      <c r="E200" s="351" t="e">
        <f>VALO_PERSO!#REF!</f>
        <v>#REF!</v>
      </c>
      <c r="F200" s="351" t="e">
        <f>VALO_PERSO!#REF!</f>
        <v>#REF!</v>
      </c>
      <c r="H200" s="112" t="s">
        <v>741</v>
      </c>
      <c r="AI200" s="350"/>
      <c r="AJ200" s="350"/>
    </row>
    <row r="201" spans="1:36" s="112" customFormat="1" ht="15.75" thickBot="1" x14ac:dyDescent="0.3">
      <c r="A201" s="112" t="s">
        <v>815</v>
      </c>
      <c r="B201" s="360" t="e">
        <f>VALO_PERSO!#REF!</f>
        <v>#REF!</v>
      </c>
      <c r="C201" s="351" t="str">
        <f t="shared" ref="C201" si="34">CONCATENATE(C88," ",D88)</f>
        <v>JONDOT Keita</v>
      </c>
      <c r="D201" s="351" t="e">
        <f>VALO_PERSO!#REF!</f>
        <v>#REF!</v>
      </c>
      <c r="E201" s="351" t="e">
        <f>VALO_PERSO!#REF!</f>
        <v>#REF!</v>
      </c>
      <c r="F201" s="351" t="e">
        <f>VALO_PERSO!#REF!</f>
        <v>#REF!</v>
      </c>
      <c r="H201" s="112" t="s">
        <v>741</v>
      </c>
      <c r="AI201" s="350"/>
      <c r="AJ201" s="350"/>
    </row>
    <row r="202" spans="1:36" s="112" customFormat="1" ht="15.75" thickBot="1" x14ac:dyDescent="0.3">
      <c r="A202" s="112" t="s">
        <v>815</v>
      </c>
      <c r="B202" s="360" t="e">
        <f>VALO_PERSO!#REF!</f>
        <v>#REF!</v>
      </c>
      <c r="C202" s="351" t="str">
        <f t="shared" ref="C202" si="35">CONCATENATE(C88," ",D88)</f>
        <v>JONDOT Keita</v>
      </c>
      <c r="D202" s="351" t="e">
        <f>VALO_PERSO!#REF!</f>
        <v>#REF!</v>
      </c>
      <c r="E202" s="351" t="e">
        <f>VALO_PERSO!#REF!</f>
        <v>#REF!</v>
      </c>
      <c r="F202" s="351" t="e">
        <f>VALO_PERSO!#REF!</f>
        <v>#REF!</v>
      </c>
      <c r="H202" s="112" t="s">
        <v>741</v>
      </c>
      <c r="AI202" s="350"/>
      <c r="AJ202" s="350"/>
    </row>
    <row r="203" spans="1:36" s="112" customFormat="1" ht="15.75" thickBot="1" x14ac:dyDescent="0.3">
      <c r="A203" s="112" t="s">
        <v>815</v>
      </c>
      <c r="B203" s="360" t="e">
        <f>VALO_PERSO!#REF!</f>
        <v>#REF!</v>
      </c>
      <c r="C203" s="351" t="e">
        <f t="shared" ref="C203" si="36">CONCATENATE(C89," ",D89)</f>
        <v>#REF!</v>
      </c>
      <c r="D203" s="351" t="e">
        <f>VALO_PERSO!#REF!</f>
        <v>#REF!</v>
      </c>
      <c r="E203" s="351" t="e">
        <f>VALO_PERSO!#REF!</f>
        <v>#REF!</v>
      </c>
      <c r="F203" s="351" t="e">
        <f>VALO_PERSO!#REF!</f>
        <v>#REF!</v>
      </c>
      <c r="H203" s="112" t="s">
        <v>741</v>
      </c>
      <c r="AI203" s="350"/>
      <c r="AJ203" s="350"/>
    </row>
    <row r="204" spans="1:36" s="112" customFormat="1" ht="15.75" thickBot="1" x14ac:dyDescent="0.3">
      <c r="A204" s="112" t="s">
        <v>815</v>
      </c>
      <c r="B204" s="360" t="e">
        <f>VALO_PERSO!#REF!</f>
        <v>#REF!</v>
      </c>
      <c r="C204" s="351" t="e">
        <f t="shared" ref="C204" si="37">CONCATENATE(C87," ",D87)</f>
        <v>#REF!</v>
      </c>
      <c r="D204" s="351" t="e">
        <f>VALO_PERSO!#REF!</f>
        <v>#REF!</v>
      </c>
      <c r="E204" s="351" t="e">
        <f>VALO_PERSO!#REF!</f>
        <v>#REF!</v>
      </c>
      <c r="F204" s="351" t="e">
        <f>VALO_PERSO!#REF!</f>
        <v>#REF!</v>
      </c>
      <c r="H204" s="112" t="s">
        <v>741</v>
      </c>
      <c r="AI204" s="350"/>
      <c r="AJ204" s="350"/>
    </row>
    <row r="205" spans="1:36" s="112" customFormat="1" ht="15.75" thickBot="1" x14ac:dyDescent="0.3">
      <c r="A205" s="112" t="s">
        <v>815</v>
      </c>
      <c r="B205" s="360" t="e">
        <f>VALO_PERSO!#REF!</f>
        <v>#REF!</v>
      </c>
      <c r="C205" s="351" t="str">
        <f t="shared" ref="C205" si="38">CONCATENATE(C88," ",D88)</f>
        <v>JONDOT Keita</v>
      </c>
      <c r="D205" s="351" t="e">
        <f>VALO_PERSO!#REF!</f>
        <v>#REF!</v>
      </c>
      <c r="E205" s="351" t="e">
        <f>VALO_PERSO!#REF!</f>
        <v>#REF!</v>
      </c>
      <c r="F205" s="351" t="e">
        <f>VALO_PERSO!#REF!</f>
        <v>#REF!</v>
      </c>
      <c r="H205" s="112" t="s">
        <v>741</v>
      </c>
      <c r="AI205" s="350"/>
      <c r="AJ205" s="350"/>
    </row>
    <row r="206" spans="1:36" s="112" customFormat="1" ht="15.75" thickBot="1" x14ac:dyDescent="0.3">
      <c r="A206" s="112" t="s">
        <v>815</v>
      </c>
      <c r="B206" s="360" t="e">
        <f>VALO_PERSO!#REF!</f>
        <v>#REF!</v>
      </c>
      <c r="C206" s="351" t="str">
        <f t="shared" ref="C206" si="39">CONCATENATE(C88," ",D88)</f>
        <v>JONDOT Keita</v>
      </c>
      <c r="D206" s="351" t="e">
        <f>VALO_PERSO!#REF!</f>
        <v>#REF!</v>
      </c>
      <c r="E206" s="351" t="e">
        <f>VALO_PERSO!#REF!</f>
        <v>#REF!</v>
      </c>
      <c r="F206" s="351" t="e">
        <f>VALO_PERSO!#REF!</f>
        <v>#REF!</v>
      </c>
      <c r="H206" s="112" t="s">
        <v>741</v>
      </c>
      <c r="AI206" s="350"/>
      <c r="AJ206" s="350"/>
    </row>
    <row r="207" spans="1:36" s="112" customFormat="1" ht="15.75" thickBot="1" x14ac:dyDescent="0.3">
      <c r="A207" s="112" t="s">
        <v>815</v>
      </c>
      <c r="B207" s="360" t="e">
        <f>VALO_PERSO!#REF!</f>
        <v>#REF!</v>
      </c>
      <c r="C207" s="351" t="e">
        <f t="shared" ref="C207" si="40">CONCATENATE(C89," ",D89)</f>
        <v>#REF!</v>
      </c>
      <c r="D207" s="351" t="e">
        <f>VALO_PERSO!#REF!</f>
        <v>#REF!</v>
      </c>
      <c r="E207" s="351" t="e">
        <f>VALO_PERSO!#REF!</f>
        <v>#REF!</v>
      </c>
      <c r="F207" s="351" t="e">
        <f>VALO_PERSO!#REF!</f>
        <v>#REF!</v>
      </c>
      <c r="H207" s="112" t="s">
        <v>741</v>
      </c>
      <c r="AI207" s="350"/>
      <c r="AJ207" s="350"/>
    </row>
    <row r="208" spans="1:36" s="112" customFormat="1" ht="15.75" thickBot="1" x14ac:dyDescent="0.3">
      <c r="A208" s="112" t="s">
        <v>815</v>
      </c>
      <c r="B208" s="360" t="e">
        <f>VALO_PERSO!#REF!</f>
        <v>#REF!</v>
      </c>
      <c r="C208" s="351" t="e">
        <f t="shared" ref="C208" si="41">CONCATENATE(C87," ",D87)</f>
        <v>#REF!</v>
      </c>
      <c r="D208" s="351" t="e">
        <f>VALO_PERSO!#REF!</f>
        <v>#REF!</v>
      </c>
      <c r="E208" s="351" t="e">
        <f>VALO_PERSO!#REF!</f>
        <v>#REF!</v>
      </c>
      <c r="F208" s="351" t="e">
        <f>VALO_PERSO!#REF!</f>
        <v>#REF!</v>
      </c>
      <c r="H208" s="112" t="s">
        <v>741</v>
      </c>
      <c r="AI208" s="350"/>
      <c r="AJ208" s="350"/>
    </row>
    <row r="209" spans="1:36" s="112" customFormat="1" ht="15.75" thickBot="1" x14ac:dyDescent="0.3">
      <c r="A209" s="112" t="s">
        <v>815</v>
      </c>
      <c r="B209" s="360" t="e">
        <f>VALO_PERSO!#REF!</f>
        <v>#REF!</v>
      </c>
      <c r="C209" s="351" t="str">
        <f t="shared" ref="C209" si="42">CONCATENATE(C88," ",D88)</f>
        <v>JONDOT Keita</v>
      </c>
      <c r="D209" s="351" t="e">
        <f>VALO_PERSO!#REF!</f>
        <v>#REF!</v>
      </c>
      <c r="E209" s="351" t="e">
        <f>VALO_PERSO!#REF!</f>
        <v>#REF!</v>
      </c>
      <c r="F209" s="351" t="e">
        <f>VALO_PERSO!#REF!</f>
        <v>#REF!</v>
      </c>
      <c r="H209" s="112" t="s">
        <v>741</v>
      </c>
      <c r="AI209" s="350"/>
      <c r="AJ209" s="350"/>
    </row>
    <row r="210" spans="1:36" s="112" customFormat="1" ht="15.75" thickBot="1" x14ac:dyDescent="0.3">
      <c r="A210" s="112" t="s">
        <v>815</v>
      </c>
      <c r="B210" s="360" t="e">
        <f>VALO_PERSO!#REF!</f>
        <v>#REF!</v>
      </c>
      <c r="C210" s="351" t="str">
        <f t="shared" ref="C210" si="43">CONCATENATE(C88," ",D88)</f>
        <v>JONDOT Keita</v>
      </c>
      <c r="D210" s="351" t="e">
        <f>VALO_PERSO!#REF!</f>
        <v>#REF!</v>
      </c>
      <c r="E210" s="351" t="e">
        <f>VALO_PERSO!#REF!</f>
        <v>#REF!</v>
      </c>
      <c r="F210" s="351" t="e">
        <f>VALO_PERSO!#REF!</f>
        <v>#REF!</v>
      </c>
      <c r="H210" s="112" t="s">
        <v>741</v>
      </c>
      <c r="AI210" s="350"/>
      <c r="AJ210" s="350"/>
    </row>
    <row r="211" spans="1:36" s="112" customFormat="1" ht="15.75" thickBot="1" x14ac:dyDescent="0.3">
      <c r="A211" s="112" t="s">
        <v>815</v>
      </c>
      <c r="B211" s="360" t="e">
        <f>VALO_PERSO!#REF!</f>
        <v>#REF!</v>
      </c>
      <c r="C211" s="351" t="e">
        <f t="shared" ref="C211" si="44">CONCATENATE(C89," ",D89)</f>
        <v>#REF!</v>
      </c>
      <c r="D211" s="351" t="e">
        <f>VALO_PERSO!#REF!</f>
        <v>#REF!</v>
      </c>
      <c r="E211" s="351" t="e">
        <f>VALO_PERSO!#REF!</f>
        <v>#REF!</v>
      </c>
      <c r="F211" s="351" t="e">
        <f>VALO_PERSO!#REF!</f>
        <v>#REF!</v>
      </c>
      <c r="H211" s="112" t="s">
        <v>741</v>
      </c>
      <c r="AI211" s="350"/>
      <c r="AJ211" s="350"/>
    </row>
    <row r="212" spans="1:36" s="112" customFormat="1" ht="15.75" thickBot="1" x14ac:dyDescent="0.3">
      <c r="B212" s="360" t="e">
        <f>VALO_PERSO!#REF!</f>
        <v>#REF!</v>
      </c>
      <c r="C212" s="351" t="e">
        <f t="shared" ref="C212:C225" si="45">CONCATENATE(C87," ",D87)</f>
        <v>#REF!</v>
      </c>
      <c r="D212" s="351" t="e">
        <f>VALO_PERSO!#REF!</f>
        <v>#REF!</v>
      </c>
      <c r="E212" s="351" t="e">
        <f>VALO_PERSO!#REF!</f>
        <v>#REF!</v>
      </c>
      <c r="F212" s="351" t="e">
        <f>VALO_PERSO!#REF!</f>
        <v>#REF!</v>
      </c>
      <c r="H212" s="112" t="s">
        <v>742</v>
      </c>
      <c r="AI212" s="350"/>
      <c r="AJ212" s="350"/>
    </row>
    <row r="213" spans="1:36" s="112" customFormat="1" ht="15.75" thickBot="1" x14ac:dyDescent="0.3">
      <c r="B213" s="360">
        <f>VALO_PERSO!F6</f>
        <v>3</v>
      </c>
      <c r="C213" s="351" t="str">
        <f t="shared" si="45"/>
        <v>JONDOT Keita</v>
      </c>
      <c r="D213" s="351" t="str">
        <f>VALO_PERSO!I6</f>
        <v>Ingénieur R&amp;D</v>
      </c>
      <c r="E213" s="351">
        <f>VALO_PERSO!Y6</f>
        <v>942</v>
      </c>
      <c r="F213" s="351">
        <f>VALO_PERSO!AO6</f>
        <v>22606.94610497238</v>
      </c>
    </row>
    <row r="214" spans="1:36" s="112" customFormat="1" ht="15.75" thickBot="1" x14ac:dyDescent="0.3">
      <c r="B214" s="360" t="e">
        <f>VALO_PERSO!#REF!</f>
        <v>#REF!</v>
      </c>
      <c r="C214" s="351" t="e">
        <f t="shared" si="45"/>
        <v>#REF!</v>
      </c>
      <c r="D214" s="351" t="e">
        <f>VALO_PERSO!#REF!</f>
        <v>#REF!</v>
      </c>
      <c r="E214" s="351" t="e">
        <f>VALO_PERSO!#REF!</f>
        <v>#REF!</v>
      </c>
      <c r="F214" s="351" t="e">
        <f>VALO_PERSO!#REF!</f>
        <v>#REF!</v>
      </c>
    </row>
    <row r="215" spans="1:36" s="112" customFormat="1" ht="15.75" thickBot="1" x14ac:dyDescent="0.3">
      <c r="B215" s="360" t="e">
        <f>VALO_PERSO!#REF!</f>
        <v>#REF!</v>
      </c>
      <c r="C215" s="351" t="e">
        <f t="shared" si="45"/>
        <v>#REF!</v>
      </c>
      <c r="D215" s="351" t="e">
        <f>VALO_PERSO!#REF!</f>
        <v>#REF!</v>
      </c>
      <c r="E215" s="351" t="e">
        <f>VALO_PERSO!#REF!</f>
        <v>#REF!</v>
      </c>
      <c r="F215" s="351" t="e">
        <f>VALO_PERSO!#REF!</f>
        <v>#REF!</v>
      </c>
    </row>
    <row r="216" spans="1:36" s="112" customFormat="1" ht="15.75" thickBot="1" x14ac:dyDescent="0.3">
      <c r="B216" s="360" t="e">
        <f>VALO_PERSO!#REF!</f>
        <v>#REF!</v>
      </c>
      <c r="C216" s="351" t="e">
        <f t="shared" si="45"/>
        <v>#REF!</v>
      </c>
      <c r="D216" s="351" t="e">
        <f>VALO_PERSO!#REF!</f>
        <v>#REF!</v>
      </c>
      <c r="E216" s="351" t="e">
        <f>VALO_PERSO!#REF!</f>
        <v>#REF!</v>
      </c>
      <c r="F216" s="351" t="e">
        <f>VALO_PERSO!#REF!</f>
        <v>#REF!</v>
      </c>
    </row>
    <row r="217" spans="1:36" s="112" customFormat="1" ht="15.75" thickBot="1" x14ac:dyDescent="0.3">
      <c r="B217" s="360" t="e">
        <f>VALO_PERSO!#REF!</f>
        <v>#REF!</v>
      </c>
      <c r="C217" s="351" t="e">
        <f t="shared" si="45"/>
        <v>#REF!</v>
      </c>
      <c r="D217" s="351" t="e">
        <f>VALO_PERSO!#REF!</f>
        <v>#REF!</v>
      </c>
      <c r="E217" s="351" t="e">
        <f>VALO_PERSO!#REF!</f>
        <v>#REF!</v>
      </c>
      <c r="F217" s="351" t="e">
        <f>VALO_PERSO!#REF!</f>
        <v>#REF!</v>
      </c>
    </row>
    <row r="218" spans="1:36" s="112" customFormat="1" ht="15.75" thickBot="1" x14ac:dyDescent="0.3">
      <c r="B218" s="360" t="e">
        <f>VALO_PERSO!#REF!</f>
        <v>#REF!</v>
      </c>
      <c r="C218" s="351" t="e">
        <f t="shared" si="45"/>
        <v>#REF!</v>
      </c>
      <c r="D218" s="351" t="e">
        <f>VALO_PERSO!#REF!</f>
        <v>#REF!</v>
      </c>
      <c r="E218" s="351" t="e">
        <f>VALO_PERSO!#REF!</f>
        <v>#REF!</v>
      </c>
      <c r="F218" s="351" t="e">
        <f>VALO_PERSO!#REF!</f>
        <v>#REF!</v>
      </c>
    </row>
    <row r="219" spans="1:36" s="112" customFormat="1" ht="15.75" thickBot="1" x14ac:dyDescent="0.3">
      <c r="B219" s="360" t="e">
        <f>VALO_PERSO!#REF!</f>
        <v>#REF!</v>
      </c>
      <c r="C219" s="351" t="e">
        <f t="shared" si="45"/>
        <v>#REF!</v>
      </c>
      <c r="D219" s="351" t="e">
        <f>VALO_PERSO!#REF!</f>
        <v>#REF!</v>
      </c>
      <c r="E219" s="351" t="e">
        <f>VALO_PERSO!#REF!</f>
        <v>#REF!</v>
      </c>
      <c r="F219" s="351" t="e">
        <f>VALO_PERSO!#REF!</f>
        <v>#REF!</v>
      </c>
    </row>
    <row r="220" spans="1:36" s="112" customFormat="1" ht="15.75" thickBot="1" x14ac:dyDescent="0.3">
      <c r="B220" s="360" t="e">
        <f>VALO_PERSO!#REF!</f>
        <v>#REF!</v>
      </c>
      <c r="C220" s="351" t="e">
        <f t="shared" si="45"/>
        <v>#REF!</v>
      </c>
      <c r="D220" s="351" t="e">
        <f>VALO_PERSO!#REF!</f>
        <v>#REF!</v>
      </c>
      <c r="E220" s="351" t="e">
        <f>VALO_PERSO!#REF!</f>
        <v>#REF!</v>
      </c>
      <c r="F220" s="351" t="e">
        <f>VALO_PERSO!#REF!</f>
        <v>#REF!</v>
      </c>
    </row>
    <row r="221" spans="1:36" s="112" customFormat="1" ht="15.75" thickBot="1" x14ac:dyDescent="0.3">
      <c r="B221" s="360" t="e">
        <f>VALO_PERSO!#REF!</f>
        <v>#REF!</v>
      </c>
      <c r="C221" s="351" t="e">
        <f t="shared" si="45"/>
        <v>#REF!</v>
      </c>
      <c r="D221" s="351" t="e">
        <f>VALO_PERSO!#REF!</f>
        <v>#REF!</v>
      </c>
      <c r="E221" s="351" t="e">
        <f>VALO_PERSO!#REF!</f>
        <v>#REF!</v>
      </c>
      <c r="F221" s="351" t="e">
        <f>VALO_PERSO!#REF!</f>
        <v>#REF!</v>
      </c>
    </row>
    <row r="222" spans="1:36" s="112" customFormat="1" ht="15.75" thickBot="1" x14ac:dyDescent="0.3">
      <c r="B222" s="360" t="e">
        <f>VALO_PERSO!#REF!</f>
        <v>#REF!</v>
      </c>
      <c r="C222" s="351" t="e">
        <f t="shared" si="45"/>
        <v>#REF!</v>
      </c>
      <c r="D222" s="351" t="e">
        <f>VALO_PERSO!#REF!</f>
        <v>#REF!</v>
      </c>
      <c r="E222" s="351" t="e">
        <f>VALO_PERSO!#REF!</f>
        <v>#REF!</v>
      </c>
      <c r="F222" s="351" t="e">
        <f>VALO_PERSO!#REF!</f>
        <v>#REF!</v>
      </c>
    </row>
    <row r="223" spans="1:36" s="112" customFormat="1" ht="15.75" thickBot="1" x14ac:dyDescent="0.3">
      <c r="B223" s="360" t="e">
        <f>VALO_PERSO!#REF!</f>
        <v>#REF!</v>
      </c>
      <c r="C223" s="351" t="e">
        <f t="shared" si="45"/>
        <v>#REF!</v>
      </c>
      <c r="D223" s="351" t="e">
        <f>VALO_PERSO!#REF!</f>
        <v>#REF!</v>
      </c>
      <c r="E223" s="351" t="e">
        <f>VALO_PERSO!#REF!</f>
        <v>#REF!</v>
      </c>
      <c r="F223" s="351" t="e">
        <f>VALO_PERSO!#REF!</f>
        <v>#REF!</v>
      </c>
    </row>
    <row r="224" spans="1:36" s="112" customFormat="1" ht="15.75" thickBot="1" x14ac:dyDescent="0.3">
      <c r="B224" s="360" t="e">
        <f>VALO_PERSO!#REF!</f>
        <v>#REF!</v>
      </c>
      <c r="C224" s="351" t="e">
        <f t="shared" si="45"/>
        <v>#REF!</v>
      </c>
      <c r="D224" s="351" t="e">
        <f>VALO_PERSO!#REF!</f>
        <v>#REF!</v>
      </c>
      <c r="E224" s="351" t="e">
        <f>VALO_PERSO!#REF!</f>
        <v>#REF!</v>
      </c>
      <c r="F224" s="351" t="e">
        <f>VALO_PERSO!#REF!</f>
        <v>#REF!</v>
      </c>
    </row>
    <row r="225" spans="1:45" s="112" customFormat="1" ht="15.75" thickBot="1" x14ac:dyDescent="0.3">
      <c r="B225" s="360" t="e">
        <f>VALO_PERSO!#REF!</f>
        <v>#REF!</v>
      </c>
      <c r="C225" s="351" t="e">
        <f t="shared" si="45"/>
        <v>#REF!</v>
      </c>
      <c r="D225" s="351" t="e">
        <f>VALO_PERSO!#REF!</f>
        <v>#REF!</v>
      </c>
      <c r="E225" s="351" t="e">
        <f>VALO_PERSO!#REF!</f>
        <v>#REF!</v>
      </c>
      <c r="F225" s="351" t="e">
        <f>VALO_PERSO!#REF!</f>
        <v>#REF!</v>
      </c>
    </row>
    <row r="226" spans="1:45" s="112" customFormat="1" ht="15.75" thickBot="1" x14ac:dyDescent="0.3">
      <c r="B226" s="338"/>
      <c r="C226" s="594" t="s">
        <v>448</v>
      </c>
      <c r="D226" s="595"/>
      <c r="E226" s="358" t="e">
        <f>SUM(E168:E225)</f>
        <v>#REF!</v>
      </c>
      <c r="F226" s="358" t="e">
        <f>SUM(F168:F225)</f>
        <v>#REF!</v>
      </c>
    </row>
    <row r="227" spans="1:45" s="112" customFormat="1" x14ac:dyDescent="0.25"/>
    <row r="228" spans="1:45" s="112" customFormat="1" ht="15.75" thickBot="1" x14ac:dyDescent="0.3">
      <c r="AS228" s="307"/>
    </row>
    <row r="229" spans="1:45" s="112" customFormat="1" ht="15.75" thickBot="1" x14ac:dyDescent="0.3">
      <c r="B229" s="382" t="s">
        <v>366</v>
      </c>
      <c r="C229" s="382" t="s">
        <v>718</v>
      </c>
      <c r="D229" s="382" t="s">
        <v>757</v>
      </c>
      <c r="E229" s="382" t="s">
        <v>758</v>
      </c>
      <c r="F229" s="382" t="s">
        <v>478</v>
      </c>
      <c r="G229" s="382" t="s">
        <v>759</v>
      </c>
      <c r="H229" s="382" t="s">
        <v>760</v>
      </c>
      <c r="I229" s="382" t="s">
        <v>759</v>
      </c>
      <c r="J229" s="382" t="s">
        <v>761</v>
      </c>
      <c r="K229" s="382" t="s">
        <v>762</v>
      </c>
      <c r="L229" s="382" t="s">
        <v>763</v>
      </c>
      <c r="M229" s="382" t="s">
        <v>764</v>
      </c>
      <c r="N229" s="382" t="s">
        <v>765</v>
      </c>
      <c r="O229" s="382" t="s">
        <v>766</v>
      </c>
      <c r="P229" s="382" t="s">
        <v>767</v>
      </c>
      <c r="Q229" s="382" t="s">
        <v>768</v>
      </c>
      <c r="R229" s="382" t="s">
        <v>769</v>
      </c>
      <c r="S229" s="382" t="s">
        <v>464</v>
      </c>
      <c r="T229" s="382" t="s">
        <v>721</v>
      </c>
      <c r="AS229" s="415"/>
    </row>
    <row r="230" spans="1:45" s="112" customFormat="1" ht="24.75" thickBot="1" x14ac:dyDescent="0.3">
      <c r="A230" s="112" t="s">
        <v>815</v>
      </c>
      <c r="B230" s="363">
        <f>VALO_PERSO!F5</f>
        <v>1</v>
      </c>
      <c r="C230" s="363" t="str">
        <f t="shared" ref="C230" si="46">CONCATENATE(C43," ",D43)</f>
        <v>CIEREN Marion</v>
      </c>
      <c r="D230" s="363" t="str">
        <f>VALO_PERSO!I5</f>
        <v>Chef de Projet R&amp;D</v>
      </c>
      <c r="E230" s="363" t="str">
        <f>VALO_PERSO!J5</f>
        <v>UPMC Sorbonne + Doctorat</v>
      </c>
      <c r="F230" s="364">
        <f>VALO_PERSO!M5</f>
        <v>45257</v>
      </c>
      <c r="G230" s="364">
        <f t="shared" ref="G230:G270" si="47">IF(F230&lt;DATE(2024,1,1),DATE(2024,1,1),F230)</f>
        <v>45292</v>
      </c>
      <c r="H230" s="364">
        <f>VALO_PERSO!N5</f>
        <v>0</v>
      </c>
      <c r="I230" s="364">
        <f t="shared" ref="I230:I270" si="48">IF(OR(ISBLANK(H230),H230=0),DATE(2024,12,31),H230)</f>
        <v>45657</v>
      </c>
      <c r="J230" s="363">
        <f t="shared" ref="J230:J270" si="49">I230-G230</f>
        <v>365</v>
      </c>
      <c r="K230" s="363">
        <f t="shared" ref="K230:K270" si="50">((J230/365)*12)/12</f>
        <v>1</v>
      </c>
      <c r="L230" s="363"/>
      <c r="M230" s="363">
        <f>VALO_PERSO!W5</f>
        <v>1019.12</v>
      </c>
      <c r="N230" s="383">
        <f t="shared" ref="N230:N270" si="51">S230/M230</f>
        <v>0.96553889630269252</v>
      </c>
      <c r="O230" s="384">
        <f t="shared" ref="O230:O274" si="52">P230/12</f>
        <v>2945.4341666666664</v>
      </c>
      <c r="P230" s="367">
        <f>VALO_PERSO!P5</f>
        <v>35345.21</v>
      </c>
      <c r="Q230" s="367">
        <f>VALO_PERSO!V5</f>
        <v>41446.15</v>
      </c>
      <c r="R230" s="367">
        <f>VALO_PERSO!X5</f>
        <v>40.668566998979514</v>
      </c>
      <c r="S230" s="385">
        <f>VALO_PERSO!W5-VALO_PERSO!BB5</f>
        <v>984</v>
      </c>
      <c r="T230" s="367">
        <f t="shared" ref="T230:T270" si="53">S230*R230</f>
        <v>40017.869926995845</v>
      </c>
    </row>
    <row r="231" spans="1:45" s="112" customFormat="1" ht="15.75" thickBot="1" x14ac:dyDescent="0.3">
      <c r="A231" s="112" t="s">
        <v>815</v>
      </c>
      <c r="B231" s="363" t="e">
        <f>VALO_PERSO!#REF!</f>
        <v>#REF!</v>
      </c>
      <c r="C231" s="363" t="e">
        <f t="shared" ref="C231" si="54">CONCATENATE(C45," ",D45)</f>
        <v>#REF!</v>
      </c>
      <c r="D231" s="363" t="e">
        <f>VALO_PERSO!#REF!</f>
        <v>#REF!</v>
      </c>
      <c r="E231" s="363" t="e">
        <f>VALO_PERSO!#REF!</f>
        <v>#REF!</v>
      </c>
      <c r="F231" s="364" t="e">
        <f>VALO_PERSO!#REF!</f>
        <v>#REF!</v>
      </c>
      <c r="G231" s="364" t="e">
        <f t="shared" ref="G231" si="55">IF(F231&lt;DATE(2024,1,1),DATE(2024,1,1),F231)</f>
        <v>#REF!</v>
      </c>
      <c r="H231" s="364" t="e">
        <f>VALO_PERSO!#REF!</f>
        <v>#REF!</v>
      </c>
      <c r="I231" s="364" t="e">
        <f t="shared" ref="I231" si="56">IF(OR(ISBLANK(H231),H231=0),DATE(2024,12,31),H231)</f>
        <v>#REF!</v>
      </c>
      <c r="J231" s="363" t="e">
        <f t="shared" ref="J231" si="57">I231-G231</f>
        <v>#REF!</v>
      </c>
      <c r="K231" s="363" t="e">
        <f t="shared" ref="K231" si="58">((J231/365)*12)/12</f>
        <v>#REF!</v>
      </c>
      <c r="L231" s="363"/>
      <c r="M231" s="363" t="e">
        <f>VALO_PERSO!#REF!</f>
        <v>#REF!</v>
      </c>
      <c r="N231" s="383" t="e">
        <f t="shared" ref="N231" si="59">S231/M231</f>
        <v>#REF!</v>
      </c>
      <c r="O231" s="384" t="e">
        <f t="shared" ref="O231" si="60">P231/12</f>
        <v>#REF!</v>
      </c>
      <c r="P231" s="367" t="e">
        <f>VALO_PERSO!#REF!</f>
        <v>#REF!</v>
      </c>
      <c r="Q231" s="367" t="e">
        <f>VALO_PERSO!#REF!</f>
        <v>#REF!</v>
      </c>
      <c r="R231" s="367" t="e">
        <f>VALO_PERSO!#REF!</f>
        <v>#REF!</v>
      </c>
      <c r="S231" s="385" t="e">
        <f>VALO_PERSO!#REF!-VALO_PERSO!#REF!</f>
        <v>#REF!</v>
      </c>
      <c r="T231" s="367" t="e">
        <f t="shared" ref="T231" si="61">S231*R231</f>
        <v>#REF!</v>
      </c>
    </row>
    <row r="232" spans="1:45" s="112" customFormat="1" ht="15.75" thickBot="1" x14ac:dyDescent="0.3">
      <c r="A232" s="112" t="s">
        <v>815</v>
      </c>
      <c r="B232" s="363" t="e">
        <f>VALO_PERSO!#REF!</f>
        <v>#REF!</v>
      </c>
      <c r="C232" s="363" t="e">
        <f t="shared" ref="C232" si="62">CONCATENATE(C47," ",D47)</f>
        <v>#REF!</v>
      </c>
      <c r="D232" s="363" t="e">
        <f>VALO_PERSO!#REF!</f>
        <v>#REF!</v>
      </c>
      <c r="E232" s="363" t="e">
        <f>VALO_PERSO!#REF!</f>
        <v>#REF!</v>
      </c>
      <c r="F232" s="364" t="e">
        <f>VALO_PERSO!#REF!</f>
        <v>#REF!</v>
      </c>
      <c r="G232" s="364" t="e">
        <f t="shared" ref="G232" si="63">IF(F232&lt;DATE(2024,1,1),DATE(2024,1,1),F232)</f>
        <v>#REF!</v>
      </c>
      <c r="H232" s="364" t="e">
        <f>VALO_PERSO!#REF!</f>
        <v>#REF!</v>
      </c>
      <c r="I232" s="364" t="e">
        <f t="shared" ref="I232" si="64">IF(OR(ISBLANK(H232),H232=0),DATE(2024,12,31),H232)</f>
        <v>#REF!</v>
      </c>
      <c r="J232" s="363" t="e">
        <f t="shared" ref="J232" si="65">I232-G232</f>
        <v>#REF!</v>
      </c>
      <c r="K232" s="363" t="e">
        <f t="shared" ref="K232" si="66">((J232/365)*12)/12</f>
        <v>#REF!</v>
      </c>
      <c r="L232" s="363"/>
      <c r="M232" s="363" t="e">
        <f>VALO_PERSO!#REF!</f>
        <v>#REF!</v>
      </c>
      <c r="N232" s="383" t="e">
        <f t="shared" ref="N232" si="67">S232/M232</f>
        <v>#REF!</v>
      </c>
      <c r="O232" s="384" t="e">
        <f t="shared" ref="O232" si="68">P232/12</f>
        <v>#REF!</v>
      </c>
      <c r="P232" s="367" t="e">
        <f>VALO_PERSO!#REF!</f>
        <v>#REF!</v>
      </c>
      <c r="Q232" s="367" t="e">
        <f>VALO_PERSO!#REF!</f>
        <v>#REF!</v>
      </c>
      <c r="R232" s="367" t="e">
        <f>VALO_PERSO!#REF!</f>
        <v>#REF!</v>
      </c>
      <c r="S232" s="385" t="e">
        <f>VALO_PERSO!#REF!-VALO_PERSO!#REF!</f>
        <v>#REF!</v>
      </c>
      <c r="T232" s="367" t="e">
        <f t="shared" ref="T232" si="69">S232*R232</f>
        <v>#REF!</v>
      </c>
    </row>
    <row r="233" spans="1:45" s="112" customFormat="1" ht="60.75" thickBot="1" x14ac:dyDescent="0.3">
      <c r="A233" s="112" t="s">
        <v>815</v>
      </c>
      <c r="B233" s="363">
        <f>VALO_PERSO!F6</f>
        <v>3</v>
      </c>
      <c r="C233" s="363" t="e">
        <f t="shared" ref="C233" si="70">CONCATENATE(C49," ",D49)</f>
        <v>#REF!</v>
      </c>
      <c r="D233" s="363" t="str">
        <f>VALO_PERSO!I6</f>
        <v>Ingénieur R&amp;D</v>
      </c>
      <c r="E233" s="363" t="str">
        <f>VALO_PERSO!J6</f>
        <v>Université Grenoble Alpes + Master of Sciences et Management des Biotechnologies</v>
      </c>
      <c r="F233" s="364">
        <f>VALO_PERSO!M6</f>
        <v>45261</v>
      </c>
      <c r="G233" s="364">
        <f t="shared" ref="G233" si="71">IF(F233&lt;DATE(2024,1,1),DATE(2024,1,1),F233)</f>
        <v>45292</v>
      </c>
      <c r="H233" s="364">
        <f>VALO_PERSO!N6</f>
        <v>0</v>
      </c>
      <c r="I233" s="364">
        <f t="shared" ref="I233" si="72">IF(OR(ISBLANK(H233),H233=0),DATE(2024,12,31),H233)</f>
        <v>45657</v>
      </c>
      <c r="J233" s="363">
        <f t="shared" ref="J233" si="73">I233-G233</f>
        <v>365</v>
      </c>
      <c r="K233" s="363">
        <f t="shared" ref="K233" si="74">((J233/365)*12)/12</f>
        <v>1</v>
      </c>
      <c r="L233" s="363"/>
      <c r="M233" s="363">
        <f>VALO_PERSO!W6</f>
        <v>1448</v>
      </c>
      <c r="N233" s="383">
        <f t="shared" ref="N233" si="75">S233/M233</f>
        <v>0.89364640883977897</v>
      </c>
      <c r="O233" s="384">
        <f t="shared" ref="O233" si="76">P233/12</f>
        <v>2483.3608333333336</v>
      </c>
      <c r="P233" s="367">
        <f>VALO_PERSO!P6</f>
        <v>29800.33</v>
      </c>
      <c r="Q233" s="367">
        <f>VALO_PERSO!V6</f>
        <v>34750.380000000005</v>
      </c>
      <c r="R233" s="367">
        <f>VALO_PERSO!X6</f>
        <v>23.998881215469616</v>
      </c>
      <c r="S233" s="385">
        <f>VALO_PERSO!W6-VALO_PERSO!BB6</f>
        <v>1294</v>
      </c>
      <c r="T233" s="367">
        <f t="shared" ref="T233" si="77">S233*R233</f>
        <v>31054.552292817683</v>
      </c>
    </row>
    <row r="234" spans="1:45" s="112" customFormat="1" ht="15.75" thickBot="1" x14ac:dyDescent="0.3">
      <c r="A234" s="112" t="s">
        <v>815</v>
      </c>
      <c r="B234" s="363" t="e">
        <f>VALO_PERSO!#REF!</f>
        <v>#REF!</v>
      </c>
      <c r="C234" s="363" t="e">
        <f t="shared" ref="C234" si="78">CONCATENATE(C87," ",D87)</f>
        <v>#REF!</v>
      </c>
      <c r="D234" s="363" t="e">
        <f>VALO_PERSO!#REF!</f>
        <v>#REF!</v>
      </c>
      <c r="E234" s="363" t="e">
        <f>VALO_PERSO!#REF!</f>
        <v>#REF!</v>
      </c>
      <c r="F234" s="364" t="e">
        <f>VALO_PERSO!#REF!</f>
        <v>#REF!</v>
      </c>
      <c r="G234" s="364" t="e">
        <f t="shared" si="47"/>
        <v>#REF!</v>
      </c>
      <c r="H234" s="364" t="e">
        <f>VALO_PERSO!#REF!</f>
        <v>#REF!</v>
      </c>
      <c r="I234" s="364" t="e">
        <f t="shared" si="48"/>
        <v>#REF!</v>
      </c>
      <c r="J234" s="363" t="e">
        <f t="shared" si="49"/>
        <v>#REF!</v>
      </c>
      <c r="K234" s="363" t="e">
        <f t="shared" si="50"/>
        <v>#REF!</v>
      </c>
      <c r="L234" s="363"/>
      <c r="M234" s="363" t="e">
        <f>VALO_PERSO!#REF!</f>
        <v>#REF!</v>
      </c>
      <c r="N234" s="383" t="e">
        <f t="shared" si="51"/>
        <v>#REF!</v>
      </c>
      <c r="O234" s="384" t="e">
        <f t="shared" si="52"/>
        <v>#REF!</v>
      </c>
      <c r="P234" s="367" t="e">
        <f>VALO_PERSO!#REF!</f>
        <v>#REF!</v>
      </c>
      <c r="Q234" s="367" t="e">
        <f>VALO_PERSO!#REF!</f>
        <v>#REF!</v>
      </c>
      <c r="R234" s="367" t="e">
        <f>VALO_PERSO!#REF!</f>
        <v>#REF!</v>
      </c>
      <c r="S234" s="385" t="e">
        <f>VALO_PERSO!#REF!-VALO_PERSO!#REF!</f>
        <v>#REF!</v>
      </c>
      <c r="T234" s="367" t="e">
        <f t="shared" si="53"/>
        <v>#REF!</v>
      </c>
    </row>
    <row r="235" spans="1:45" s="112" customFormat="1" ht="15.75" thickBot="1" x14ac:dyDescent="0.3">
      <c r="A235" s="112" t="s">
        <v>815</v>
      </c>
      <c r="B235" s="363" t="e">
        <f>VALO_PERSO!#REF!</f>
        <v>#REF!</v>
      </c>
      <c r="C235" s="363" t="str">
        <f t="shared" ref="C235" si="79">CONCATENATE(C88," ",D88)</f>
        <v>JONDOT Keita</v>
      </c>
      <c r="D235" s="363" t="e">
        <f>VALO_PERSO!#REF!</f>
        <v>#REF!</v>
      </c>
      <c r="E235" s="363" t="e">
        <f>VALO_PERSO!#REF!</f>
        <v>#REF!</v>
      </c>
      <c r="F235" s="364" t="e">
        <f>VALO_PERSO!#REF!</f>
        <v>#REF!</v>
      </c>
      <c r="G235" s="364" t="e">
        <f t="shared" ref="G235" si="80">IF(F235&lt;DATE(2024,1,1),DATE(2024,1,1),F235)</f>
        <v>#REF!</v>
      </c>
      <c r="H235" s="364" t="e">
        <f>VALO_PERSO!#REF!</f>
        <v>#REF!</v>
      </c>
      <c r="I235" s="364" t="e">
        <f t="shared" ref="I235" si="81">IF(OR(ISBLANK(H235),H235=0),DATE(2024,12,31),H235)</f>
        <v>#REF!</v>
      </c>
      <c r="J235" s="363" t="e">
        <f t="shared" ref="J235" si="82">I235-G235</f>
        <v>#REF!</v>
      </c>
      <c r="K235" s="363" t="e">
        <f t="shared" ref="K235" si="83">((J235/365)*12)/12</f>
        <v>#REF!</v>
      </c>
      <c r="L235" s="363"/>
      <c r="M235" s="363" t="e">
        <f>VALO_PERSO!#REF!</f>
        <v>#REF!</v>
      </c>
      <c r="N235" s="383" t="e">
        <f t="shared" ref="N235" si="84">S235/M235</f>
        <v>#REF!</v>
      </c>
      <c r="O235" s="384" t="e">
        <f t="shared" ref="O235" si="85">P235/12</f>
        <v>#REF!</v>
      </c>
      <c r="P235" s="367" t="e">
        <f>VALO_PERSO!#REF!</f>
        <v>#REF!</v>
      </c>
      <c r="Q235" s="367" t="e">
        <f>VALO_PERSO!#REF!</f>
        <v>#REF!</v>
      </c>
      <c r="R235" s="367" t="e">
        <f>VALO_PERSO!#REF!</f>
        <v>#REF!</v>
      </c>
      <c r="S235" s="385" t="e">
        <f>VALO_PERSO!#REF!-VALO_PERSO!#REF!</f>
        <v>#REF!</v>
      </c>
      <c r="T235" s="367" t="e">
        <f t="shared" ref="T235" si="86">S235*R235</f>
        <v>#REF!</v>
      </c>
    </row>
    <row r="236" spans="1:45" s="112" customFormat="1" ht="15.75" thickBot="1" x14ac:dyDescent="0.3">
      <c r="A236" s="112" t="s">
        <v>815</v>
      </c>
      <c r="B236" s="363" t="e">
        <f>VALO_PERSO!#REF!</f>
        <v>#REF!</v>
      </c>
      <c r="C236" s="363" t="str">
        <f t="shared" ref="C236" si="87">CONCATENATE(C88," ",D88)</f>
        <v>JONDOT Keita</v>
      </c>
      <c r="D236" s="363" t="e">
        <f>VALO_PERSO!#REF!</f>
        <v>#REF!</v>
      </c>
      <c r="E236" s="363" t="e">
        <f>VALO_PERSO!#REF!</f>
        <v>#REF!</v>
      </c>
      <c r="F236" s="364" t="e">
        <f>VALO_PERSO!#REF!</f>
        <v>#REF!</v>
      </c>
      <c r="G236" s="364" t="e">
        <f t="shared" ref="G236" si="88">IF(F236&lt;DATE(2024,1,1),DATE(2024,1,1),F236)</f>
        <v>#REF!</v>
      </c>
      <c r="H236" s="364" t="e">
        <f>VALO_PERSO!#REF!</f>
        <v>#REF!</v>
      </c>
      <c r="I236" s="364" t="e">
        <f t="shared" ref="I236" si="89">IF(OR(ISBLANK(H236),H236=0),DATE(2024,12,31),H236)</f>
        <v>#REF!</v>
      </c>
      <c r="J236" s="363" t="e">
        <f t="shared" ref="J236" si="90">I236-G236</f>
        <v>#REF!</v>
      </c>
      <c r="K236" s="363" t="e">
        <f t="shared" ref="K236" si="91">((J236/365)*12)/12</f>
        <v>#REF!</v>
      </c>
      <c r="L236" s="363"/>
      <c r="M236" s="363" t="e">
        <f>VALO_PERSO!#REF!</f>
        <v>#REF!</v>
      </c>
      <c r="N236" s="383" t="e">
        <f t="shared" ref="N236" si="92">S236/M236</f>
        <v>#REF!</v>
      </c>
      <c r="O236" s="384" t="e">
        <f t="shared" ref="O236" si="93">P236/12</f>
        <v>#REF!</v>
      </c>
      <c r="P236" s="367" t="e">
        <f>VALO_PERSO!#REF!</f>
        <v>#REF!</v>
      </c>
      <c r="Q236" s="367" t="e">
        <f>VALO_PERSO!#REF!</f>
        <v>#REF!</v>
      </c>
      <c r="R236" s="367" t="e">
        <f>VALO_PERSO!#REF!</f>
        <v>#REF!</v>
      </c>
      <c r="S236" s="385" t="e">
        <f>VALO_PERSO!#REF!-VALO_PERSO!#REF!</f>
        <v>#REF!</v>
      </c>
      <c r="T236" s="367" t="e">
        <f t="shared" ref="T236" si="94">S236*R236</f>
        <v>#REF!</v>
      </c>
    </row>
    <row r="237" spans="1:45" s="112" customFormat="1" ht="15.75" thickBot="1" x14ac:dyDescent="0.3">
      <c r="A237" s="112" t="s">
        <v>815</v>
      </c>
      <c r="B237" s="363" t="e">
        <f>VALO_PERSO!#REF!</f>
        <v>#REF!</v>
      </c>
      <c r="C237" s="363" t="e">
        <f t="shared" ref="C237" si="95">CONCATENATE(C89," ",D89)</f>
        <v>#REF!</v>
      </c>
      <c r="D237" s="363" t="e">
        <f>VALO_PERSO!#REF!</f>
        <v>#REF!</v>
      </c>
      <c r="E237" s="363" t="e">
        <f>VALO_PERSO!#REF!</f>
        <v>#REF!</v>
      </c>
      <c r="F237" s="364" t="e">
        <f>VALO_PERSO!#REF!</f>
        <v>#REF!</v>
      </c>
      <c r="G237" s="364" t="e">
        <f t="shared" ref="G237" si="96">IF(F237&lt;DATE(2024,1,1),DATE(2024,1,1),F237)</f>
        <v>#REF!</v>
      </c>
      <c r="H237" s="364" t="e">
        <f>VALO_PERSO!#REF!</f>
        <v>#REF!</v>
      </c>
      <c r="I237" s="364" t="e">
        <f t="shared" ref="I237" si="97">IF(OR(ISBLANK(H237),H237=0),DATE(2024,12,31),H237)</f>
        <v>#REF!</v>
      </c>
      <c r="J237" s="363" t="e">
        <f t="shared" ref="J237" si="98">I237-G237</f>
        <v>#REF!</v>
      </c>
      <c r="K237" s="363" t="e">
        <f t="shared" ref="K237" si="99">((J237/365)*12)/12</f>
        <v>#REF!</v>
      </c>
      <c r="L237" s="363"/>
      <c r="M237" s="363" t="e">
        <f>VALO_PERSO!#REF!</f>
        <v>#REF!</v>
      </c>
      <c r="N237" s="383" t="e">
        <f t="shared" ref="N237" si="100">S237/M237</f>
        <v>#REF!</v>
      </c>
      <c r="O237" s="384" t="e">
        <f t="shared" ref="O237" si="101">P237/12</f>
        <v>#REF!</v>
      </c>
      <c r="P237" s="367" t="e">
        <f>VALO_PERSO!#REF!</f>
        <v>#REF!</v>
      </c>
      <c r="Q237" s="367" t="e">
        <f>VALO_PERSO!#REF!</f>
        <v>#REF!</v>
      </c>
      <c r="R237" s="367" t="e">
        <f>VALO_PERSO!#REF!</f>
        <v>#REF!</v>
      </c>
      <c r="S237" s="385" t="e">
        <f>VALO_PERSO!#REF!-VALO_PERSO!#REF!</f>
        <v>#REF!</v>
      </c>
      <c r="T237" s="367" t="e">
        <f t="shared" ref="T237" si="102">S237*R237</f>
        <v>#REF!</v>
      </c>
    </row>
    <row r="238" spans="1:45" s="112" customFormat="1" ht="15.75" thickBot="1" x14ac:dyDescent="0.3">
      <c r="A238" s="112" t="s">
        <v>815</v>
      </c>
      <c r="B238" s="363" t="e">
        <f>VALO_PERSO!#REF!</f>
        <v>#REF!</v>
      </c>
      <c r="C238" s="363" t="e">
        <f t="shared" ref="C238" si="103">CONCATENATE(C87," ",D87)</f>
        <v>#REF!</v>
      </c>
      <c r="D238" s="363" t="e">
        <f>VALO_PERSO!#REF!</f>
        <v>#REF!</v>
      </c>
      <c r="E238" s="363" t="e">
        <f>VALO_PERSO!#REF!</f>
        <v>#REF!</v>
      </c>
      <c r="F238" s="364" t="e">
        <f>VALO_PERSO!#REF!</f>
        <v>#REF!</v>
      </c>
      <c r="G238" s="364" t="e">
        <f t="shared" si="47"/>
        <v>#REF!</v>
      </c>
      <c r="H238" s="364" t="e">
        <f>VALO_PERSO!#REF!</f>
        <v>#REF!</v>
      </c>
      <c r="I238" s="364" t="e">
        <f t="shared" si="48"/>
        <v>#REF!</v>
      </c>
      <c r="J238" s="363" t="e">
        <f t="shared" si="49"/>
        <v>#REF!</v>
      </c>
      <c r="K238" s="363" t="e">
        <f t="shared" si="50"/>
        <v>#REF!</v>
      </c>
      <c r="L238" s="363"/>
      <c r="M238" s="363" t="e">
        <f>VALO_PERSO!#REF!</f>
        <v>#REF!</v>
      </c>
      <c r="N238" s="383" t="e">
        <f t="shared" si="51"/>
        <v>#REF!</v>
      </c>
      <c r="O238" s="384" t="e">
        <f t="shared" si="52"/>
        <v>#REF!</v>
      </c>
      <c r="P238" s="367" t="e">
        <f>VALO_PERSO!#REF!</f>
        <v>#REF!</v>
      </c>
      <c r="Q238" s="367" t="e">
        <f>VALO_PERSO!#REF!</f>
        <v>#REF!</v>
      </c>
      <c r="R238" s="367" t="e">
        <f>VALO_PERSO!#REF!</f>
        <v>#REF!</v>
      </c>
      <c r="S238" s="385" t="e">
        <f>VALO_PERSO!#REF!-VALO_PERSO!#REF!</f>
        <v>#REF!</v>
      </c>
      <c r="T238" s="367" t="e">
        <f t="shared" si="53"/>
        <v>#REF!</v>
      </c>
    </row>
    <row r="239" spans="1:45" s="112" customFormat="1" ht="15.75" thickBot="1" x14ac:dyDescent="0.3">
      <c r="A239" s="112" t="s">
        <v>815</v>
      </c>
      <c r="B239" s="363" t="e">
        <f>VALO_PERSO!#REF!</f>
        <v>#REF!</v>
      </c>
      <c r="C239" s="363" t="str">
        <f t="shared" ref="C239" si="104">CONCATENATE(C88," ",D88)</f>
        <v>JONDOT Keita</v>
      </c>
      <c r="D239" s="363" t="e">
        <f>VALO_PERSO!#REF!</f>
        <v>#REF!</v>
      </c>
      <c r="E239" s="363" t="e">
        <f>VALO_PERSO!#REF!</f>
        <v>#REF!</v>
      </c>
      <c r="F239" s="364" t="e">
        <f>VALO_PERSO!#REF!</f>
        <v>#REF!</v>
      </c>
      <c r="G239" s="364" t="e">
        <f t="shared" ref="G239" si="105">IF(F239&lt;DATE(2024,1,1),DATE(2024,1,1),F239)</f>
        <v>#REF!</v>
      </c>
      <c r="H239" s="364" t="e">
        <f>VALO_PERSO!#REF!</f>
        <v>#REF!</v>
      </c>
      <c r="I239" s="364" t="e">
        <f t="shared" ref="I239" si="106">IF(OR(ISBLANK(H239),H239=0),DATE(2024,12,31),H239)</f>
        <v>#REF!</v>
      </c>
      <c r="J239" s="363" t="e">
        <f t="shared" ref="J239" si="107">I239-G239</f>
        <v>#REF!</v>
      </c>
      <c r="K239" s="363" t="e">
        <f t="shared" ref="K239" si="108">((J239/365)*12)/12</f>
        <v>#REF!</v>
      </c>
      <c r="L239" s="363"/>
      <c r="M239" s="363" t="e">
        <f>VALO_PERSO!#REF!</f>
        <v>#REF!</v>
      </c>
      <c r="N239" s="383" t="e">
        <f t="shared" ref="N239" si="109">S239/M239</f>
        <v>#REF!</v>
      </c>
      <c r="O239" s="384" t="e">
        <f t="shared" ref="O239" si="110">P239/12</f>
        <v>#REF!</v>
      </c>
      <c r="P239" s="367" t="e">
        <f>VALO_PERSO!#REF!</f>
        <v>#REF!</v>
      </c>
      <c r="Q239" s="367" t="e">
        <f>VALO_PERSO!#REF!</f>
        <v>#REF!</v>
      </c>
      <c r="R239" s="367" t="e">
        <f>VALO_PERSO!#REF!</f>
        <v>#REF!</v>
      </c>
      <c r="S239" s="385" t="e">
        <f>VALO_PERSO!#REF!-VALO_PERSO!#REF!</f>
        <v>#REF!</v>
      </c>
      <c r="T239" s="367" t="e">
        <f t="shared" ref="T239" si="111">S239*R239</f>
        <v>#REF!</v>
      </c>
    </row>
    <row r="240" spans="1:45" s="112" customFormat="1" ht="15.75" thickBot="1" x14ac:dyDescent="0.3">
      <c r="A240" s="112" t="s">
        <v>815</v>
      </c>
      <c r="B240" s="363" t="e">
        <f>VALO_PERSO!#REF!</f>
        <v>#REF!</v>
      </c>
      <c r="C240" s="363" t="str">
        <f t="shared" ref="C240" si="112">CONCATENATE(C88," ",D88)</f>
        <v>JONDOT Keita</v>
      </c>
      <c r="D240" s="363" t="e">
        <f>VALO_PERSO!#REF!</f>
        <v>#REF!</v>
      </c>
      <c r="E240" s="363" t="e">
        <f>VALO_PERSO!#REF!</f>
        <v>#REF!</v>
      </c>
      <c r="F240" s="364" t="e">
        <f>VALO_PERSO!#REF!</f>
        <v>#REF!</v>
      </c>
      <c r="G240" s="364" t="e">
        <f t="shared" ref="G240" si="113">IF(F240&lt;DATE(2024,1,1),DATE(2024,1,1),F240)</f>
        <v>#REF!</v>
      </c>
      <c r="H240" s="364" t="e">
        <f>VALO_PERSO!#REF!</f>
        <v>#REF!</v>
      </c>
      <c r="I240" s="364" t="e">
        <f t="shared" ref="I240" si="114">IF(OR(ISBLANK(H240),H240=0),DATE(2024,12,31),H240)</f>
        <v>#REF!</v>
      </c>
      <c r="J240" s="363" t="e">
        <f t="shared" ref="J240" si="115">I240-G240</f>
        <v>#REF!</v>
      </c>
      <c r="K240" s="363" t="e">
        <f t="shared" ref="K240" si="116">((J240/365)*12)/12</f>
        <v>#REF!</v>
      </c>
      <c r="L240" s="363"/>
      <c r="M240" s="363" t="e">
        <f>VALO_PERSO!#REF!</f>
        <v>#REF!</v>
      </c>
      <c r="N240" s="383" t="e">
        <f t="shared" ref="N240" si="117">S240/M240</f>
        <v>#REF!</v>
      </c>
      <c r="O240" s="384" t="e">
        <f t="shared" ref="O240" si="118">P240/12</f>
        <v>#REF!</v>
      </c>
      <c r="P240" s="367" t="e">
        <f>VALO_PERSO!#REF!</f>
        <v>#REF!</v>
      </c>
      <c r="Q240" s="367" t="e">
        <f>VALO_PERSO!#REF!</f>
        <v>#REF!</v>
      </c>
      <c r="R240" s="367" t="e">
        <f>VALO_PERSO!#REF!</f>
        <v>#REF!</v>
      </c>
      <c r="S240" s="385" t="e">
        <f>VALO_PERSO!#REF!-VALO_PERSO!#REF!</f>
        <v>#REF!</v>
      </c>
      <c r="T240" s="367" t="e">
        <f t="shared" ref="T240" si="119">S240*R240</f>
        <v>#REF!</v>
      </c>
    </row>
    <row r="241" spans="1:20" s="112" customFormat="1" ht="15.75" thickBot="1" x14ac:dyDescent="0.3">
      <c r="A241" s="112" t="s">
        <v>815</v>
      </c>
      <c r="B241" s="363" t="e">
        <f>VALO_PERSO!#REF!</f>
        <v>#REF!</v>
      </c>
      <c r="C241" s="363" t="e">
        <f t="shared" ref="C241" si="120">CONCATENATE(C89," ",D89)</f>
        <v>#REF!</v>
      </c>
      <c r="D241" s="363" t="e">
        <f>VALO_PERSO!#REF!</f>
        <v>#REF!</v>
      </c>
      <c r="E241" s="363" t="e">
        <f>VALO_PERSO!#REF!</f>
        <v>#REF!</v>
      </c>
      <c r="F241" s="364" t="e">
        <f>VALO_PERSO!#REF!</f>
        <v>#REF!</v>
      </c>
      <c r="G241" s="364" t="e">
        <f t="shared" ref="G241" si="121">IF(F241&lt;DATE(2024,1,1),DATE(2024,1,1),F241)</f>
        <v>#REF!</v>
      </c>
      <c r="H241" s="364" t="e">
        <f>VALO_PERSO!#REF!</f>
        <v>#REF!</v>
      </c>
      <c r="I241" s="364" t="e">
        <f t="shared" ref="I241" si="122">IF(OR(ISBLANK(H241),H241=0),DATE(2024,12,31),H241)</f>
        <v>#REF!</v>
      </c>
      <c r="J241" s="363" t="e">
        <f t="shared" ref="J241" si="123">I241-G241</f>
        <v>#REF!</v>
      </c>
      <c r="K241" s="363" t="e">
        <f t="shared" ref="K241" si="124">((J241/365)*12)/12</f>
        <v>#REF!</v>
      </c>
      <c r="L241" s="363"/>
      <c r="M241" s="363" t="e">
        <f>VALO_PERSO!#REF!</f>
        <v>#REF!</v>
      </c>
      <c r="N241" s="383" t="e">
        <f t="shared" ref="N241" si="125">S241/M241</f>
        <v>#REF!</v>
      </c>
      <c r="O241" s="384" t="e">
        <f t="shared" ref="O241" si="126">P241/12</f>
        <v>#REF!</v>
      </c>
      <c r="P241" s="367" t="e">
        <f>VALO_PERSO!#REF!</f>
        <v>#REF!</v>
      </c>
      <c r="Q241" s="367" t="e">
        <f>VALO_PERSO!#REF!</f>
        <v>#REF!</v>
      </c>
      <c r="R241" s="367" t="e">
        <f>VALO_PERSO!#REF!</f>
        <v>#REF!</v>
      </c>
      <c r="S241" s="385" t="e">
        <f>VALO_PERSO!#REF!-VALO_PERSO!#REF!</f>
        <v>#REF!</v>
      </c>
      <c r="T241" s="367" t="e">
        <f t="shared" ref="T241" si="127">S241*R241</f>
        <v>#REF!</v>
      </c>
    </row>
    <row r="242" spans="1:20" s="112" customFormat="1" ht="15.75" thickBot="1" x14ac:dyDescent="0.3">
      <c r="A242" s="112" t="s">
        <v>815</v>
      </c>
      <c r="B242" s="363" t="e">
        <f>VALO_PERSO!#REF!</f>
        <v>#REF!</v>
      </c>
      <c r="C242" s="363" t="e">
        <f t="shared" ref="C242" si="128">CONCATENATE(C87," ",D87)</f>
        <v>#REF!</v>
      </c>
      <c r="D242" s="363" t="e">
        <f>VALO_PERSO!#REF!</f>
        <v>#REF!</v>
      </c>
      <c r="E242" s="363" t="e">
        <f>VALO_PERSO!#REF!</f>
        <v>#REF!</v>
      </c>
      <c r="F242" s="364" t="e">
        <f>VALO_PERSO!#REF!</f>
        <v>#REF!</v>
      </c>
      <c r="G242" s="364" t="e">
        <f t="shared" si="47"/>
        <v>#REF!</v>
      </c>
      <c r="H242" s="364" t="e">
        <f>VALO_PERSO!#REF!</f>
        <v>#REF!</v>
      </c>
      <c r="I242" s="364" t="e">
        <f t="shared" si="48"/>
        <v>#REF!</v>
      </c>
      <c r="J242" s="363" t="e">
        <f t="shared" si="49"/>
        <v>#REF!</v>
      </c>
      <c r="K242" s="363" t="e">
        <f t="shared" si="50"/>
        <v>#REF!</v>
      </c>
      <c r="L242" s="363"/>
      <c r="M242" s="363" t="e">
        <f>VALO_PERSO!#REF!</f>
        <v>#REF!</v>
      </c>
      <c r="N242" s="383" t="e">
        <f t="shared" si="51"/>
        <v>#REF!</v>
      </c>
      <c r="O242" s="384" t="e">
        <f t="shared" si="52"/>
        <v>#REF!</v>
      </c>
      <c r="P242" s="367" t="e">
        <f>VALO_PERSO!#REF!</f>
        <v>#REF!</v>
      </c>
      <c r="Q242" s="367" t="e">
        <f>VALO_PERSO!#REF!</f>
        <v>#REF!</v>
      </c>
      <c r="R242" s="367" t="e">
        <f>VALO_PERSO!#REF!</f>
        <v>#REF!</v>
      </c>
      <c r="S242" s="385" t="e">
        <f>VALO_PERSO!#REF!-VALO_PERSO!#REF!</f>
        <v>#REF!</v>
      </c>
      <c r="T242" s="367" t="e">
        <f t="shared" si="53"/>
        <v>#REF!</v>
      </c>
    </row>
    <row r="243" spans="1:20" s="112" customFormat="1" ht="15.75" thickBot="1" x14ac:dyDescent="0.3">
      <c r="A243" s="112" t="s">
        <v>815</v>
      </c>
      <c r="B243" s="363" t="e">
        <f>VALO_PERSO!#REF!</f>
        <v>#REF!</v>
      </c>
      <c r="C243" s="363" t="str">
        <f t="shared" ref="C243" si="129">CONCATENATE(C88," ",D88)</f>
        <v>JONDOT Keita</v>
      </c>
      <c r="D243" s="363" t="e">
        <f>VALO_PERSO!#REF!</f>
        <v>#REF!</v>
      </c>
      <c r="E243" s="363" t="e">
        <f>VALO_PERSO!#REF!</f>
        <v>#REF!</v>
      </c>
      <c r="F243" s="364" t="e">
        <f>VALO_PERSO!#REF!</f>
        <v>#REF!</v>
      </c>
      <c r="G243" s="364" t="e">
        <f t="shared" ref="G243" si="130">IF(F243&lt;DATE(2024,1,1),DATE(2024,1,1),F243)</f>
        <v>#REF!</v>
      </c>
      <c r="H243" s="364" t="e">
        <f>VALO_PERSO!#REF!</f>
        <v>#REF!</v>
      </c>
      <c r="I243" s="364" t="e">
        <f t="shared" ref="I243" si="131">IF(OR(ISBLANK(H243),H243=0),DATE(2024,12,31),H243)</f>
        <v>#REF!</v>
      </c>
      <c r="J243" s="363" t="e">
        <f t="shared" ref="J243" si="132">I243-G243</f>
        <v>#REF!</v>
      </c>
      <c r="K243" s="363" t="e">
        <f t="shared" ref="K243" si="133">((J243/365)*12)/12</f>
        <v>#REF!</v>
      </c>
      <c r="L243" s="363"/>
      <c r="M243" s="363" t="e">
        <f>VALO_PERSO!#REF!</f>
        <v>#REF!</v>
      </c>
      <c r="N243" s="383" t="e">
        <f t="shared" ref="N243" si="134">S243/M243</f>
        <v>#REF!</v>
      </c>
      <c r="O243" s="384" t="e">
        <f t="shared" ref="O243" si="135">P243/12</f>
        <v>#REF!</v>
      </c>
      <c r="P243" s="367" t="e">
        <f>VALO_PERSO!#REF!</f>
        <v>#REF!</v>
      </c>
      <c r="Q243" s="367" t="e">
        <f>VALO_PERSO!#REF!</f>
        <v>#REF!</v>
      </c>
      <c r="R243" s="367" t="e">
        <f>VALO_PERSO!#REF!</f>
        <v>#REF!</v>
      </c>
      <c r="S243" s="385" t="e">
        <f>VALO_PERSO!#REF!-VALO_PERSO!#REF!</f>
        <v>#REF!</v>
      </c>
      <c r="T243" s="367" t="e">
        <f t="shared" ref="T243" si="136">S243*R243</f>
        <v>#REF!</v>
      </c>
    </row>
    <row r="244" spans="1:20" s="112" customFormat="1" ht="15.75" thickBot="1" x14ac:dyDescent="0.3">
      <c r="A244" s="112" t="s">
        <v>815</v>
      </c>
      <c r="B244" s="363" t="e">
        <f>VALO_PERSO!#REF!</f>
        <v>#REF!</v>
      </c>
      <c r="C244" s="363" t="str">
        <f t="shared" ref="C244" si="137">CONCATENATE(C88," ",D88)</f>
        <v>JONDOT Keita</v>
      </c>
      <c r="D244" s="363" t="e">
        <f>VALO_PERSO!#REF!</f>
        <v>#REF!</v>
      </c>
      <c r="E244" s="363" t="e">
        <f>VALO_PERSO!#REF!</f>
        <v>#REF!</v>
      </c>
      <c r="F244" s="364" t="e">
        <f>VALO_PERSO!#REF!</f>
        <v>#REF!</v>
      </c>
      <c r="G244" s="364" t="e">
        <f t="shared" ref="G244" si="138">IF(F244&lt;DATE(2024,1,1),DATE(2024,1,1),F244)</f>
        <v>#REF!</v>
      </c>
      <c r="H244" s="364" t="e">
        <f>VALO_PERSO!#REF!</f>
        <v>#REF!</v>
      </c>
      <c r="I244" s="364" t="e">
        <f t="shared" ref="I244" si="139">IF(OR(ISBLANK(H244),H244=0),DATE(2024,12,31),H244)</f>
        <v>#REF!</v>
      </c>
      <c r="J244" s="363" t="e">
        <f t="shared" ref="J244" si="140">I244-G244</f>
        <v>#REF!</v>
      </c>
      <c r="K244" s="363" t="e">
        <f t="shared" ref="K244" si="141">((J244/365)*12)/12</f>
        <v>#REF!</v>
      </c>
      <c r="L244" s="363"/>
      <c r="M244" s="363" t="e">
        <f>VALO_PERSO!#REF!</f>
        <v>#REF!</v>
      </c>
      <c r="N244" s="383" t="e">
        <f t="shared" ref="N244" si="142">S244/M244</f>
        <v>#REF!</v>
      </c>
      <c r="O244" s="384" t="e">
        <f t="shared" ref="O244" si="143">P244/12</f>
        <v>#REF!</v>
      </c>
      <c r="P244" s="367" t="e">
        <f>VALO_PERSO!#REF!</f>
        <v>#REF!</v>
      </c>
      <c r="Q244" s="367" t="e">
        <f>VALO_PERSO!#REF!</f>
        <v>#REF!</v>
      </c>
      <c r="R244" s="367" t="e">
        <f>VALO_PERSO!#REF!</f>
        <v>#REF!</v>
      </c>
      <c r="S244" s="385" t="e">
        <f>VALO_PERSO!#REF!-VALO_PERSO!#REF!</f>
        <v>#REF!</v>
      </c>
      <c r="T244" s="367" t="e">
        <f t="shared" ref="T244" si="144">S244*R244</f>
        <v>#REF!</v>
      </c>
    </row>
    <row r="245" spans="1:20" s="112" customFormat="1" ht="15.75" thickBot="1" x14ac:dyDescent="0.3">
      <c r="A245" s="112" t="s">
        <v>815</v>
      </c>
      <c r="B245" s="363" t="e">
        <f>VALO_PERSO!#REF!</f>
        <v>#REF!</v>
      </c>
      <c r="C245" s="363" t="e">
        <f t="shared" ref="C245" si="145">CONCATENATE(C89," ",D89)</f>
        <v>#REF!</v>
      </c>
      <c r="D245" s="363" t="e">
        <f>VALO_PERSO!#REF!</f>
        <v>#REF!</v>
      </c>
      <c r="E245" s="363" t="e">
        <f>VALO_PERSO!#REF!</f>
        <v>#REF!</v>
      </c>
      <c r="F245" s="364" t="e">
        <f>VALO_PERSO!#REF!</f>
        <v>#REF!</v>
      </c>
      <c r="G245" s="364" t="e">
        <f t="shared" ref="G245" si="146">IF(F245&lt;DATE(2024,1,1),DATE(2024,1,1),F245)</f>
        <v>#REF!</v>
      </c>
      <c r="H245" s="364" t="e">
        <f>VALO_PERSO!#REF!</f>
        <v>#REF!</v>
      </c>
      <c r="I245" s="364" t="e">
        <f t="shared" ref="I245" si="147">IF(OR(ISBLANK(H245),H245=0),DATE(2024,12,31),H245)</f>
        <v>#REF!</v>
      </c>
      <c r="J245" s="363" t="e">
        <f t="shared" ref="J245" si="148">I245-G245</f>
        <v>#REF!</v>
      </c>
      <c r="K245" s="363" t="e">
        <f t="shared" ref="K245" si="149">((J245/365)*12)/12</f>
        <v>#REF!</v>
      </c>
      <c r="L245" s="363"/>
      <c r="M245" s="363" t="e">
        <f>VALO_PERSO!#REF!</f>
        <v>#REF!</v>
      </c>
      <c r="N245" s="383" t="e">
        <f t="shared" ref="N245" si="150">S245/M245</f>
        <v>#REF!</v>
      </c>
      <c r="O245" s="384" t="e">
        <f t="shared" ref="O245" si="151">P245/12</f>
        <v>#REF!</v>
      </c>
      <c r="P245" s="367" t="e">
        <f>VALO_PERSO!#REF!</f>
        <v>#REF!</v>
      </c>
      <c r="Q245" s="367" t="e">
        <f>VALO_PERSO!#REF!</f>
        <v>#REF!</v>
      </c>
      <c r="R245" s="367" t="e">
        <f>VALO_PERSO!#REF!</f>
        <v>#REF!</v>
      </c>
      <c r="S245" s="385" t="e">
        <f>VALO_PERSO!#REF!-VALO_PERSO!#REF!</f>
        <v>#REF!</v>
      </c>
      <c r="T245" s="367" t="e">
        <f t="shared" ref="T245" si="152">S245*R245</f>
        <v>#REF!</v>
      </c>
    </row>
    <row r="246" spans="1:20" s="112" customFormat="1" ht="15.75" thickBot="1" x14ac:dyDescent="0.3">
      <c r="A246" s="112" t="s">
        <v>815</v>
      </c>
      <c r="B246" s="363" t="e">
        <f>VALO_PERSO!#REF!</f>
        <v>#REF!</v>
      </c>
      <c r="C246" s="363" t="e">
        <f t="shared" ref="C246" si="153">CONCATENATE(C87," ",D87)</f>
        <v>#REF!</v>
      </c>
      <c r="D246" s="363" t="e">
        <f>VALO_PERSO!#REF!</f>
        <v>#REF!</v>
      </c>
      <c r="E246" s="363" t="e">
        <f>VALO_PERSO!#REF!</f>
        <v>#REF!</v>
      </c>
      <c r="F246" s="364" t="e">
        <f>VALO_PERSO!#REF!</f>
        <v>#REF!</v>
      </c>
      <c r="G246" s="364" t="e">
        <f t="shared" si="47"/>
        <v>#REF!</v>
      </c>
      <c r="H246" s="364" t="e">
        <f>VALO_PERSO!#REF!</f>
        <v>#REF!</v>
      </c>
      <c r="I246" s="364" t="e">
        <f t="shared" si="48"/>
        <v>#REF!</v>
      </c>
      <c r="J246" s="363" t="e">
        <f t="shared" si="49"/>
        <v>#REF!</v>
      </c>
      <c r="K246" s="363" t="e">
        <f t="shared" si="50"/>
        <v>#REF!</v>
      </c>
      <c r="L246" s="363"/>
      <c r="M246" s="363" t="e">
        <f>VALO_PERSO!#REF!</f>
        <v>#REF!</v>
      </c>
      <c r="N246" s="383" t="e">
        <f t="shared" si="51"/>
        <v>#REF!</v>
      </c>
      <c r="O246" s="384" t="e">
        <f t="shared" si="52"/>
        <v>#REF!</v>
      </c>
      <c r="P246" s="367" t="e">
        <f>VALO_PERSO!#REF!</f>
        <v>#REF!</v>
      </c>
      <c r="Q246" s="367" t="e">
        <f>VALO_PERSO!#REF!</f>
        <v>#REF!</v>
      </c>
      <c r="R246" s="367" t="e">
        <f>VALO_PERSO!#REF!</f>
        <v>#REF!</v>
      </c>
      <c r="S246" s="385" t="e">
        <f>VALO_PERSO!#REF!-VALO_PERSO!#REF!</f>
        <v>#REF!</v>
      </c>
      <c r="T246" s="367" t="e">
        <f t="shared" si="53"/>
        <v>#REF!</v>
      </c>
    </row>
    <row r="247" spans="1:20" s="112" customFormat="1" ht="15.75" thickBot="1" x14ac:dyDescent="0.3">
      <c r="A247" s="112" t="s">
        <v>815</v>
      </c>
      <c r="B247" s="363" t="e">
        <f>VALO_PERSO!#REF!</f>
        <v>#REF!</v>
      </c>
      <c r="C247" s="363" t="str">
        <f t="shared" ref="C247" si="154">CONCATENATE(C88," ",D88)</f>
        <v>JONDOT Keita</v>
      </c>
      <c r="D247" s="363" t="e">
        <f>VALO_PERSO!#REF!</f>
        <v>#REF!</v>
      </c>
      <c r="E247" s="363" t="e">
        <f>VALO_PERSO!#REF!</f>
        <v>#REF!</v>
      </c>
      <c r="F247" s="364" t="e">
        <f>VALO_PERSO!#REF!</f>
        <v>#REF!</v>
      </c>
      <c r="G247" s="364" t="e">
        <f t="shared" ref="G247" si="155">IF(F247&lt;DATE(2024,1,1),DATE(2024,1,1),F247)</f>
        <v>#REF!</v>
      </c>
      <c r="H247" s="364" t="e">
        <f>VALO_PERSO!#REF!</f>
        <v>#REF!</v>
      </c>
      <c r="I247" s="364" t="e">
        <f t="shared" ref="I247" si="156">IF(OR(ISBLANK(H247),H247=0),DATE(2024,12,31),H247)</f>
        <v>#REF!</v>
      </c>
      <c r="J247" s="363" t="e">
        <f t="shared" ref="J247" si="157">I247-G247</f>
        <v>#REF!</v>
      </c>
      <c r="K247" s="363" t="e">
        <f t="shared" ref="K247" si="158">((J247/365)*12)/12</f>
        <v>#REF!</v>
      </c>
      <c r="L247" s="363"/>
      <c r="M247" s="363" t="e">
        <f>VALO_PERSO!#REF!</f>
        <v>#REF!</v>
      </c>
      <c r="N247" s="383" t="e">
        <f t="shared" ref="N247" si="159">S247/M247</f>
        <v>#REF!</v>
      </c>
      <c r="O247" s="384" t="e">
        <f t="shared" ref="O247" si="160">P247/12</f>
        <v>#REF!</v>
      </c>
      <c r="P247" s="367" t="e">
        <f>VALO_PERSO!#REF!</f>
        <v>#REF!</v>
      </c>
      <c r="Q247" s="367" t="e">
        <f>VALO_PERSO!#REF!</f>
        <v>#REF!</v>
      </c>
      <c r="R247" s="367" t="e">
        <f>VALO_PERSO!#REF!</f>
        <v>#REF!</v>
      </c>
      <c r="S247" s="385" t="e">
        <f>VALO_PERSO!#REF!-VALO_PERSO!#REF!</f>
        <v>#REF!</v>
      </c>
      <c r="T247" s="367" t="e">
        <f t="shared" ref="T247" si="161">S247*R247</f>
        <v>#REF!</v>
      </c>
    </row>
    <row r="248" spans="1:20" s="112" customFormat="1" ht="15.75" thickBot="1" x14ac:dyDescent="0.3">
      <c r="A248" s="112" t="s">
        <v>815</v>
      </c>
      <c r="B248" s="363" t="e">
        <f>VALO_PERSO!#REF!</f>
        <v>#REF!</v>
      </c>
      <c r="C248" s="363" t="str">
        <f t="shared" ref="C248" si="162">CONCATENATE(C88," ",D88)</f>
        <v>JONDOT Keita</v>
      </c>
      <c r="D248" s="363" t="e">
        <f>VALO_PERSO!#REF!</f>
        <v>#REF!</v>
      </c>
      <c r="E248" s="363" t="e">
        <f>VALO_PERSO!#REF!</f>
        <v>#REF!</v>
      </c>
      <c r="F248" s="364" t="e">
        <f>VALO_PERSO!#REF!</f>
        <v>#REF!</v>
      </c>
      <c r="G248" s="364" t="e">
        <f t="shared" ref="G248" si="163">IF(F248&lt;DATE(2024,1,1),DATE(2024,1,1),F248)</f>
        <v>#REF!</v>
      </c>
      <c r="H248" s="364" t="e">
        <f>VALO_PERSO!#REF!</f>
        <v>#REF!</v>
      </c>
      <c r="I248" s="364" t="e">
        <f t="shared" ref="I248" si="164">IF(OR(ISBLANK(H248),H248=0),DATE(2024,12,31),H248)</f>
        <v>#REF!</v>
      </c>
      <c r="J248" s="363" t="e">
        <f t="shared" ref="J248" si="165">I248-G248</f>
        <v>#REF!</v>
      </c>
      <c r="K248" s="363" t="e">
        <f t="shared" ref="K248" si="166">((J248/365)*12)/12</f>
        <v>#REF!</v>
      </c>
      <c r="L248" s="363"/>
      <c r="M248" s="363" t="e">
        <f>VALO_PERSO!#REF!</f>
        <v>#REF!</v>
      </c>
      <c r="N248" s="383" t="e">
        <f t="shared" ref="N248" si="167">S248/M248</f>
        <v>#REF!</v>
      </c>
      <c r="O248" s="384" t="e">
        <f t="shared" ref="O248" si="168">P248/12</f>
        <v>#REF!</v>
      </c>
      <c r="P248" s="367" t="e">
        <f>VALO_PERSO!#REF!</f>
        <v>#REF!</v>
      </c>
      <c r="Q248" s="367" t="e">
        <f>VALO_PERSO!#REF!</f>
        <v>#REF!</v>
      </c>
      <c r="R248" s="367" t="e">
        <f>VALO_PERSO!#REF!</f>
        <v>#REF!</v>
      </c>
      <c r="S248" s="385" t="e">
        <f>VALO_PERSO!#REF!-VALO_PERSO!#REF!</f>
        <v>#REF!</v>
      </c>
      <c r="T248" s="367" t="e">
        <f t="shared" ref="T248" si="169">S248*R248</f>
        <v>#REF!</v>
      </c>
    </row>
    <row r="249" spans="1:20" s="112" customFormat="1" ht="15.75" thickBot="1" x14ac:dyDescent="0.3">
      <c r="A249" s="112" t="s">
        <v>815</v>
      </c>
      <c r="B249" s="363" t="e">
        <f>VALO_PERSO!#REF!</f>
        <v>#REF!</v>
      </c>
      <c r="C249" s="363" t="e">
        <f t="shared" ref="C249" si="170">CONCATENATE(C89," ",D89)</f>
        <v>#REF!</v>
      </c>
      <c r="D249" s="363" t="e">
        <f>VALO_PERSO!#REF!</f>
        <v>#REF!</v>
      </c>
      <c r="E249" s="363" t="e">
        <f>VALO_PERSO!#REF!</f>
        <v>#REF!</v>
      </c>
      <c r="F249" s="364" t="e">
        <f>VALO_PERSO!#REF!</f>
        <v>#REF!</v>
      </c>
      <c r="G249" s="364" t="e">
        <f t="shared" ref="G249" si="171">IF(F249&lt;DATE(2024,1,1),DATE(2024,1,1),F249)</f>
        <v>#REF!</v>
      </c>
      <c r="H249" s="364" t="e">
        <f>VALO_PERSO!#REF!</f>
        <v>#REF!</v>
      </c>
      <c r="I249" s="364" t="e">
        <f t="shared" ref="I249" si="172">IF(OR(ISBLANK(H249),H249=0),DATE(2024,12,31),H249)</f>
        <v>#REF!</v>
      </c>
      <c r="J249" s="363" t="e">
        <f t="shared" ref="J249" si="173">I249-G249</f>
        <v>#REF!</v>
      </c>
      <c r="K249" s="363" t="e">
        <f t="shared" ref="K249" si="174">((J249/365)*12)/12</f>
        <v>#REF!</v>
      </c>
      <c r="L249" s="363"/>
      <c r="M249" s="363" t="e">
        <f>VALO_PERSO!#REF!</f>
        <v>#REF!</v>
      </c>
      <c r="N249" s="383" t="e">
        <f t="shared" ref="N249" si="175">S249/M249</f>
        <v>#REF!</v>
      </c>
      <c r="O249" s="384" t="e">
        <f t="shared" ref="O249" si="176">P249/12</f>
        <v>#REF!</v>
      </c>
      <c r="P249" s="367" t="e">
        <f>VALO_PERSO!#REF!</f>
        <v>#REF!</v>
      </c>
      <c r="Q249" s="367" t="e">
        <f>VALO_PERSO!#REF!</f>
        <v>#REF!</v>
      </c>
      <c r="R249" s="367" t="e">
        <f>VALO_PERSO!#REF!</f>
        <v>#REF!</v>
      </c>
      <c r="S249" s="385" t="e">
        <f>VALO_PERSO!#REF!-VALO_PERSO!#REF!</f>
        <v>#REF!</v>
      </c>
      <c r="T249" s="367" t="e">
        <f t="shared" ref="T249" si="177">S249*R249</f>
        <v>#REF!</v>
      </c>
    </row>
    <row r="250" spans="1:20" s="112" customFormat="1" ht="15.75" thickBot="1" x14ac:dyDescent="0.3">
      <c r="A250" s="112" t="s">
        <v>815</v>
      </c>
      <c r="B250" s="363" t="e">
        <f>VALO_PERSO!#REF!</f>
        <v>#REF!</v>
      </c>
      <c r="C250" s="363" t="e">
        <f t="shared" ref="C250" si="178">CONCATENATE(C87," ",D87)</f>
        <v>#REF!</v>
      </c>
      <c r="D250" s="363" t="e">
        <f>VALO_PERSO!#REF!</f>
        <v>#REF!</v>
      </c>
      <c r="E250" s="363" t="e">
        <f>VALO_PERSO!#REF!</f>
        <v>#REF!</v>
      </c>
      <c r="F250" s="364" t="e">
        <f>VALO_PERSO!#REF!</f>
        <v>#REF!</v>
      </c>
      <c r="G250" s="364" t="e">
        <f t="shared" si="47"/>
        <v>#REF!</v>
      </c>
      <c r="H250" s="364" t="e">
        <f>VALO_PERSO!#REF!</f>
        <v>#REF!</v>
      </c>
      <c r="I250" s="364" t="e">
        <f t="shared" si="48"/>
        <v>#REF!</v>
      </c>
      <c r="J250" s="363" t="e">
        <f t="shared" si="49"/>
        <v>#REF!</v>
      </c>
      <c r="K250" s="363" t="e">
        <f t="shared" si="50"/>
        <v>#REF!</v>
      </c>
      <c r="L250" s="363"/>
      <c r="M250" s="363" t="e">
        <f>VALO_PERSO!#REF!</f>
        <v>#REF!</v>
      </c>
      <c r="N250" s="383" t="e">
        <f t="shared" si="51"/>
        <v>#REF!</v>
      </c>
      <c r="O250" s="384" t="e">
        <f t="shared" si="52"/>
        <v>#REF!</v>
      </c>
      <c r="P250" s="367" t="e">
        <f>VALO_PERSO!#REF!</f>
        <v>#REF!</v>
      </c>
      <c r="Q250" s="367" t="e">
        <f>VALO_PERSO!#REF!</f>
        <v>#REF!</v>
      </c>
      <c r="R250" s="367" t="e">
        <f>VALO_PERSO!#REF!</f>
        <v>#REF!</v>
      </c>
      <c r="S250" s="385" t="e">
        <f>VALO_PERSO!#REF!-VALO_PERSO!#REF!</f>
        <v>#REF!</v>
      </c>
      <c r="T250" s="367" t="e">
        <f t="shared" si="53"/>
        <v>#REF!</v>
      </c>
    </row>
    <row r="251" spans="1:20" s="112" customFormat="1" ht="15.75" thickBot="1" x14ac:dyDescent="0.3">
      <c r="A251" s="112" t="s">
        <v>815</v>
      </c>
      <c r="B251" s="363" t="e">
        <f>VALO_PERSO!#REF!</f>
        <v>#REF!</v>
      </c>
      <c r="C251" s="363" t="str">
        <f t="shared" ref="C251" si="179">CONCATENATE(C88," ",D88)</f>
        <v>JONDOT Keita</v>
      </c>
      <c r="D251" s="363" t="e">
        <f>VALO_PERSO!#REF!</f>
        <v>#REF!</v>
      </c>
      <c r="E251" s="363" t="e">
        <f>VALO_PERSO!#REF!</f>
        <v>#REF!</v>
      </c>
      <c r="F251" s="364" t="e">
        <f>VALO_PERSO!#REF!</f>
        <v>#REF!</v>
      </c>
      <c r="G251" s="364" t="e">
        <f t="shared" ref="G251" si="180">IF(F251&lt;DATE(2024,1,1),DATE(2024,1,1),F251)</f>
        <v>#REF!</v>
      </c>
      <c r="H251" s="364" t="e">
        <f>VALO_PERSO!#REF!</f>
        <v>#REF!</v>
      </c>
      <c r="I251" s="364" t="e">
        <f t="shared" ref="I251" si="181">IF(OR(ISBLANK(H251),H251=0),DATE(2024,12,31),H251)</f>
        <v>#REF!</v>
      </c>
      <c r="J251" s="363" t="e">
        <f t="shared" ref="J251" si="182">I251-G251</f>
        <v>#REF!</v>
      </c>
      <c r="K251" s="363" t="e">
        <f t="shared" ref="K251" si="183">((J251/365)*12)/12</f>
        <v>#REF!</v>
      </c>
      <c r="L251" s="363"/>
      <c r="M251" s="363" t="e">
        <f>VALO_PERSO!#REF!</f>
        <v>#REF!</v>
      </c>
      <c r="N251" s="383" t="e">
        <f t="shared" ref="N251" si="184">S251/M251</f>
        <v>#REF!</v>
      </c>
      <c r="O251" s="384" t="e">
        <f t="shared" ref="O251" si="185">P251/12</f>
        <v>#REF!</v>
      </c>
      <c r="P251" s="367" t="e">
        <f>VALO_PERSO!#REF!</f>
        <v>#REF!</v>
      </c>
      <c r="Q251" s="367" t="e">
        <f>VALO_PERSO!#REF!</f>
        <v>#REF!</v>
      </c>
      <c r="R251" s="367" t="e">
        <f>VALO_PERSO!#REF!</f>
        <v>#REF!</v>
      </c>
      <c r="S251" s="385" t="e">
        <f>VALO_PERSO!#REF!-VALO_PERSO!#REF!</f>
        <v>#REF!</v>
      </c>
      <c r="T251" s="367" t="e">
        <f t="shared" ref="T251" si="186">S251*R251</f>
        <v>#REF!</v>
      </c>
    </row>
    <row r="252" spans="1:20" s="112" customFormat="1" ht="15.75" thickBot="1" x14ac:dyDescent="0.3">
      <c r="A252" s="112" t="s">
        <v>815</v>
      </c>
      <c r="B252" s="363" t="e">
        <f>VALO_PERSO!#REF!</f>
        <v>#REF!</v>
      </c>
      <c r="C252" s="363" t="str">
        <f t="shared" ref="C252" si="187">CONCATENATE(C88," ",D88)</f>
        <v>JONDOT Keita</v>
      </c>
      <c r="D252" s="363" t="e">
        <f>VALO_PERSO!#REF!</f>
        <v>#REF!</v>
      </c>
      <c r="E252" s="363" t="e">
        <f>VALO_PERSO!#REF!</f>
        <v>#REF!</v>
      </c>
      <c r="F252" s="364" t="e">
        <f>VALO_PERSO!#REF!</f>
        <v>#REF!</v>
      </c>
      <c r="G252" s="364" t="e">
        <f t="shared" ref="G252" si="188">IF(F252&lt;DATE(2024,1,1),DATE(2024,1,1),F252)</f>
        <v>#REF!</v>
      </c>
      <c r="H252" s="364" t="e">
        <f>VALO_PERSO!#REF!</f>
        <v>#REF!</v>
      </c>
      <c r="I252" s="364" t="e">
        <f t="shared" ref="I252" si="189">IF(OR(ISBLANK(H252),H252=0),DATE(2024,12,31),H252)</f>
        <v>#REF!</v>
      </c>
      <c r="J252" s="363" t="e">
        <f t="shared" ref="J252" si="190">I252-G252</f>
        <v>#REF!</v>
      </c>
      <c r="K252" s="363" t="e">
        <f t="shared" ref="K252" si="191">((J252/365)*12)/12</f>
        <v>#REF!</v>
      </c>
      <c r="L252" s="363"/>
      <c r="M252" s="363" t="e">
        <f>VALO_PERSO!#REF!</f>
        <v>#REF!</v>
      </c>
      <c r="N252" s="383" t="e">
        <f t="shared" ref="N252" si="192">S252/M252</f>
        <v>#REF!</v>
      </c>
      <c r="O252" s="384" t="e">
        <f t="shared" ref="O252" si="193">P252/12</f>
        <v>#REF!</v>
      </c>
      <c r="P252" s="367" t="e">
        <f>VALO_PERSO!#REF!</f>
        <v>#REF!</v>
      </c>
      <c r="Q252" s="367" t="e">
        <f>VALO_PERSO!#REF!</f>
        <v>#REF!</v>
      </c>
      <c r="R252" s="367" t="e">
        <f>VALO_PERSO!#REF!</f>
        <v>#REF!</v>
      </c>
      <c r="S252" s="385" t="e">
        <f>VALO_PERSO!#REF!-VALO_PERSO!#REF!</f>
        <v>#REF!</v>
      </c>
      <c r="T252" s="367" t="e">
        <f t="shared" ref="T252" si="194">S252*R252</f>
        <v>#REF!</v>
      </c>
    </row>
    <row r="253" spans="1:20" s="112" customFormat="1" ht="15.75" thickBot="1" x14ac:dyDescent="0.3">
      <c r="A253" s="112" t="s">
        <v>815</v>
      </c>
      <c r="B253" s="363" t="e">
        <f>VALO_PERSO!#REF!</f>
        <v>#REF!</v>
      </c>
      <c r="C253" s="363" t="e">
        <f t="shared" ref="C253" si="195">CONCATENATE(C89," ",D89)</f>
        <v>#REF!</v>
      </c>
      <c r="D253" s="363" t="e">
        <f>VALO_PERSO!#REF!</f>
        <v>#REF!</v>
      </c>
      <c r="E253" s="363" t="e">
        <f>VALO_PERSO!#REF!</f>
        <v>#REF!</v>
      </c>
      <c r="F253" s="364" t="e">
        <f>VALO_PERSO!#REF!</f>
        <v>#REF!</v>
      </c>
      <c r="G253" s="364" t="e">
        <f t="shared" ref="G253" si="196">IF(F253&lt;DATE(2024,1,1),DATE(2024,1,1),F253)</f>
        <v>#REF!</v>
      </c>
      <c r="H253" s="364" t="e">
        <f>VALO_PERSO!#REF!</f>
        <v>#REF!</v>
      </c>
      <c r="I253" s="364" t="e">
        <f t="shared" ref="I253" si="197">IF(OR(ISBLANK(H253),H253=0),DATE(2024,12,31),H253)</f>
        <v>#REF!</v>
      </c>
      <c r="J253" s="363" t="e">
        <f t="shared" ref="J253" si="198">I253-G253</f>
        <v>#REF!</v>
      </c>
      <c r="K253" s="363" t="e">
        <f t="shared" ref="K253" si="199">((J253/365)*12)/12</f>
        <v>#REF!</v>
      </c>
      <c r="L253" s="363"/>
      <c r="M253" s="363" t="e">
        <f>VALO_PERSO!#REF!</f>
        <v>#REF!</v>
      </c>
      <c r="N253" s="383" t="e">
        <f t="shared" ref="N253" si="200">S253/M253</f>
        <v>#REF!</v>
      </c>
      <c r="O253" s="384" t="e">
        <f t="shared" ref="O253" si="201">P253/12</f>
        <v>#REF!</v>
      </c>
      <c r="P253" s="367" t="e">
        <f>VALO_PERSO!#REF!</f>
        <v>#REF!</v>
      </c>
      <c r="Q253" s="367" t="e">
        <f>VALO_PERSO!#REF!</f>
        <v>#REF!</v>
      </c>
      <c r="R253" s="367" t="e">
        <f>VALO_PERSO!#REF!</f>
        <v>#REF!</v>
      </c>
      <c r="S253" s="385" t="e">
        <f>VALO_PERSO!#REF!-VALO_PERSO!#REF!</f>
        <v>#REF!</v>
      </c>
      <c r="T253" s="367" t="e">
        <f t="shared" ref="T253" si="202">S253*R253</f>
        <v>#REF!</v>
      </c>
    </row>
    <row r="254" spans="1:20" s="112" customFormat="1" ht="15.75" thickBot="1" x14ac:dyDescent="0.3">
      <c r="A254" s="112" t="s">
        <v>815</v>
      </c>
      <c r="B254" s="363" t="e">
        <f>VALO_PERSO!#REF!</f>
        <v>#REF!</v>
      </c>
      <c r="C254" s="363" t="e">
        <f t="shared" ref="C254" si="203">CONCATENATE(C87," ",D87)</f>
        <v>#REF!</v>
      </c>
      <c r="D254" s="363" t="e">
        <f>VALO_PERSO!#REF!</f>
        <v>#REF!</v>
      </c>
      <c r="E254" s="363" t="e">
        <f>VALO_PERSO!#REF!</f>
        <v>#REF!</v>
      </c>
      <c r="F254" s="364" t="e">
        <f>VALO_PERSO!#REF!</f>
        <v>#REF!</v>
      </c>
      <c r="G254" s="364" t="e">
        <f t="shared" si="47"/>
        <v>#REF!</v>
      </c>
      <c r="H254" s="364" t="e">
        <f>VALO_PERSO!#REF!</f>
        <v>#REF!</v>
      </c>
      <c r="I254" s="364" t="e">
        <f t="shared" si="48"/>
        <v>#REF!</v>
      </c>
      <c r="J254" s="363" t="e">
        <f t="shared" si="49"/>
        <v>#REF!</v>
      </c>
      <c r="K254" s="363" t="e">
        <f t="shared" si="50"/>
        <v>#REF!</v>
      </c>
      <c r="L254" s="363"/>
      <c r="M254" s="363" t="e">
        <f>VALO_PERSO!#REF!</f>
        <v>#REF!</v>
      </c>
      <c r="N254" s="383" t="e">
        <f t="shared" si="51"/>
        <v>#REF!</v>
      </c>
      <c r="O254" s="384" t="e">
        <f t="shared" si="52"/>
        <v>#REF!</v>
      </c>
      <c r="P254" s="367" t="e">
        <f>VALO_PERSO!#REF!</f>
        <v>#REF!</v>
      </c>
      <c r="Q254" s="367" t="e">
        <f>VALO_PERSO!#REF!</f>
        <v>#REF!</v>
      </c>
      <c r="R254" s="367" t="e">
        <f>VALO_PERSO!#REF!</f>
        <v>#REF!</v>
      </c>
      <c r="S254" s="385" t="e">
        <f>VALO_PERSO!#REF!-VALO_PERSO!#REF!</f>
        <v>#REF!</v>
      </c>
      <c r="T254" s="367" t="e">
        <f t="shared" si="53"/>
        <v>#REF!</v>
      </c>
    </row>
    <row r="255" spans="1:20" s="112" customFormat="1" ht="15.75" thickBot="1" x14ac:dyDescent="0.3">
      <c r="A255" s="112" t="s">
        <v>815</v>
      </c>
      <c r="B255" s="363" t="e">
        <f>VALO_PERSO!#REF!</f>
        <v>#REF!</v>
      </c>
      <c r="C255" s="363" t="str">
        <f t="shared" ref="C255" si="204">CONCATENATE(C88," ",D88)</f>
        <v>JONDOT Keita</v>
      </c>
      <c r="D255" s="363" t="e">
        <f>VALO_PERSO!#REF!</f>
        <v>#REF!</v>
      </c>
      <c r="E255" s="363" t="e">
        <f>VALO_PERSO!#REF!</f>
        <v>#REF!</v>
      </c>
      <c r="F255" s="364" t="e">
        <f>VALO_PERSO!#REF!</f>
        <v>#REF!</v>
      </c>
      <c r="G255" s="364" t="e">
        <f t="shared" ref="G255" si="205">IF(F255&lt;DATE(2024,1,1),DATE(2024,1,1),F255)</f>
        <v>#REF!</v>
      </c>
      <c r="H255" s="364" t="e">
        <f>VALO_PERSO!#REF!</f>
        <v>#REF!</v>
      </c>
      <c r="I255" s="364" t="e">
        <f t="shared" ref="I255" si="206">IF(OR(ISBLANK(H255),H255=0),DATE(2024,12,31),H255)</f>
        <v>#REF!</v>
      </c>
      <c r="J255" s="363" t="e">
        <f t="shared" ref="J255" si="207">I255-G255</f>
        <v>#REF!</v>
      </c>
      <c r="K255" s="363" t="e">
        <f t="shared" ref="K255" si="208">((J255/365)*12)/12</f>
        <v>#REF!</v>
      </c>
      <c r="L255" s="363"/>
      <c r="M255" s="363" t="e">
        <f>VALO_PERSO!#REF!</f>
        <v>#REF!</v>
      </c>
      <c r="N255" s="383" t="e">
        <f t="shared" ref="N255" si="209">S255/M255</f>
        <v>#REF!</v>
      </c>
      <c r="O255" s="384" t="e">
        <f t="shared" ref="O255" si="210">P255/12</f>
        <v>#REF!</v>
      </c>
      <c r="P255" s="367" t="e">
        <f>VALO_PERSO!#REF!</f>
        <v>#REF!</v>
      </c>
      <c r="Q255" s="367" t="e">
        <f>VALO_PERSO!#REF!</f>
        <v>#REF!</v>
      </c>
      <c r="R255" s="367" t="e">
        <f>VALO_PERSO!#REF!</f>
        <v>#REF!</v>
      </c>
      <c r="S255" s="385" t="e">
        <f>VALO_PERSO!#REF!-VALO_PERSO!#REF!</f>
        <v>#REF!</v>
      </c>
      <c r="T255" s="367" t="e">
        <f t="shared" ref="T255" si="211">S255*R255</f>
        <v>#REF!</v>
      </c>
    </row>
    <row r="256" spans="1:20" s="112" customFormat="1" ht="15.75" thickBot="1" x14ac:dyDescent="0.3">
      <c r="A256" s="112" t="s">
        <v>815</v>
      </c>
      <c r="B256" s="363" t="e">
        <f>VALO_PERSO!#REF!</f>
        <v>#REF!</v>
      </c>
      <c r="C256" s="363" t="str">
        <f t="shared" ref="C256" si="212">CONCATENATE(C88," ",D88)</f>
        <v>JONDOT Keita</v>
      </c>
      <c r="D256" s="363" t="e">
        <f>VALO_PERSO!#REF!</f>
        <v>#REF!</v>
      </c>
      <c r="E256" s="363" t="e">
        <f>VALO_PERSO!#REF!</f>
        <v>#REF!</v>
      </c>
      <c r="F256" s="364" t="e">
        <f>VALO_PERSO!#REF!</f>
        <v>#REF!</v>
      </c>
      <c r="G256" s="364" t="e">
        <f t="shared" ref="G256" si="213">IF(F256&lt;DATE(2024,1,1),DATE(2024,1,1),F256)</f>
        <v>#REF!</v>
      </c>
      <c r="H256" s="364" t="e">
        <f>VALO_PERSO!#REF!</f>
        <v>#REF!</v>
      </c>
      <c r="I256" s="364" t="e">
        <f t="shared" ref="I256" si="214">IF(OR(ISBLANK(H256),H256=0),DATE(2024,12,31),H256)</f>
        <v>#REF!</v>
      </c>
      <c r="J256" s="363" t="e">
        <f t="shared" ref="J256" si="215">I256-G256</f>
        <v>#REF!</v>
      </c>
      <c r="K256" s="363" t="e">
        <f t="shared" ref="K256" si="216">((J256/365)*12)/12</f>
        <v>#REF!</v>
      </c>
      <c r="L256" s="363"/>
      <c r="M256" s="363" t="e">
        <f>VALO_PERSO!#REF!</f>
        <v>#REF!</v>
      </c>
      <c r="N256" s="383" t="e">
        <f t="shared" ref="N256" si="217">S256/M256</f>
        <v>#REF!</v>
      </c>
      <c r="O256" s="384" t="e">
        <f t="shared" ref="O256" si="218">P256/12</f>
        <v>#REF!</v>
      </c>
      <c r="P256" s="367" t="e">
        <f>VALO_PERSO!#REF!</f>
        <v>#REF!</v>
      </c>
      <c r="Q256" s="367" t="e">
        <f>VALO_PERSO!#REF!</f>
        <v>#REF!</v>
      </c>
      <c r="R256" s="367" t="e">
        <f>VALO_PERSO!#REF!</f>
        <v>#REF!</v>
      </c>
      <c r="S256" s="385" t="e">
        <f>VALO_PERSO!#REF!-VALO_PERSO!#REF!</f>
        <v>#REF!</v>
      </c>
      <c r="T256" s="367" t="e">
        <f t="shared" ref="T256" si="219">S256*R256</f>
        <v>#REF!</v>
      </c>
    </row>
    <row r="257" spans="1:20" s="112" customFormat="1" ht="15.75" thickBot="1" x14ac:dyDescent="0.3">
      <c r="A257" s="112" t="s">
        <v>815</v>
      </c>
      <c r="B257" s="363" t="e">
        <f>VALO_PERSO!#REF!</f>
        <v>#REF!</v>
      </c>
      <c r="C257" s="363" t="e">
        <f t="shared" ref="C257" si="220">CONCATENATE(C89," ",D89)</f>
        <v>#REF!</v>
      </c>
      <c r="D257" s="363" t="e">
        <f>VALO_PERSO!#REF!</f>
        <v>#REF!</v>
      </c>
      <c r="E257" s="363" t="e">
        <f>VALO_PERSO!#REF!</f>
        <v>#REF!</v>
      </c>
      <c r="F257" s="364" t="e">
        <f>VALO_PERSO!#REF!</f>
        <v>#REF!</v>
      </c>
      <c r="G257" s="364" t="e">
        <f t="shared" ref="G257" si="221">IF(F257&lt;DATE(2024,1,1),DATE(2024,1,1),F257)</f>
        <v>#REF!</v>
      </c>
      <c r="H257" s="364" t="e">
        <f>VALO_PERSO!#REF!</f>
        <v>#REF!</v>
      </c>
      <c r="I257" s="364" t="e">
        <f t="shared" ref="I257" si="222">IF(OR(ISBLANK(H257),H257=0),DATE(2024,12,31),H257)</f>
        <v>#REF!</v>
      </c>
      <c r="J257" s="363" t="e">
        <f t="shared" ref="J257" si="223">I257-G257</f>
        <v>#REF!</v>
      </c>
      <c r="K257" s="363" t="e">
        <f t="shared" ref="K257" si="224">((J257/365)*12)/12</f>
        <v>#REF!</v>
      </c>
      <c r="L257" s="363"/>
      <c r="M257" s="363" t="e">
        <f>VALO_PERSO!#REF!</f>
        <v>#REF!</v>
      </c>
      <c r="N257" s="383" t="e">
        <f t="shared" ref="N257" si="225">S257/M257</f>
        <v>#REF!</v>
      </c>
      <c r="O257" s="384" t="e">
        <f t="shared" ref="O257" si="226">P257/12</f>
        <v>#REF!</v>
      </c>
      <c r="P257" s="367" t="e">
        <f>VALO_PERSO!#REF!</f>
        <v>#REF!</v>
      </c>
      <c r="Q257" s="367" t="e">
        <f>VALO_PERSO!#REF!</f>
        <v>#REF!</v>
      </c>
      <c r="R257" s="367" t="e">
        <f>VALO_PERSO!#REF!</f>
        <v>#REF!</v>
      </c>
      <c r="S257" s="385" t="e">
        <f>VALO_PERSO!#REF!-VALO_PERSO!#REF!</f>
        <v>#REF!</v>
      </c>
      <c r="T257" s="367" t="e">
        <f t="shared" ref="T257" si="227">S257*R257</f>
        <v>#REF!</v>
      </c>
    </row>
    <row r="258" spans="1:20" s="112" customFormat="1" ht="15.75" thickBot="1" x14ac:dyDescent="0.3">
      <c r="A258" s="112" t="s">
        <v>815</v>
      </c>
      <c r="B258" s="363" t="e">
        <f>VALO_PERSO!#REF!</f>
        <v>#REF!</v>
      </c>
      <c r="C258" s="363" t="e">
        <f t="shared" ref="C258" si="228">CONCATENATE(C87," ",D87)</f>
        <v>#REF!</v>
      </c>
      <c r="D258" s="363" t="e">
        <f>VALO_PERSO!#REF!</f>
        <v>#REF!</v>
      </c>
      <c r="E258" s="363" t="e">
        <f>VALO_PERSO!#REF!</f>
        <v>#REF!</v>
      </c>
      <c r="F258" s="364" t="e">
        <f>VALO_PERSO!#REF!</f>
        <v>#REF!</v>
      </c>
      <c r="G258" s="364" t="e">
        <f t="shared" si="47"/>
        <v>#REF!</v>
      </c>
      <c r="H258" s="364" t="e">
        <f>VALO_PERSO!#REF!</f>
        <v>#REF!</v>
      </c>
      <c r="I258" s="364" t="e">
        <f t="shared" si="48"/>
        <v>#REF!</v>
      </c>
      <c r="J258" s="363" t="e">
        <f t="shared" si="49"/>
        <v>#REF!</v>
      </c>
      <c r="K258" s="363" t="e">
        <f t="shared" si="50"/>
        <v>#REF!</v>
      </c>
      <c r="L258" s="363"/>
      <c r="M258" s="363" t="e">
        <f>VALO_PERSO!#REF!</f>
        <v>#REF!</v>
      </c>
      <c r="N258" s="383" t="e">
        <f t="shared" si="51"/>
        <v>#REF!</v>
      </c>
      <c r="O258" s="384" t="e">
        <f t="shared" si="52"/>
        <v>#REF!</v>
      </c>
      <c r="P258" s="367" t="e">
        <f>VALO_PERSO!#REF!</f>
        <v>#REF!</v>
      </c>
      <c r="Q258" s="367" t="e">
        <f>VALO_PERSO!#REF!</f>
        <v>#REF!</v>
      </c>
      <c r="R258" s="367" t="e">
        <f>VALO_PERSO!#REF!</f>
        <v>#REF!</v>
      </c>
      <c r="S258" s="385" t="e">
        <f>VALO_PERSO!#REF!-VALO_PERSO!#REF!</f>
        <v>#REF!</v>
      </c>
      <c r="T258" s="367" t="e">
        <f t="shared" si="53"/>
        <v>#REF!</v>
      </c>
    </row>
    <row r="259" spans="1:20" s="112" customFormat="1" ht="15.75" thickBot="1" x14ac:dyDescent="0.3">
      <c r="A259" s="112" t="s">
        <v>815</v>
      </c>
      <c r="B259" s="363" t="e">
        <f>VALO_PERSO!#REF!</f>
        <v>#REF!</v>
      </c>
      <c r="C259" s="363" t="str">
        <f t="shared" ref="C259" si="229">CONCATENATE(C88," ",D88)</f>
        <v>JONDOT Keita</v>
      </c>
      <c r="D259" s="363" t="e">
        <f>VALO_PERSO!#REF!</f>
        <v>#REF!</v>
      </c>
      <c r="E259" s="363" t="e">
        <f>VALO_PERSO!#REF!</f>
        <v>#REF!</v>
      </c>
      <c r="F259" s="364" t="e">
        <f>VALO_PERSO!#REF!</f>
        <v>#REF!</v>
      </c>
      <c r="G259" s="364" t="e">
        <f t="shared" ref="G259" si="230">IF(F259&lt;DATE(2024,1,1),DATE(2024,1,1),F259)</f>
        <v>#REF!</v>
      </c>
      <c r="H259" s="364" t="e">
        <f>VALO_PERSO!#REF!</f>
        <v>#REF!</v>
      </c>
      <c r="I259" s="364" t="e">
        <f t="shared" ref="I259" si="231">IF(OR(ISBLANK(H259),H259=0),DATE(2024,12,31),H259)</f>
        <v>#REF!</v>
      </c>
      <c r="J259" s="363" t="e">
        <f t="shared" ref="J259" si="232">I259-G259</f>
        <v>#REF!</v>
      </c>
      <c r="K259" s="363" t="e">
        <f t="shared" ref="K259" si="233">((J259/365)*12)/12</f>
        <v>#REF!</v>
      </c>
      <c r="L259" s="363"/>
      <c r="M259" s="363" t="e">
        <f>VALO_PERSO!#REF!</f>
        <v>#REF!</v>
      </c>
      <c r="N259" s="383" t="e">
        <f t="shared" ref="N259" si="234">S259/M259</f>
        <v>#REF!</v>
      </c>
      <c r="O259" s="384" t="e">
        <f t="shared" ref="O259" si="235">P259/12</f>
        <v>#REF!</v>
      </c>
      <c r="P259" s="367" t="e">
        <f>VALO_PERSO!#REF!</f>
        <v>#REF!</v>
      </c>
      <c r="Q259" s="367" t="e">
        <f>VALO_PERSO!#REF!</f>
        <v>#REF!</v>
      </c>
      <c r="R259" s="367" t="e">
        <f>VALO_PERSO!#REF!</f>
        <v>#REF!</v>
      </c>
      <c r="S259" s="385" t="e">
        <f>VALO_PERSO!#REF!-VALO_PERSO!#REF!</f>
        <v>#REF!</v>
      </c>
      <c r="T259" s="367" t="e">
        <f t="shared" ref="T259" si="236">S259*R259</f>
        <v>#REF!</v>
      </c>
    </row>
    <row r="260" spans="1:20" s="112" customFormat="1" ht="15.75" thickBot="1" x14ac:dyDescent="0.3">
      <c r="A260" s="112" t="s">
        <v>815</v>
      </c>
      <c r="B260" s="363" t="e">
        <f>VALO_PERSO!#REF!</f>
        <v>#REF!</v>
      </c>
      <c r="C260" s="363" t="str">
        <f t="shared" ref="C260" si="237">CONCATENATE(C88," ",D88)</f>
        <v>JONDOT Keita</v>
      </c>
      <c r="D260" s="363" t="e">
        <f>VALO_PERSO!#REF!</f>
        <v>#REF!</v>
      </c>
      <c r="E260" s="363" t="e">
        <f>VALO_PERSO!#REF!</f>
        <v>#REF!</v>
      </c>
      <c r="F260" s="364" t="e">
        <f>VALO_PERSO!#REF!</f>
        <v>#REF!</v>
      </c>
      <c r="G260" s="364" t="e">
        <f t="shared" ref="G260" si="238">IF(F260&lt;DATE(2024,1,1),DATE(2024,1,1),F260)</f>
        <v>#REF!</v>
      </c>
      <c r="H260" s="364" t="e">
        <f>VALO_PERSO!#REF!</f>
        <v>#REF!</v>
      </c>
      <c r="I260" s="364" t="e">
        <f t="shared" ref="I260" si="239">IF(OR(ISBLANK(H260),H260=0),DATE(2024,12,31),H260)</f>
        <v>#REF!</v>
      </c>
      <c r="J260" s="363" t="e">
        <f t="shared" ref="J260" si="240">I260-G260</f>
        <v>#REF!</v>
      </c>
      <c r="K260" s="363" t="e">
        <f t="shared" ref="K260" si="241">((J260/365)*12)/12</f>
        <v>#REF!</v>
      </c>
      <c r="L260" s="363"/>
      <c r="M260" s="363" t="e">
        <f>VALO_PERSO!#REF!</f>
        <v>#REF!</v>
      </c>
      <c r="N260" s="383" t="e">
        <f t="shared" ref="N260" si="242">S260/M260</f>
        <v>#REF!</v>
      </c>
      <c r="O260" s="384" t="e">
        <f t="shared" ref="O260" si="243">P260/12</f>
        <v>#REF!</v>
      </c>
      <c r="P260" s="367" t="e">
        <f>VALO_PERSO!#REF!</f>
        <v>#REF!</v>
      </c>
      <c r="Q260" s="367" t="e">
        <f>VALO_PERSO!#REF!</f>
        <v>#REF!</v>
      </c>
      <c r="R260" s="367" t="e">
        <f>VALO_PERSO!#REF!</f>
        <v>#REF!</v>
      </c>
      <c r="S260" s="385" t="e">
        <f>VALO_PERSO!#REF!-VALO_PERSO!#REF!</f>
        <v>#REF!</v>
      </c>
      <c r="T260" s="367" t="e">
        <f t="shared" ref="T260" si="244">S260*R260</f>
        <v>#REF!</v>
      </c>
    </row>
    <row r="261" spans="1:20" s="112" customFormat="1" ht="15.75" thickBot="1" x14ac:dyDescent="0.3">
      <c r="A261" s="112" t="s">
        <v>815</v>
      </c>
      <c r="B261" s="363" t="e">
        <f>VALO_PERSO!#REF!</f>
        <v>#REF!</v>
      </c>
      <c r="C261" s="363" t="e">
        <f t="shared" ref="C261" si="245">CONCATENATE(C89," ",D89)</f>
        <v>#REF!</v>
      </c>
      <c r="D261" s="363" t="e">
        <f>VALO_PERSO!#REF!</f>
        <v>#REF!</v>
      </c>
      <c r="E261" s="363" t="e">
        <f>VALO_PERSO!#REF!</f>
        <v>#REF!</v>
      </c>
      <c r="F261" s="364" t="e">
        <f>VALO_PERSO!#REF!</f>
        <v>#REF!</v>
      </c>
      <c r="G261" s="364" t="e">
        <f t="shared" ref="G261" si="246">IF(F261&lt;DATE(2024,1,1),DATE(2024,1,1),F261)</f>
        <v>#REF!</v>
      </c>
      <c r="H261" s="364" t="e">
        <f>VALO_PERSO!#REF!</f>
        <v>#REF!</v>
      </c>
      <c r="I261" s="364" t="e">
        <f t="shared" ref="I261" si="247">IF(OR(ISBLANK(H261),H261=0),DATE(2024,12,31),H261)</f>
        <v>#REF!</v>
      </c>
      <c r="J261" s="363" t="e">
        <f t="shared" ref="J261" si="248">I261-G261</f>
        <v>#REF!</v>
      </c>
      <c r="K261" s="363" t="e">
        <f t="shared" ref="K261" si="249">((J261/365)*12)/12</f>
        <v>#REF!</v>
      </c>
      <c r="L261" s="363"/>
      <c r="M261" s="363" t="e">
        <f>VALO_PERSO!#REF!</f>
        <v>#REF!</v>
      </c>
      <c r="N261" s="383" t="e">
        <f t="shared" ref="N261" si="250">S261/M261</f>
        <v>#REF!</v>
      </c>
      <c r="O261" s="384" t="e">
        <f t="shared" ref="O261" si="251">P261/12</f>
        <v>#REF!</v>
      </c>
      <c r="P261" s="367" t="e">
        <f>VALO_PERSO!#REF!</f>
        <v>#REF!</v>
      </c>
      <c r="Q261" s="367" t="e">
        <f>VALO_PERSO!#REF!</f>
        <v>#REF!</v>
      </c>
      <c r="R261" s="367" t="e">
        <f>VALO_PERSO!#REF!</f>
        <v>#REF!</v>
      </c>
      <c r="S261" s="385" t="e">
        <f>VALO_PERSO!#REF!-VALO_PERSO!#REF!</f>
        <v>#REF!</v>
      </c>
      <c r="T261" s="367" t="e">
        <f t="shared" ref="T261" si="252">S261*R261</f>
        <v>#REF!</v>
      </c>
    </row>
    <row r="262" spans="1:20" s="112" customFormat="1" ht="15.75" thickBot="1" x14ac:dyDescent="0.3">
      <c r="A262" s="112" t="s">
        <v>815</v>
      </c>
      <c r="B262" s="363" t="e">
        <f>VALO_PERSO!#REF!</f>
        <v>#REF!</v>
      </c>
      <c r="C262" s="363" t="e">
        <f t="shared" ref="C262" si="253">CONCATENATE(C87," ",D87)</f>
        <v>#REF!</v>
      </c>
      <c r="D262" s="363" t="e">
        <f>VALO_PERSO!#REF!</f>
        <v>#REF!</v>
      </c>
      <c r="E262" s="363" t="e">
        <f>VALO_PERSO!#REF!</f>
        <v>#REF!</v>
      </c>
      <c r="F262" s="364" t="e">
        <f>VALO_PERSO!#REF!</f>
        <v>#REF!</v>
      </c>
      <c r="G262" s="364" t="e">
        <f t="shared" si="47"/>
        <v>#REF!</v>
      </c>
      <c r="H262" s="364" t="e">
        <f>VALO_PERSO!#REF!</f>
        <v>#REF!</v>
      </c>
      <c r="I262" s="364" t="e">
        <f t="shared" si="48"/>
        <v>#REF!</v>
      </c>
      <c r="J262" s="363" t="e">
        <f t="shared" si="49"/>
        <v>#REF!</v>
      </c>
      <c r="K262" s="363" t="e">
        <f t="shared" si="50"/>
        <v>#REF!</v>
      </c>
      <c r="L262" s="363"/>
      <c r="M262" s="363" t="e">
        <f>VALO_PERSO!#REF!</f>
        <v>#REF!</v>
      </c>
      <c r="N262" s="383" t="e">
        <f t="shared" si="51"/>
        <v>#REF!</v>
      </c>
      <c r="O262" s="384" t="e">
        <f t="shared" si="52"/>
        <v>#REF!</v>
      </c>
      <c r="P262" s="367" t="e">
        <f>VALO_PERSO!#REF!</f>
        <v>#REF!</v>
      </c>
      <c r="Q262" s="367" t="e">
        <f>VALO_PERSO!#REF!</f>
        <v>#REF!</v>
      </c>
      <c r="R262" s="367" t="e">
        <f>VALO_PERSO!#REF!</f>
        <v>#REF!</v>
      </c>
      <c r="S262" s="385" t="e">
        <f>VALO_PERSO!#REF!-VALO_PERSO!#REF!</f>
        <v>#REF!</v>
      </c>
      <c r="T262" s="367" t="e">
        <f t="shared" si="53"/>
        <v>#REF!</v>
      </c>
    </row>
    <row r="263" spans="1:20" s="112" customFormat="1" ht="15.75" thickBot="1" x14ac:dyDescent="0.3">
      <c r="A263" s="112" t="s">
        <v>815</v>
      </c>
      <c r="B263" s="363" t="e">
        <f>VALO_PERSO!#REF!</f>
        <v>#REF!</v>
      </c>
      <c r="C263" s="363" t="str">
        <f t="shared" ref="C263" si="254">CONCATENATE(C88," ",D88)</f>
        <v>JONDOT Keita</v>
      </c>
      <c r="D263" s="363" t="e">
        <f>VALO_PERSO!#REF!</f>
        <v>#REF!</v>
      </c>
      <c r="E263" s="363" t="e">
        <f>VALO_PERSO!#REF!</f>
        <v>#REF!</v>
      </c>
      <c r="F263" s="364" t="e">
        <f>VALO_PERSO!#REF!</f>
        <v>#REF!</v>
      </c>
      <c r="G263" s="364" t="e">
        <f t="shared" ref="G263" si="255">IF(F263&lt;DATE(2024,1,1),DATE(2024,1,1),F263)</f>
        <v>#REF!</v>
      </c>
      <c r="H263" s="364" t="e">
        <f>VALO_PERSO!#REF!</f>
        <v>#REF!</v>
      </c>
      <c r="I263" s="364" t="e">
        <f t="shared" ref="I263" si="256">IF(OR(ISBLANK(H263),H263=0),DATE(2024,12,31),H263)</f>
        <v>#REF!</v>
      </c>
      <c r="J263" s="363" t="e">
        <f t="shared" ref="J263" si="257">I263-G263</f>
        <v>#REF!</v>
      </c>
      <c r="K263" s="363" t="e">
        <f t="shared" ref="K263" si="258">((J263/365)*12)/12</f>
        <v>#REF!</v>
      </c>
      <c r="L263" s="363"/>
      <c r="M263" s="363" t="e">
        <f>VALO_PERSO!#REF!</f>
        <v>#REF!</v>
      </c>
      <c r="N263" s="383" t="e">
        <f t="shared" ref="N263" si="259">S263/M263</f>
        <v>#REF!</v>
      </c>
      <c r="O263" s="384" t="e">
        <f t="shared" ref="O263" si="260">P263/12</f>
        <v>#REF!</v>
      </c>
      <c r="P263" s="367" t="e">
        <f>VALO_PERSO!#REF!</f>
        <v>#REF!</v>
      </c>
      <c r="Q263" s="367" t="e">
        <f>VALO_PERSO!#REF!</f>
        <v>#REF!</v>
      </c>
      <c r="R263" s="367" t="e">
        <f>VALO_PERSO!#REF!</f>
        <v>#REF!</v>
      </c>
      <c r="S263" s="385" t="e">
        <f>VALO_PERSO!#REF!-VALO_PERSO!#REF!</f>
        <v>#REF!</v>
      </c>
      <c r="T263" s="367" t="e">
        <f t="shared" ref="T263" si="261">S263*R263</f>
        <v>#REF!</v>
      </c>
    </row>
    <row r="264" spans="1:20" s="112" customFormat="1" ht="15.75" thickBot="1" x14ac:dyDescent="0.3">
      <c r="A264" s="112" t="s">
        <v>815</v>
      </c>
      <c r="B264" s="363" t="e">
        <f>VALO_PERSO!#REF!</f>
        <v>#REF!</v>
      </c>
      <c r="C264" s="363" t="str">
        <f t="shared" ref="C264" si="262">CONCATENATE(C88," ",D88)</f>
        <v>JONDOT Keita</v>
      </c>
      <c r="D264" s="363" t="e">
        <f>VALO_PERSO!#REF!</f>
        <v>#REF!</v>
      </c>
      <c r="E264" s="363" t="e">
        <f>VALO_PERSO!#REF!</f>
        <v>#REF!</v>
      </c>
      <c r="F264" s="364" t="e">
        <f>VALO_PERSO!#REF!</f>
        <v>#REF!</v>
      </c>
      <c r="G264" s="364" t="e">
        <f t="shared" ref="G264" si="263">IF(F264&lt;DATE(2024,1,1),DATE(2024,1,1),F264)</f>
        <v>#REF!</v>
      </c>
      <c r="H264" s="364" t="e">
        <f>VALO_PERSO!#REF!</f>
        <v>#REF!</v>
      </c>
      <c r="I264" s="364" t="e">
        <f t="shared" ref="I264" si="264">IF(OR(ISBLANK(H264),H264=0),DATE(2024,12,31),H264)</f>
        <v>#REF!</v>
      </c>
      <c r="J264" s="363" t="e">
        <f t="shared" ref="J264" si="265">I264-G264</f>
        <v>#REF!</v>
      </c>
      <c r="K264" s="363" t="e">
        <f t="shared" ref="K264" si="266">((J264/365)*12)/12</f>
        <v>#REF!</v>
      </c>
      <c r="L264" s="363"/>
      <c r="M264" s="363" t="e">
        <f>VALO_PERSO!#REF!</f>
        <v>#REF!</v>
      </c>
      <c r="N264" s="383" t="e">
        <f t="shared" ref="N264" si="267">S264/M264</f>
        <v>#REF!</v>
      </c>
      <c r="O264" s="384" t="e">
        <f t="shared" ref="O264" si="268">P264/12</f>
        <v>#REF!</v>
      </c>
      <c r="P264" s="367" t="e">
        <f>VALO_PERSO!#REF!</f>
        <v>#REF!</v>
      </c>
      <c r="Q264" s="367" t="e">
        <f>VALO_PERSO!#REF!</f>
        <v>#REF!</v>
      </c>
      <c r="R264" s="367" t="e">
        <f>VALO_PERSO!#REF!</f>
        <v>#REF!</v>
      </c>
      <c r="S264" s="385" t="e">
        <f>VALO_PERSO!#REF!-VALO_PERSO!#REF!</f>
        <v>#REF!</v>
      </c>
      <c r="T264" s="367" t="e">
        <f t="shared" ref="T264" si="269">S264*R264</f>
        <v>#REF!</v>
      </c>
    </row>
    <row r="265" spans="1:20" s="112" customFormat="1" ht="15.75" thickBot="1" x14ac:dyDescent="0.3">
      <c r="A265" s="112" t="s">
        <v>815</v>
      </c>
      <c r="B265" s="363" t="e">
        <f>VALO_PERSO!#REF!</f>
        <v>#REF!</v>
      </c>
      <c r="C265" s="363" t="e">
        <f t="shared" ref="C265" si="270">CONCATENATE(C89," ",D89)</f>
        <v>#REF!</v>
      </c>
      <c r="D265" s="363" t="e">
        <f>VALO_PERSO!#REF!</f>
        <v>#REF!</v>
      </c>
      <c r="E265" s="363" t="e">
        <f>VALO_PERSO!#REF!</f>
        <v>#REF!</v>
      </c>
      <c r="F265" s="364" t="e">
        <f>VALO_PERSO!#REF!</f>
        <v>#REF!</v>
      </c>
      <c r="G265" s="364" t="e">
        <f t="shared" ref="G265" si="271">IF(F265&lt;DATE(2024,1,1),DATE(2024,1,1),F265)</f>
        <v>#REF!</v>
      </c>
      <c r="H265" s="364" t="e">
        <f>VALO_PERSO!#REF!</f>
        <v>#REF!</v>
      </c>
      <c r="I265" s="364" t="e">
        <f t="shared" ref="I265" si="272">IF(OR(ISBLANK(H265),H265=0),DATE(2024,12,31),H265)</f>
        <v>#REF!</v>
      </c>
      <c r="J265" s="363" t="e">
        <f t="shared" ref="J265" si="273">I265-G265</f>
        <v>#REF!</v>
      </c>
      <c r="K265" s="363" t="e">
        <f t="shared" ref="K265" si="274">((J265/365)*12)/12</f>
        <v>#REF!</v>
      </c>
      <c r="L265" s="363"/>
      <c r="M265" s="363" t="e">
        <f>VALO_PERSO!#REF!</f>
        <v>#REF!</v>
      </c>
      <c r="N265" s="383" t="e">
        <f t="shared" ref="N265" si="275">S265/M265</f>
        <v>#REF!</v>
      </c>
      <c r="O265" s="384" t="e">
        <f t="shared" ref="O265" si="276">P265/12</f>
        <v>#REF!</v>
      </c>
      <c r="P265" s="367" t="e">
        <f>VALO_PERSO!#REF!</f>
        <v>#REF!</v>
      </c>
      <c r="Q265" s="367" t="e">
        <f>VALO_PERSO!#REF!</f>
        <v>#REF!</v>
      </c>
      <c r="R265" s="367" t="e">
        <f>VALO_PERSO!#REF!</f>
        <v>#REF!</v>
      </c>
      <c r="S265" s="385" t="e">
        <f>VALO_PERSO!#REF!-VALO_PERSO!#REF!</f>
        <v>#REF!</v>
      </c>
      <c r="T265" s="367" t="e">
        <f t="shared" ref="T265" si="277">S265*R265</f>
        <v>#REF!</v>
      </c>
    </row>
    <row r="266" spans="1:20" s="112" customFormat="1" ht="15.75" thickBot="1" x14ac:dyDescent="0.3">
      <c r="A266" s="112" t="s">
        <v>815</v>
      </c>
      <c r="B266" s="363" t="e">
        <f>VALO_PERSO!#REF!</f>
        <v>#REF!</v>
      </c>
      <c r="C266" s="363" t="e">
        <f t="shared" ref="C266" si="278">CONCATENATE(C87," ",D87)</f>
        <v>#REF!</v>
      </c>
      <c r="D266" s="363" t="e">
        <f>VALO_PERSO!#REF!</f>
        <v>#REF!</v>
      </c>
      <c r="E266" s="363" t="e">
        <f>VALO_PERSO!#REF!</f>
        <v>#REF!</v>
      </c>
      <c r="F266" s="364" t="e">
        <f>VALO_PERSO!#REF!</f>
        <v>#REF!</v>
      </c>
      <c r="G266" s="364" t="e">
        <f t="shared" si="47"/>
        <v>#REF!</v>
      </c>
      <c r="H266" s="364" t="e">
        <f>VALO_PERSO!#REF!</f>
        <v>#REF!</v>
      </c>
      <c r="I266" s="364" t="e">
        <f t="shared" si="48"/>
        <v>#REF!</v>
      </c>
      <c r="J266" s="363" t="e">
        <f t="shared" si="49"/>
        <v>#REF!</v>
      </c>
      <c r="K266" s="363" t="e">
        <f t="shared" si="50"/>
        <v>#REF!</v>
      </c>
      <c r="L266" s="363"/>
      <c r="M266" s="363" t="e">
        <f>VALO_PERSO!#REF!</f>
        <v>#REF!</v>
      </c>
      <c r="N266" s="383" t="e">
        <f t="shared" si="51"/>
        <v>#REF!</v>
      </c>
      <c r="O266" s="384" t="e">
        <f t="shared" si="52"/>
        <v>#REF!</v>
      </c>
      <c r="P266" s="367" t="e">
        <f>VALO_PERSO!#REF!</f>
        <v>#REF!</v>
      </c>
      <c r="Q266" s="367" t="e">
        <f>VALO_PERSO!#REF!</f>
        <v>#REF!</v>
      </c>
      <c r="R266" s="367" t="e">
        <f>VALO_PERSO!#REF!</f>
        <v>#REF!</v>
      </c>
      <c r="S266" s="385" t="e">
        <f>VALO_PERSO!#REF!-VALO_PERSO!#REF!</f>
        <v>#REF!</v>
      </c>
      <c r="T266" s="367" t="e">
        <f t="shared" si="53"/>
        <v>#REF!</v>
      </c>
    </row>
    <row r="267" spans="1:20" s="112" customFormat="1" ht="15.75" thickBot="1" x14ac:dyDescent="0.3">
      <c r="A267" s="112" t="s">
        <v>815</v>
      </c>
      <c r="B267" s="363" t="e">
        <f>VALO_PERSO!#REF!</f>
        <v>#REF!</v>
      </c>
      <c r="C267" s="363" t="str">
        <f t="shared" ref="C267" si="279">CONCATENATE(C88," ",D88)</f>
        <v>JONDOT Keita</v>
      </c>
      <c r="D267" s="363" t="e">
        <f>VALO_PERSO!#REF!</f>
        <v>#REF!</v>
      </c>
      <c r="E267" s="363" t="e">
        <f>VALO_PERSO!#REF!</f>
        <v>#REF!</v>
      </c>
      <c r="F267" s="364" t="e">
        <f>VALO_PERSO!#REF!</f>
        <v>#REF!</v>
      </c>
      <c r="G267" s="364" t="e">
        <f t="shared" ref="G267" si="280">IF(F267&lt;DATE(2024,1,1),DATE(2024,1,1),F267)</f>
        <v>#REF!</v>
      </c>
      <c r="H267" s="364" t="e">
        <f>VALO_PERSO!#REF!</f>
        <v>#REF!</v>
      </c>
      <c r="I267" s="364" t="e">
        <f t="shared" ref="I267" si="281">IF(OR(ISBLANK(H267),H267=0),DATE(2024,12,31),H267)</f>
        <v>#REF!</v>
      </c>
      <c r="J267" s="363" t="e">
        <f t="shared" ref="J267" si="282">I267-G267</f>
        <v>#REF!</v>
      </c>
      <c r="K267" s="363" t="e">
        <f t="shared" ref="K267" si="283">((J267/365)*12)/12</f>
        <v>#REF!</v>
      </c>
      <c r="L267" s="363"/>
      <c r="M267" s="363" t="e">
        <f>VALO_PERSO!#REF!</f>
        <v>#REF!</v>
      </c>
      <c r="N267" s="383" t="e">
        <f t="shared" ref="N267" si="284">S267/M267</f>
        <v>#REF!</v>
      </c>
      <c r="O267" s="384" t="e">
        <f t="shared" ref="O267" si="285">P267/12</f>
        <v>#REF!</v>
      </c>
      <c r="P267" s="367" t="e">
        <f>VALO_PERSO!#REF!</f>
        <v>#REF!</v>
      </c>
      <c r="Q267" s="367" t="e">
        <f>VALO_PERSO!#REF!</f>
        <v>#REF!</v>
      </c>
      <c r="R267" s="367" t="e">
        <f>VALO_PERSO!#REF!</f>
        <v>#REF!</v>
      </c>
      <c r="S267" s="385" t="e">
        <f>VALO_PERSO!#REF!-VALO_PERSO!#REF!</f>
        <v>#REF!</v>
      </c>
      <c r="T267" s="367" t="e">
        <f t="shared" ref="T267" si="286">S267*R267</f>
        <v>#REF!</v>
      </c>
    </row>
    <row r="268" spans="1:20" s="112" customFormat="1" ht="15.75" thickBot="1" x14ac:dyDescent="0.3">
      <c r="A268" s="112" t="s">
        <v>815</v>
      </c>
      <c r="B268" s="363" t="e">
        <f>VALO_PERSO!#REF!</f>
        <v>#REF!</v>
      </c>
      <c r="C268" s="363" t="str">
        <f t="shared" ref="C268" si="287">CONCATENATE(C88," ",D88)</f>
        <v>JONDOT Keita</v>
      </c>
      <c r="D268" s="363" t="e">
        <f>VALO_PERSO!#REF!</f>
        <v>#REF!</v>
      </c>
      <c r="E268" s="363" t="e">
        <f>VALO_PERSO!#REF!</f>
        <v>#REF!</v>
      </c>
      <c r="F268" s="364" t="e">
        <f>VALO_PERSO!#REF!</f>
        <v>#REF!</v>
      </c>
      <c r="G268" s="364" t="e">
        <f t="shared" ref="G268" si="288">IF(F268&lt;DATE(2024,1,1),DATE(2024,1,1),F268)</f>
        <v>#REF!</v>
      </c>
      <c r="H268" s="364" t="e">
        <f>VALO_PERSO!#REF!</f>
        <v>#REF!</v>
      </c>
      <c r="I268" s="364" t="e">
        <f t="shared" ref="I268" si="289">IF(OR(ISBLANK(H268),H268=0),DATE(2024,12,31),H268)</f>
        <v>#REF!</v>
      </c>
      <c r="J268" s="363" t="e">
        <f t="shared" ref="J268" si="290">I268-G268</f>
        <v>#REF!</v>
      </c>
      <c r="K268" s="363" t="e">
        <f t="shared" ref="K268" si="291">((J268/365)*12)/12</f>
        <v>#REF!</v>
      </c>
      <c r="L268" s="363"/>
      <c r="M268" s="363" t="e">
        <f>VALO_PERSO!#REF!</f>
        <v>#REF!</v>
      </c>
      <c r="N268" s="383" t="e">
        <f t="shared" ref="N268" si="292">S268/M268</f>
        <v>#REF!</v>
      </c>
      <c r="O268" s="384" t="e">
        <f t="shared" ref="O268" si="293">P268/12</f>
        <v>#REF!</v>
      </c>
      <c r="P268" s="367" t="e">
        <f>VALO_PERSO!#REF!</f>
        <v>#REF!</v>
      </c>
      <c r="Q268" s="367" t="e">
        <f>VALO_PERSO!#REF!</f>
        <v>#REF!</v>
      </c>
      <c r="R268" s="367" t="e">
        <f>VALO_PERSO!#REF!</f>
        <v>#REF!</v>
      </c>
      <c r="S268" s="385" t="e">
        <f>VALO_PERSO!#REF!-VALO_PERSO!#REF!</f>
        <v>#REF!</v>
      </c>
      <c r="T268" s="367" t="e">
        <f t="shared" ref="T268" si="294">S268*R268</f>
        <v>#REF!</v>
      </c>
    </row>
    <row r="269" spans="1:20" s="112" customFormat="1" ht="15.75" thickBot="1" x14ac:dyDescent="0.3">
      <c r="A269" s="112" t="s">
        <v>815</v>
      </c>
      <c r="B269" s="363" t="e">
        <f>VALO_PERSO!#REF!</f>
        <v>#REF!</v>
      </c>
      <c r="C269" s="363" t="e">
        <f t="shared" ref="C269" si="295">CONCATENATE(C89," ",D89)</f>
        <v>#REF!</v>
      </c>
      <c r="D269" s="363" t="e">
        <f>VALO_PERSO!#REF!</f>
        <v>#REF!</v>
      </c>
      <c r="E269" s="363" t="e">
        <f>VALO_PERSO!#REF!</f>
        <v>#REF!</v>
      </c>
      <c r="F269" s="364" t="e">
        <f>VALO_PERSO!#REF!</f>
        <v>#REF!</v>
      </c>
      <c r="G269" s="364" t="e">
        <f t="shared" ref="G269" si="296">IF(F269&lt;DATE(2024,1,1),DATE(2024,1,1),F269)</f>
        <v>#REF!</v>
      </c>
      <c r="H269" s="364" t="e">
        <f>VALO_PERSO!#REF!</f>
        <v>#REF!</v>
      </c>
      <c r="I269" s="364" t="e">
        <f t="shared" ref="I269" si="297">IF(OR(ISBLANK(H269),H269=0),DATE(2024,12,31),H269)</f>
        <v>#REF!</v>
      </c>
      <c r="J269" s="363" t="e">
        <f t="shared" ref="J269" si="298">I269-G269</f>
        <v>#REF!</v>
      </c>
      <c r="K269" s="363" t="e">
        <f t="shared" ref="K269" si="299">((J269/365)*12)/12</f>
        <v>#REF!</v>
      </c>
      <c r="L269" s="363"/>
      <c r="M269" s="363" t="e">
        <f>VALO_PERSO!#REF!</f>
        <v>#REF!</v>
      </c>
      <c r="N269" s="383" t="e">
        <f t="shared" ref="N269" si="300">S269/M269</f>
        <v>#REF!</v>
      </c>
      <c r="O269" s="384" t="e">
        <f t="shared" ref="O269" si="301">P269/12</f>
        <v>#REF!</v>
      </c>
      <c r="P269" s="367" t="e">
        <f>VALO_PERSO!#REF!</f>
        <v>#REF!</v>
      </c>
      <c r="Q269" s="367" t="e">
        <f>VALO_PERSO!#REF!</f>
        <v>#REF!</v>
      </c>
      <c r="R269" s="367" t="e">
        <f>VALO_PERSO!#REF!</f>
        <v>#REF!</v>
      </c>
      <c r="S269" s="385" t="e">
        <f>VALO_PERSO!#REF!-VALO_PERSO!#REF!</f>
        <v>#REF!</v>
      </c>
      <c r="T269" s="367" t="e">
        <f t="shared" ref="T269" si="302">S269*R269</f>
        <v>#REF!</v>
      </c>
    </row>
    <row r="270" spans="1:20" s="112" customFormat="1" ht="15.75" thickBot="1" x14ac:dyDescent="0.3">
      <c r="A270" s="112" t="s">
        <v>815</v>
      </c>
      <c r="B270" s="363" t="e">
        <f>VALO_PERSO!#REF!</f>
        <v>#REF!</v>
      </c>
      <c r="C270" s="363" t="e">
        <f t="shared" ref="C270" si="303">CONCATENATE(C87," ",D87)</f>
        <v>#REF!</v>
      </c>
      <c r="D270" s="363" t="e">
        <f>VALO_PERSO!#REF!</f>
        <v>#REF!</v>
      </c>
      <c r="E270" s="363" t="e">
        <f>VALO_PERSO!#REF!</f>
        <v>#REF!</v>
      </c>
      <c r="F270" s="364" t="e">
        <f>VALO_PERSO!#REF!</f>
        <v>#REF!</v>
      </c>
      <c r="G270" s="364" t="e">
        <f t="shared" si="47"/>
        <v>#REF!</v>
      </c>
      <c r="H270" s="364" t="e">
        <f>VALO_PERSO!#REF!</f>
        <v>#REF!</v>
      </c>
      <c r="I270" s="364" t="e">
        <f t="shared" si="48"/>
        <v>#REF!</v>
      </c>
      <c r="J270" s="363" t="e">
        <f t="shared" si="49"/>
        <v>#REF!</v>
      </c>
      <c r="K270" s="363" t="e">
        <f t="shared" si="50"/>
        <v>#REF!</v>
      </c>
      <c r="L270" s="363"/>
      <c r="M270" s="363" t="e">
        <f>VALO_PERSO!#REF!</f>
        <v>#REF!</v>
      </c>
      <c r="N270" s="383" t="e">
        <f t="shared" si="51"/>
        <v>#REF!</v>
      </c>
      <c r="O270" s="384" t="e">
        <f t="shared" si="52"/>
        <v>#REF!</v>
      </c>
      <c r="P270" s="367" t="e">
        <f>VALO_PERSO!#REF!</f>
        <v>#REF!</v>
      </c>
      <c r="Q270" s="367" t="e">
        <f>VALO_PERSO!#REF!</f>
        <v>#REF!</v>
      </c>
      <c r="R270" s="367" t="e">
        <f>VALO_PERSO!#REF!</f>
        <v>#REF!</v>
      </c>
      <c r="S270" s="385" t="e">
        <f>VALO_PERSO!#REF!-VALO_PERSO!#REF!</f>
        <v>#REF!</v>
      </c>
      <c r="T270" s="367" t="e">
        <f t="shared" si="53"/>
        <v>#REF!</v>
      </c>
    </row>
    <row r="271" spans="1:20" s="112" customFormat="1" ht="15.75" thickBot="1" x14ac:dyDescent="0.3">
      <c r="A271" s="112" t="s">
        <v>815</v>
      </c>
      <c r="B271" s="363" t="e">
        <f>VALO_PERSO!#REF!</f>
        <v>#REF!</v>
      </c>
      <c r="C271" s="363" t="str">
        <f t="shared" ref="C271" si="304">CONCATENATE(C88," ",D88)</f>
        <v>JONDOT Keita</v>
      </c>
      <c r="D271" s="363" t="e">
        <f>VALO_PERSO!#REF!</f>
        <v>#REF!</v>
      </c>
      <c r="E271" s="363" t="e">
        <f>VALO_PERSO!#REF!</f>
        <v>#REF!</v>
      </c>
      <c r="F271" s="364" t="e">
        <f>VALO_PERSO!#REF!</f>
        <v>#REF!</v>
      </c>
      <c r="G271" s="364" t="e">
        <f t="shared" ref="G271" si="305">IF(F271&lt;DATE(2024,1,1),DATE(2024,1,1),F271)</f>
        <v>#REF!</v>
      </c>
      <c r="H271" s="364" t="e">
        <f>VALO_PERSO!#REF!</f>
        <v>#REF!</v>
      </c>
      <c r="I271" s="364" t="e">
        <f t="shared" ref="I271" si="306">IF(OR(ISBLANK(H271),H271=0),DATE(2024,12,31),H271)</f>
        <v>#REF!</v>
      </c>
      <c r="J271" s="363" t="e">
        <f t="shared" ref="J271" si="307">I271-G271</f>
        <v>#REF!</v>
      </c>
      <c r="K271" s="363" t="e">
        <f t="shared" ref="K271" si="308">((J271/365)*12)/12</f>
        <v>#REF!</v>
      </c>
      <c r="L271" s="363"/>
      <c r="M271" s="363" t="e">
        <f>VALO_PERSO!#REF!</f>
        <v>#REF!</v>
      </c>
      <c r="N271" s="383" t="e">
        <f t="shared" ref="N271" si="309">S271/M271</f>
        <v>#REF!</v>
      </c>
      <c r="O271" s="384" t="e">
        <f t="shared" ref="O271" si="310">P271/12</f>
        <v>#REF!</v>
      </c>
      <c r="P271" s="367" t="e">
        <f>VALO_PERSO!#REF!</f>
        <v>#REF!</v>
      </c>
      <c r="Q271" s="367" t="e">
        <f>VALO_PERSO!#REF!</f>
        <v>#REF!</v>
      </c>
      <c r="R271" s="367" t="e">
        <f>VALO_PERSO!#REF!</f>
        <v>#REF!</v>
      </c>
      <c r="S271" s="385" t="e">
        <f>VALO_PERSO!#REF!-VALO_PERSO!#REF!</f>
        <v>#REF!</v>
      </c>
      <c r="T271" s="367" t="e">
        <f t="shared" ref="T271" si="311">S271*R271</f>
        <v>#REF!</v>
      </c>
    </row>
    <row r="272" spans="1:20" s="112" customFormat="1" ht="15.75" thickBot="1" x14ac:dyDescent="0.3">
      <c r="A272" s="112" t="s">
        <v>815</v>
      </c>
      <c r="B272" s="363" t="e">
        <f>VALO_PERSO!#REF!</f>
        <v>#REF!</v>
      </c>
      <c r="C272" s="363" t="str">
        <f t="shared" ref="C272" si="312">CONCATENATE(C88," ",D88)</f>
        <v>JONDOT Keita</v>
      </c>
      <c r="D272" s="363" t="e">
        <f>VALO_PERSO!#REF!</f>
        <v>#REF!</v>
      </c>
      <c r="E272" s="363" t="e">
        <f>VALO_PERSO!#REF!</f>
        <v>#REF!</v>
      </c>
      <c r="F272" s="364" t="e">
        <f>VALO_PERSO!#REF!</f>
        <v>#REF!</v>
      </c>
      <c r="G272" s="364" t="e">
        <f t="shared" ref="G272" si="313">IF(F272&lt;DATE(2024,1,1),DATE(2024,1,1),F272)</f>
        <v>#REF!</v>
      </c>
      <c r="H272" s="364" t="e">
        <f>VALO_PERSO!#REF!</f>
        <v>#REF!</v>
      </c>
      <c r="I272" s="364" t="e">
        <f t="shared" ref="I272" si="314">IF(OR(ISBLANK(H272),H272=0),DATE(2024,12,31),H272)</f>
        <v>#REF!</v>
      </c>
      <c r="J272" s="363" t="e">
        <f t="shared" ref="J272" si="315">I272-G272</f>
        <v>#REF!</v>
      </c>
      <c r="K272" s="363" t="e">
        <f t="shared" ref="K272" si="316">((J272/365)*12)/12</f>
        <v>#REF!</v>
      </c>
      <c r="L272" s="363"/>
      <c r="M272" s="363" t="e">
        <f>VALO_PERSO!#REF!</f>
        <v>#REF!</v>
      </c>
      <c r="N272" s="383" t="e">
        <f t="shared" ref="N272" si="317">S272/M272</f>
        <v>#REF!</v>
      </c>
      <c r="O272" s="384" t="e">
        <f t="shared" ref="O272" si="318">P272/12</f>
        <v>#REF!</v>
      </c>
      <c r="P272" s="367" t="e">
        <f>VALO_PERSO!#REF!</f>
        <v>#REF!</v>
      </c>
      <c r="Q272" s="367" t="e">
        <f>VALO_PERSO!#REF!</f>
        <v>#REF!</v>
      </c>
      <c r="R272" s="367" t="e">
        <f>VALO_PERSO!#REF!</f>
        <v>#REF!</v>
      </c>
      <c r="S272" s="385" t="e">
        <f>VALO_PERSO!#REF!-VALO_PERSO!#REF!</f>
        <v>#REF!</v>
      </c>
      <c r="T272" s="367" t="e">
        <f t="shared" ref="T272" si="319">S272*R272</f>
        <v>#REF!</v>
      </c>
    </row>
    <row r="273" spans="1:20" s="112" customFormat="1" ht="15.75" thickBot="1" x14ac:dyDescent="0.3">
      <c r="A273" s="112" t="s">
        <v>815</v>
      </c>
      <c r="B273" s="363" t="e">
        <f>VALO_PERSO!#REF!</f>
        <v>#REF!</v>
      </c>
      <c r="C273" s="363" t="e">
        <f t="shared" ref="C273" si="320">CONCATENATE(C89," ",D89)</f>
        <v>#REF!</v>
      </c>
      <c r="D273" s="363" t="e">
        <f>VALO_PERSO!#REF!</f>
        <v>#REF!</v>
      </c>
      <c r="E273" s="363" t="e">
        <f>VALO_PERSO!#REF!</f>
        <v>#REF!</v>
      </c>
      <c r="F273" s="364" t="e">
        <f>VALO_PERSO!#REF!</f>
        <v>#REF!</v>
      </c>
      <c r="G273" s="364" t="e">
        <f t="shared" ref="G273" si="321">IF(F273&lt;DATE(2024,1,1),DATE(2024,1,1),F273)</f>
        <v>#REF!</v>
      </c>
      <c r="H273" s="364" t="e">
        <f>VALO_PERSO!#REF!</f>
        <v>#REF!</v>
      </c>
      <c r="I273" s="364" t="e">
        <f t="shared" ref="I273" si="322">IF(OR(ISBLANK(H273),H273=0),DATE(2024,12,31),H273)</f>
        <v>#REF!</v>
      </c>
      <c r="J273" s="363" t="e">
        <f t="shared" ref="J273" si="323">I273-G273</f>
        <v>#REF!</v>
      </c>
      <c r="K273" s="363" t="e">
        <f t="shared" ref="K273" si="324">((J273/365)*12)/12</f>
        <v>#REF!</v>
      </c>
      <c r="L273" s="363"/>
      <c r="M273" s="363" t="e">
        <f>VALO_PERSO!#REF!</f>
        <v>#REF!</v>
      </c>
      <c r="N273" s="383" t="e">
        <f t="shared" ref="N273" si="325">S273/M273</f>
        <v>#REF!</v>
      </c>
      <c r="O273" s="384" t="e">
        <f t="shared" ref="O273" si="326">P273/12</f>
        <v>#REF!</v>
      </c>
      <c r="P273" s="367" t="e">
        <f>VALO_PERSO!#REF!</f>
        <v>#REF!</v>
      </c>
      <c r="Q273" s="367" t="e">
        <f>VALO_PERSO!#REF!</f>
        <v>#REF!</v>
      </c>
      <c r="R273" s="367" t="e">
        <f>VALO_PERSO!#REF!</f>
        <v>#REF!</v>
      </c>
      <c r="S273" s="385" t="e">
        <f>VALO_PERSO!#REF!-VALO_PERSO!#REF!</f>
        <v>#REF!</v>
      </c>
      <c r="T273" s="367" t="e">
        <f t="shared" ref="T273" si="327">S273*R273</f>
        <v>#REF!</v>
      </c>
    </row>
    <row r="274" spans="1:20" s="112" customFormat="1" ht="15.75" thickBot="1" x14ac:dyDescent="0.3">
      <c r="B274" s="363" t="e">
        <f>VALO_PERSO!#REF!</f>
        <v>#REF!</v>
      </c>
      <c r="C274" s="363" t="e">
        <f t="shared" ref="C274:C281" si="328">CONCATENATE(C87," ",D87)</f>
        <v>#REF!</v>
      </c>
      <c r="D274" s="363" t="e">
        <f>VALO_PERSO!#REF!</f>
        <v>#REF!</v>
      </c>
      <c r="E274" s="363" t="e">
        <f>VALO_PERSO!#REF!</f>
        <v>#REF!</v>
      </c>
      <c r="F274" s="364" t="e">
        <f>VALO_PERSO!#REF!</f>
        <v>#REF!</v>
      </c>
      <c r="G274" s="364" t="e">
        <f t="shared" ref="G274:G281" si="329">IF(F274&lt;DATE(2024,1,1),DATE(2024,1,1),F274)</f>
        <v>#REF!</v>
      </c>
      <c r="H274" s="364" t="e">
        <f>VALO_PERSO!#REF!</f>
        <v>#REF!</v>
      </c>
      <c r="I274" s="364" t="e">
        <f t="shared" ref="I274:I281" si="330">IF(OR(ISBLANK(H274),H274=0),DATE(2024,12,31),H274)</f>
        <v>#REF!</v>
      </c>
      <c r="J274" s="363" t="e">
        <f t="shared" ref="J274:J281" si="331">I274-G274</f>
        <v>#REF!</v>
      </c>
      <c r="K274" s="363" t="e">
        <f t="shared" ref="K274:K281" si="332">((J274/365)*12)/12</f>
        <v>#REF!</v>
      </c>
      <c r="L274" s="363"/>
      <c r="M274" s="363" t="e">
        <f>VALO_PERSO!#REF!</f>
        <v>#REF!</v>
      </c>
      <c r="N274" s="383" t="e">
        <f t="shared" ref="N274:N281" si="333">S274/M274</f>
        <v>#REF!</v>
      </c>
      <c r="O274" s="384" t="e">
        <f t="shared" si="52"/>
        <v>#REF!</v>
      </c>
      <c r="P274" s="367" t="e">
        <f>VALO_PERSO!#REF!</f>
        <v>#REF!</v>
      </c>
      <c r="Q274" s="367" t="e">
        <f>VALO_PERSO!#REF!</f>
        <v>#REF!</v>
      </c>
      <c r="R274" s="367" t="e">
        <f>VALO_PERSO!#REF!</f>
        <v>#REF!</v>
      </c>
      <c r="S274" s="385" t="e">
        <f>VALO_PERSO!#REF!-VALO_PERSO!#REF!</f>
        <v>#REF!</v>
      </c>
      <c r="T274" s="367" t="e">
        <f t="shared" ref="T274:T281" si="334">S274*R274</f>
        <v>#REF!</v>
      </c>
    </row>
    <row r="275" spans="1:20" s="112" customFormat="1" ht="60.75" thickBot="1" x14ac:dyDescent="0.3">
      <c r="B275" s="363">
        <f>VALO_PERSO!F6</f>
        <v>3</v>
      </c>
      <c r="C275" s="363" t="str">
        <f t="shared" si="328"/>
        <v>JONDOT Keita</v>
      </c>
      <c r="D275" s="363" t="str">
        <f>VALO_PERSO!I6</f>
        <v>Ingénieur R&amp;D</v>
      </c>
      <c r="E275" s="363" t="str">
        <f>VALO_PERSO!J6</f>
        <v>Université Grenoble Alpes + Master of Sciences et Management des Biotechnologies</v>
      </c>
      <c r="F275" s="364">
        <f>VALO_PERSO!M6</f>
        <v>45261</v>
      </c>
      <c r="G275" s="364">
        <f t="shared" si="329"/>
        <v>45292</v>
      </c>
      <c r="H275" s="364">
        <f>VALO_PERSO!N6</f>
        <v>0</v>
      </c>
      <c r="I275" s="364">
        <f t="shared" si="330"/>
        <v>45657</v>
      </c>
      <c r="J275" s="363">
        <f t="shared" si="331"/>
        <v>365</v>
      </c>
      <c r="K275" s="363">
        <f t="shared" si="332"/>
        <v>1</v>
      </c>
      <c r="L275" s="363"/>
      <c r="M275" s="363">
        <f>VALO_PERSO!W6</f>
        <v>1448</v>
      </c>
      <c r="N275" s="383">
        <f t="shared" si="333"/>
        <v>0.89364640883977897</v>
      </c>
      <c r="O275" s="384">
        <f t="shared" ref="O275:O281" si="335">P275/12</f>
        <v>2483.3608333333336</v>
      </c>
      <c r="P275" s="367">
        <f>VALO_PERSO!P6</f>
        <v>29800.33</v>
      </c>
      <c r="Q275" s="367">
        <f>VALO_PERSO!V6</f>
        <v>34750.380000000005</v>
      </c>
      <c r="R275" s="367">
        <f>VALO_PERSO!X6</f>
        <v>23.998881215469616</v>
      </c>
      <c r="S275" s="385">
        <f>VALO_PERSO!W6-VALO_PERSO!BB6</f>
        <v>1294</v>
      </c>
      <c r="T275" s="367">
        <f t="shared" si="334"/>
        <v>31054.552292817683</v>
      </c>
    </row>
    <row r="276" spans="1:20" s="112" customFormat="1" ht="15.75" thickBot="1" x14ac:dyDescent="0.3">
      <c r="B276" s="363" t="e">
        <f>VALO_PERSO!#REF!</f>
        <v>#REF!</v>
      </c>
      <c r="C276" s="363" t="e">
        <f t="shared" si="328"/>
        <v>#REF!</v>
      </c>
      <c r="D276" s="363" t="e">
        <f>VALO_PERSO!#REF!</f>
        <v>#REF!</v>
      </c>
      <c r="E276" s="363" t="e">
        <f>VALO_PERSO!#REF!</f>
        <v>#REF!</v>
      </c>
      <c r="F276" s="364" t="e">
        <f>VALO_PERSO!#REF!</f>
        <v>#REF!</v>
      </c>
      <c r="G276" s="364" t="e">
        <f t="shared" si="329"/>
        <v>#REF!</v>
      </c>
      <c r="H276" s="364" t="e">
        <f>VALO_PERSO!#REF!</f>
        <v>#REF!</v>
      </c>
      <c r="I276" s="364" t="e">
        <f t="shared" si="330"/>
        <v>#REF!</v>
      </c>
      <c r="J276" s="363" t="e">
        <f t="shared" si="331"/>
        <v>#REF!</v>
      </c>
      <c r="K276" s="363" t="e">
        <f t="shared" si="332"/>
        <v>#REF!</v>
      </c>
      <c r="L276" s="363"/>
      <c r="M276" s="363" t="e">
        <f>VALO_PERSO!#REF!</f>
        <v>#REF!</v>
      </c>
      <c r="N276" s="383" t="e">
        <f t="shared" si="333"/>
        <v>#REF!</v>
      </c>
      <c r="O276" s="384" t="e">
        <f>P276/12</f>
        <v>#REF!</v>
      </c>
      <c r="P276" s="367" t="e">
        <f>VALO_PERSO!#REF!</f>
        <v>#REF!</v>
      </c>
      <c r="Q276" s="367" t="e">
        <f>VALO_PERSO!#REF!</f>
        <v>#REF!</v>
      </c>
      <c r="R276" s="367" t="e">
        <f>VALO_PERSO!#REF!</f>
        <v>#REF!</v>
      </c>
      <c r="S276" s="385" t="e">
        <f>VALO_PERSO!#REF!-VALO_PERSO!#REF!</f>
        <v>#REF!</v>
      </c>
      <c r="T276" s="367" t="e">
        <f t="shared" si="334"/>
        <v>#REF!</v>
      </c>
    </row>
    <row r="277" spans="1:20" s="112" customFormat="1" ht="15.75" thickBot="1" x14ac:dyDescent="0.3">
      <c r="B277" s="363" t="e">
        <f>VALO_PERSO!#REF!</f>
        <v>#REF!</v>
      </c>
      <c r="C277" s="363" t="e">
        <f t="shared" si="328"/>
        <v>#REF!</v>
      </c>
      <c r="D277" s="363" t="e">
        <f>VALO_PERSO!#REF!</f>
        <v>#REF!</v>
      </c>
      <c r="E277" s="363" t="e">
        <f>VALO_PERSO!#REF!</f>
        <v>#REF!</v>
      </c>
      <c r="F277" s="364" t="e">
        <f>VALO_PERSO!#REF!</f>
        <v>#REF!</v>
      </c>
      <c r="G277" s="364" t="e">
        <f t="shared" si="329"/>
        <v>#REF!</v>
      </c>
      <c r="H277" s="364" t="e">
        <f>VALO_PERSO!#REF!</f>
        <v>#REF!</v>
      </c>
      <c r="I277" s="364" t="e">
        <f t="shared" si="330"/>
        <v>#REF!</v>
      </c>
      <c r="J277" s="363" t="e">
        <f t="shared" si="331"/>
        <v>#REF!</v>
      </c>
      <c r="K277" s="363" t="e">
        <f t="shared" si="332"/>
        <v>#REF!</v>
      </c>
      <c r="L277" s="363"/>
      <c r="M277" s="363" t="e">
        <f>VALO_PERSO!#REF!</f>
        <v>#REF!</v>
      </c>
      <c r="N277" s="383" t="e">
        <f t="shared" si="333"/>
        <v>#REF!</v>
      </c>
      <c r="O277" s="384" t="e">
        <f t="shared" si="335"/>
        <v>#REF!</v>
      </c>
      <c r="P277" s="367" t="e">
        <f>VALO_PERSO!#REF!</f>
        <v>#REF!</v>
      </c>
      <c r="Q277" s="367" t="e">
        <f>VALO_PERSO!#REF!</f>
        <v>#REF!</v>
      </c>
      <c r="R277" s="367" t="e">
        <f>VALO_PERSO!#REF!</f>
        <v>#REF!</v>
      </c>
      <c r="S277" s="385" t="e">
        <f>VALO_PERSO!#REF!-VALO_PERSO!#REF!</f>
        <v>#REF!</v>
      </c>
      <c r="T277" s="367" t="e">
        <f t="shared" si="334"/>
        <v>#REF!</v>
      </c>
    </row>
    <row r="278" spans="1:20" s="112" customFormat="1" ht="15.75" thickBot="1" x14ac:dyDescent="0.3">
      <c r="B278" s="363" t="e">
        <f>VALO_PERSO!#REF!</f>
        <v>#REF!</v>
      </c>
      <c r="C278" s="363" t="e">
        <f t="shared" si="328"/>
        <v>#REF!</v>
      </c>
      <c r="D278" s="363" t="e">
        <f>VALO_PERSO!#REF!</f>
        <v>#REF!</v>
      </c>
      <c r="E278" s="363" t="e">
        <f>VALO_PERSO!#REF!</f>
        <v>#REF!</v>
      </c>
      <c r="F278" s="364" t="e">
        <f>VALO_PERSO!#REF!</f>
        <v>#REF!</v>
      </c>
      <c r="G278" s="364" t="e">
        <f t="shared" si="329"/>
        <v>#REF!</v>
      </c>
      <c r="H278" s="364" t="e">
        <f>VALO_PERSO!#REF!</f>
        <v>#REF!</v>
      </c>
      <c r="I278" s="364" t="e">
        <f t="shared" si="330"/>
        <v>#REF!</v>
      </c>
      <c r="J278" s="363" t="e">
        <f t="shared" si="331"/>
        <v>#REF!</v>
      </c>
      <c r="K278" s="363" t="e">
        <f t="shared" si="332"/>
        <v>#REF!</v>
      </c>
      <c r="L278" s="363"/>
      <c r="M278" s="363" t="e">
        <f>VALO_PERSO!#REF!</f>
        <v>#REF!</v>
      </c>
      <c r="N278" s="383" t="e">
        <f t="shared" si="333"/>
        <v>#REF!</v>
      </c>
      <c r="O278" s="384" t="e">
        <f t="shared" si="335"/>
        <v>#REF!</v>
      </c>
      <c r="P278" s="367" t="e">
        <f>VALO_PERSO!#REF!</f>
        <v>#REF!</v>
      </c>
      <c r="Q278" s="367" t="e">
        <f>VALO_PERSO!#REF!</f>
        <v>#REF!</v>
      </c>
      <c r="R278" s="367" t="e">
        <f>VALO_PERSO!#REF!</f>
        <v>#REF!</v>
      </c>
      <c r="S278" s="385" t="e">
        <f>VALO_PERSO!#REF!-VALO_PERSO!#REF!</f>
        <v>#REF!</v>
      </c>
      <c r="T278" s="367" t="e">
        <f t="shared" si="334"/>
        <v>#REF!</v>
      </c>
    </row>
    <row r="279" spans="1:20" s="112" customFormat="1" ht="15.75" thickBot="1" x14ac:dyDescent="0.3">
      <c r="B279" s="363" t="e">
        <f>VALO_PERSO!#REF!</f>
        <v>#REF!</v>
      </c>
      <c r="C279" s="363" t="e">
        <f t="shared" si="328"/>
        <v>#REF!</v>
      </c>
      <c r="D279" s="363" t="e">
        <f>VALO_PERSO!#REF!</f>
        <v>#REF!</v>
      </c>
      <c r="E279" s="363" t="e">
        <f>VALO_PERSO!#REF!</f>
        <v>#REF!</v>
      </c>
      <c r="F279" s="364" t="e">
        <f>VALO_PERSO!#REF!</f>
        <v>#REF!</v>
      </c>
      <c r="G279" s="364" t="e">
        <f t="shared" si="329"/>
        <v>#REF!</v>
      </c>
      <c r="H279" s="364" t="e">
        <f>VALO_PERSO!#REF!</f>
        <v>#REF!</v>
      </c>
      <c r="I279" s="364" t="e">
        <f t="shared" si="330"/>
        <v>#REF!</v>
      </c>
      <c r="J279" s="363" t="e">
        <f t="shared" si="331"/>
        <v>#REF!</v>
      </c>
      <c r="K279" s="363" t="e">
        <f t="shared" si="332"/>
        <v>#REF!</v>
      </c>
      <c r="L279" s="363"/>
      <c r="M279" s="363" t="e">
        <f>VALO_PERSO!#REF!</f>
        <v>#REF!</v>
      </c>
      <c r="N279" s="383" t="e">
        <f t="shared" si="333"/>
        <v>#REF!</v>
      </c>
      <c r="O279" s="384" t="e">
        <f t="shared" si="335"/>
        <v>#REF!</v>
      </c>
      <c r="P279" s="367" t="e">
        <f>VALO_PERSO!#REF!</f>
        <v>#REF!</v>
      </c>
      <c r="Q279" s="367" t="e">
        <f>VALO_PERSO!#REF!</f>
        <v>#REF!</v>
      </c>
      <c r="R279" s="367" t="e">
        <f>VALO_PERSO!#REF!</f>
        <v>#REF!</v>
      </c>
      <c r="S279" s="385" t="e">
        <f>VALO_PERSO!#REF!-VALO_PERSO!#REF!</f>
        <v>#REF!</v>
      </c>
      <c r="T279" s="367" t="e">
        <f t="shared" si="334"/>
        <v>#REF!</v>
      </c>
    </row>
    <row r="280" spans="1:20" s="112" customFormat="1" ht="15.75" thickBot="1" x14ac:dyDescent="0.3">
      <c r="B280" s="363" t="e">
        <f>VALO_PERSO!#REF!</f>
        <v>#REF!</v>
      </c>
      <c r="C280" s="363" t="e">
        <f t="shared" si="328"/>
        <v>#REF!</v>
      </c>
      <c r="D280" s="363" t="e">
        <f>VALO_PERSO!#REF!</f>
        <v>#REF!</v>
      </c>
      <c r="E280" s="363" t="e">
        <f>VALO_PERSO!#REF!</f>
        <v>#REF!</v>
      </c>
      <c r="F280" s="364" t="e">
        <f>VALO_PERSO!#REF!</f>
        <v>#REF!</v>
      </c>
      <c r="G280" s="364" t="e">
        <f t="shared" si="329"/>
        <v>#REF!</v>
      </c>
      <c r="H280" s="364" t="e">
        <f>VALO_PERSO!#REF!</f>
        <v>#REF!</v>
      </c>
      <c r="I280" s="364" t="e">
        <f t="shared" si="330"/>
        <v>#REF!</v>
      </c>
      <c r="J280" s="363" t="e">
        <f t="shared" si="331"/>
        <v>#REF!</v>
      </c>
      <c r="K280" s="363" t="e">
        <f t="shared" si="332"/>
        <v>#REF!</v>
      </c>
      <c r="L280" s="363"/>
      <c r="M280" s="363" t="e">
        <f>VALO_PERSO!#REF!</f>
        <v>#REF!</v>
      </c>
      <c r="N280" s="383" t="e">
        <f t="shared" si="333"/>
        <v>#REF!</v>
      </c>
      <c r="O280" s="384" t="e">
        <f t="shared" si="335"/>
        <v>#REF!</v>
      </c>
      <c r="P280" s="367" t="e">
        <f>VALO_PERSO!#REF!</f>
        <v>#REF!</v>
      </c>
      <c r="Q280" s="367" t="e">
        <f>VALO_PERSO!#REF!</f>
        <v>#REF!</v>
      </c>
      <c r="R280" s="367" t="e">
        <f>VALO_PERSO!#REF!</f>
        <v>#REF!</v>
      </c>
      <c r="S280" s="385" t="e">
        <f>VALO_PERSO!#REF!-VALO_PERSO!#REF!</f>
        <v>#REF!</v>
      </c>
      <c r="T280" s="367" t="e">
        <f t="shared" si="334"/>
        <v>#REF!</v>
      </c>
    </row>
    <row r="281" spans="1:20" s="112" customFormat="1" ht="15.75" thickBot="1" x14ac:dyDescent="0.3">
      <c r="B281" s="363" t="e">
        <f>VALO_PERSO!#REF!</f>
        <v>#REF!</v>
      </c>
      <c r="C281" s="363" t="e">
        <f t="shared" si="328"/>
        <v>#REF!</v>
      </c>
      <c r="D281" s="363" t="e">
        <f>VALO_PERSO!#REF!</f>
        <v>#REF!</v>
      </c>
      <c r="E281" s="363" t="e">
        <f>VALO_PERSO!#REF!</f>
        <v>#REF!</v>
      </c>
      <c r="F281" s="364" t="e">
        <f>VALO_PERSO!#REF!</f>
        <v>#REF!</v>
      </c>
      <c r="G281" s="364" t="e">
        <f t="shared" si="329"/>
        <v>#REF!</v>
      </c>
      <c r="H281" s="364" t="e">
        <f>VALO_PERSO!#REF!</f>
        <v>#REF!</v>
      </c>
      <c r="I281" s="364" t="e">
        <f t="shared" si="330"/>
        <v>#REF!</v>
      </c>
      <c r="J281" s="363" t="e">
        <f t="shared" si="331"/>
        <v>#REF!</v>
      </c>
      <c r="K281" s="363" t="e">
        <f t="shared" si="332"/>
        <v>#REF!</v>
      </c>
      <c r="L281" s="363"/>
      <c r="M281" s="363" t="e">
        <f>VALO_PERSO!#REF!</f>
        <v>#REF!</v>
      </c>
      <c r="N281" s="383" t="e">
        <f t="shared" si="333"/>
        <v>#REF!</v>
      </c>
      <c r="O281" s="384" t="e">
        <f t="shared" si="335"/>
        <v>#REF!</v>
      </c>
      <c r="P281" s="367" t="e">
        <f>VALO_PERSO!#REF!</f>
        <v>#REF!</v>
      </c>
      <c r="Q281" s="367" t="e">
        <f>VALO_PERSO!#REF!</f>
        <v>#REF!</v>
      </c>
      <c r="R281" s="367" t="e">
        <f>VALO_PERSO!#REF!</f>
        <v>#REF!</v>
      </c>
      <c r="S281" s="385" t="e">
        <f>VALO_PERSO!#REF!-VALO_PERSO!#REF!</f>
        <v>#REF!</v>
      </c>
      <c r="T281" s="367" t="e">
        <f t="shared" si="334"/>
        <v>#REF!</v>
      </c>
    </row>
    <row r="282" spans="1:20" s="112" customFormat="1" ht="15.75" thickBot="1" x14ac:dyDescent="0.3">
      <c r="B282" s="386" t="s">
        <v>770</v>
      </c>
      <c r="C282" s="391"/>
      <c r="D282" s="391"/>
      <c r="E282" s="391"/>
      <c r="F282" s="392"/>
      <c r="G282" s="392"/>
      <c r="H282" s="391"/>
      <c r="I282" s="392"/>
      <c r="J282" s="391"/>
      <c r="K282" s="391"/>
      <c r="L282" s="391"/>
      <c r="M282" s="391"/>
      <c r="N282" s="393"/>
      <c r="O282" s="394"/>
      <c r="P282" s="394"/>
      <c r="Q282" s="394"/>
      <c r="R282" s="394"/>
      <c r="S282" s="395"/>
      <c r="T282" s="394"/>
    </row>
    <row r="283" spans="1:20" s="112" customFormat="1" ht="15.75" thickBot="1" x14ac:dyDescent="0.3">
      <c r="B283" s="396"/>
      <c r="C283" s="396"/>
      <c r="D283" s="396"/>
      <c r="E283" s="396"/>
      <c r="F283" s="397"/>
      <c r="G283" s="397"/>
      <c r="H283" s="396"/>
      <c r="I283" s="397"/>
      <c r="J283" s="396"/>
      <c r="K283" s="396"/>
      <c r="L283" s="396"/>
      <c r="M283" s="396"/>
      <c r="N283" s="396"/>
      <c r="O283" s="398"/>
      <c r="P283" s="398"/>
      <c r="Q283" s="398"/>
      <c r="R283" s="398"/>
      <c r="S283" s="399"/>
      <c r="T283" s="398"/>
    </row>
    <row r="284" spans="1:20" s="112" customFormat="1" ht="15.75" thickBot="1" x14ac:dyDescent="0.3">
      <c r="B284" s="396"/>
      <c r="C284" s="396"/>
      <c r="D284" s="396"/>
      <c r="E284" s="396"/>
      <c r="F284" s="397"/>
      <c r="G284" s="397"/>
      <c r="H284" s="396"/>
      <c r="I284" s="397"/>
      <c r="J284" s="396"/>
      <c r="K284" s="396"/>
      <c r="L284" s="396"/>
      <c r="M284" s="396"/>
      <c r="N284" s="396"/>
      <c r="O284" s="398"/>
      <c r="P284" s="398"/>
      <c r="Q284" s="398"/>
      <c r="R284" s="398"/>
      <c r="S284" s="399"/>
      <c r="T284" s="398"/>
    </row>
    <row r="285" spans="1:20" s="112" customFormat="1" ht="15.75" thickBot="1" x14ac:dyDescent="0.3">
      <c r="B285" s="396"/>
      <c r="C285" s="396"/>
      <c r="D285" s="396"/>
      <c r="E285" s="396"/>
      <c r="F285" s="397"/>
      <c r="G285" s="397"/>
      <c r="H285" s="396"/>
      <c r="I285" s="397"/>
      <c r="J285" s="396"/>
      <c r="K285" s="396"/>
      <c r="L285" s="396"/>
      <c r="M285" s="396"/>
      <c r="N285" s="396"/>
      <c r="O285" s="398"/>
      <c r="P285" s="398"/>
      <c r="Q285" s="398"/>
      <c r="R285" s="398"/>
      <c r="S285" s="399"/>
      <c r="T285" s="398"/>
    </row>
    <row r="286" spans="1:20" s="112" customFormat="1" ht="15.75" thickBot="1" x14ac:dyDescent="0.3">
      <c r="B286" s="396"/>
      <c r="C286" s="396"/>
      <c r="D286" s="396"/>
      <c r="E286" s="396"/>
      <c r="F286" s="397"/>
      <c r="G286" s="397"/>
      <c r="H286" s="396"/>
      <c r="I286" s="397"/>
      <c r="J286" s="396"/>
      <c r="K286" s="396"/>
      <c r="L286" s="396"/>
      <c r="M286" s="396"/>
      <c r="N286" s="396"/>
      <c r="O286" s="398"/>
      <c r="P286" s="398"/>
      <c r="Q286" s="398"/>
      <c r="R286" s="398"/>
      <c r="S286" s="399"/>
      <c r="T286" s="398"/>
    </row>
    <row r="287" spans="1:20" s="112" customFormat="1" ht="15.75" thickBot="1" x14ac:dyDescent="0.3">
      <c r="B287" s="396"/>
      <c r="C287" s="396"/>
      <c r="D287" s="396"/>
      <c r="E287" s="396"/>
      <c r="F287" s="397"/>
      <c r="G287" s="397"/>
      <c r="H287" s="396"/>
      <c r="I287" s="397"/>
      <c r="J287" s="396"/>
      <c r="K287" s="396"/>
      <c r="L287" s="396"/>
      <c r="M287" s="396"/>
      <c r="N287" s="396"/>
      <c r="O287" s="398"/>
      <c r="P287" s="398"/>
      <c r="Q287" s="398"/>
      <c r="R287" s="398"/>
      <c r="S287" s="399"/>
      <c r="T287" s="398"/>
    </row>
    <row r="288" spans="1:20" s="112" customFormat="1" ht="15.75" thickBot="1" x14ac:dyDescent="0.3">
      <c r="B288" s="396"/>
      <c r="C288" s="396"/>
      <c r="D288" s="396"/>
      <c r="E288" s="396"/>
      <c r="F288" s="397"/>
      <c r="G288" s="397"/>
      <c r="H288" s="396"/>
      <c r="I288" s="397"/>
      <c r="J288" s="396"/>
      <c r="K288" s="396"/>
      <c r="L288" s="396"/>
      <c r="M288" s="396"/>
      <c r="N288" s="396"/>
      <c r="O288" s="398"/>
      <c r="P288" s="398"/>
      <c r="Q288" s="398"/>
      <c r="R288" s="398"/>
      <c r="S288" s="399"/>
      <c r="T288" s="398"/>
    </row>
    <row r="289" spans="1:20" s="112" customFormat="1" ht="15.75" thickBot="1" x14ac:dyDescent="0.3">
      <c r="B289" s="596" t="s">
        <v>448</v>
      </c>
      <c r="C289" s="597"/>
      <c r="D289" s="597"/>
      <c r="E289" s="597"/>
      <c r="F289" s="597"/>
      <c r="G289" s="597"/>
      <c r="H289" s="597"/>
      <c r="I289" s="597"/>
      <c r="J289" s="598"/>
      <c r="K289" s="387" t="e">
        <f>SUM(K230:K288)</f>
        <v>#REF!</v>
      </c>
      <c r="L289" s="387"/>
      <c r="M289" s="387" t="e">
        <f>SUM(M230:M288)</f>
        <v>#REF!</v>
      </c>
      <c r="N289" s="387"/>
      <c r="O289" s="388" t="e">
        <f t="shared" ref="O289:T289" si="336">SUM(O230:O288)</f>
        <v>#REF!</v>
      </c>
      <c r="P289" s="388" t="e">
        <f t="shared" si="336"/>
        <v>#REF!</v>
      </c>
      <c r="Q289" s="388" t="e">
        <f t="shared" si="336"/>
        <v>#REF!</v>
      </c>
      <c r="R289" s="388" t="e">
        <f t="shared" si="336"/>
        <v>#REF!</v>
      </c>
      <c r="S289" s="389" t="e">
        <f t="shared" si="336"/>
        <v>#REF!</v>
      </c>
      <c r="T289" s="388" t="e">
        <f t="shared" si="336"/>
        <v>#REF!</v>
      </c>
    </row>
    <row r="290" spans="1:20" s="112" customFormat="1" x14ac:dyDescent="0.25">
      <c r="B290" s="350"/>
      <c r="C290" s="350"/>
      <c r="D290" s="350"/>
      <c r="E290" s="350"/>
      <c r="F290" s="350"/>
      <c r="G290" s="350"/>
      <c r="H290" s="350"/>
      <c r="I290" s="350"/>
      <c r="J290" s="350"/>
      <c r="K290" s="350"/>
      <c r="L290" s="350"/>
      <c r="M290" s="350"/>
      <c r="N290" s="350"/>
      <c r="O290" s="350"/>
      <c r="P290" s="350"/>
      <c r="Q290" s="350"/>
      <c r="R290" s="350"/>
      <c r="S290" s="350"/>
      <c r="T290" s="350"/>
    </row>
    <row r="291" spans="1:20" s="112" customFormat="1" ht="15.75" thickBot="1" x14ac:dyDescent="0.3">
      <c r="B291" s="350"/>
      <c r="C291" s="350"/>
      <c r="D291" s="350"/>
      <c r="E291" s="350"/>
      <c r="F291" s="350"/>
      <c r="G291" s="350"/>
      <c r="H291" s="350"/>
      <c r="I291" s="350"/>
      <c r="J291" s="350"/>
      <c r="K291" s="350"/>
      <c r="L291" s="350"/>
      <c r="M291" s="350"/>
      <c r="N291" s="350"/>
      <c r="O291" s="350"/>
      <c r="P291" s="350"/>
      <c r="Q291" s="350"/>
      <c r="R291" s="350"/>
      <c r="S291" s="350"/>
      <c r="T291" s="350"/>
    </row>
    <row r="292" spans="1:20" s="112" customFormat="1" ht="24.75" thickBot="1" x14ac:dyDescent="0.3">
      <c r="B292" s="382" t="s">
        <v>366</v>
      </c>
      <c r="C292" s="402" t="s">
        <v>807</v>
      </c>
      <c r="D292" s="402" t="s">
        <v>808</v>
      </c>
      <c r="E292" s="402" t="s">
        <v>809</v>
      </c>
      <c r="F292" s="402" t="s">
        <v>721</v>
      </c>
      <c r="G292" s="414"/>
      <c r="H292" s="404" t="s">
        <v>367</v>
      </c>
      <c r="I292" s="402" t="s">
        <v>368</v>
      </c>
      <c r="J292" s="402" t="s">
        <v>804</v>
      </c>
      <c r="K292" s="402" t="s">
        <v>810</v>
      </c>
      <c r="L292" s="350"/>
      <c r="M292" s="350"/>
      <c r="N292" s="350"/>
      <c r="O292" s="350" t="s">
        <v>771</v>
      </c>
      <c r="P292" s="350"/>
      <c r="Q292" s="350"/>
      <c r="R292" s="350"/>
      <c r="S292" s="350"/>
      <c r="T292" s="350"/>
    </row>
    <row r="293" spans="1:20" s="112" customFormat="1" ht="15.75" thickBot="1" x14ac:dyDescent="0.3">
      <c r="A293" s="112" t="s">
        <v>815</v>
      </c>
      <c r="B293" s="363">
        <f>B230</f>
        <v>1</v>
      </c>
      <c r="C293" s="405" t="str">
        <f>C230</f>
        <v>CIEREN Marion</v>
      </c>
      <c r="D293" s="406">
        <f>R230</f>
        <v>40.668566998979514</v>
      </c>
      <c r="E293" s="407">
        <f>S230</f>
        <v>984</v>
      </c>
      <c r="F293" s="406">
        <f>T230</f>
        <v>40017.869926995845</v>
      </c>
      <c r="G293" s="414"/>
      <c r="H293" s="405" t="str">
        <f t="shared" ref="H293" si="337">C43</f>
        <v>CIEREN</v>
      </c>
      <c r="I293" s="408" t="str">
        <f t="shared" ref="I293" si="338">D43</f>
        <v>Marion</v>
      </c>
      <c r="J293" s="408" t="str">
        <f>E230</f>
        <v>UPMC Sorbonne + Doctorat</v>
      </c>
      <c r="K293" s="408" t="str">
        <f>D230</f>
        <v>Chef de Projet R&amp;D</v>
      </c>
      <c r="L293" s="350"/>
      <c r="M293" s="350"/>
      <c r="N293" s="350"/>
      <c r="O293" s="350" t="s">
        <v>772</v>
      </c>
      <c r="P293" s="350"/>
      <c r="Q293" s="350"/>
      <c r="R293" s="350"/>
      <c r="S293" s="350"/>
      <c r="T293" s="350"/>
    </row>
    <row r="294" spans="1:20" s="112" customFormat="1" ht="15.75" thickBot="1" x14ac:dyDescent="0.3">
      <c r="A294" s="112" t="s">
        <v>815</v>
      </c>
      <c r="B294" s="363" t="e">
        <f>B232</f>
        <v>#REF!</v>
      </c>
      <c r="C294" s="405" t="e">
        <f>C232</f>
        <v>#REF!</v>
      </c>
      <c r="D294" s="406" t="e">
        <f>R232</f>
        <v>#REF!</v>
      </c>
      <c r="E294" s="407" t="e">
        <f>S232</f>
        <v>#REF!</v>
      </c>
      <c r="F294" s="406" t="e">
        <f>T232</f>
        <v>#REF!</v>
      </c>
      <c r="G294" s="414"/>
      <c r="H294" s="405" t="e">
        <f t="shared" ref="H294" si="339">C45</f>
        <v>#REF!</v>
      </c>
      <c r="I294" s="408" t="e">
        <f t="shared" ref="I294" si="340">D45</f>
        <v>#REF!</v>
      </c>
      <c r="J294" s="408" t="e">
        <f>E232</f>
        <v>#REF!</v>
      </c>
      <c r="K294" s="408" t="e">
        <f>D232</f>
        <v>#REF!</v>
      </c>
      <c r="L294" s="350"/>
      <c r="M294" s="350"/>
      <c r="N294" s="350"/>
      <c r="O294" s="350" t="s">
        <v>772</v>
      </c>
      <c r="P294" s="350"/>
      <c r="Q294" s="350"/>
      <c r="R294" s="350"/>
      <c r="S294" s="350"/>
      <c r="T294" s="350"/>
    </row>
    <row r="295" spans="1:20" s="112" customFormat="1" ht="15.75" thickBot="1" x14ac:dyDescent="0.3">
      <c r="A295" s="112" t="s">
        <v>815</v>
      </c>
      <c r="B295" s="363" t="e">
        <f>B234</f>
        <v>#REF!</v>
      </c>
      <c r="C295" s="405" t="e">
        <f>C234</f>
        <v>#REF!</v>
      </c>
      <c r="D295" s="406" t="e">
        <f>R234</f>
        <v>#REF!</v>
      </c>
      <c r="E295" s="407" t="e">
        <f>S234</f>
        <v>#REF!</v>
      </c>
      <c r="F295" s="406" t="e">
        <f>T234</f>
        <v>#REF!</v>
      </c>
      <c r="G295" s="414"/>
      <c r="H295" s="405" t="e">
        <f t="shared" ref="H295" si="341">C47</f>
        <v>#REF!</v>
      </c>
      <c r="I295" s="408" t="e">
        <f t="shared" ref="I295" si="342">D47</f>
        <v>#REF!</v>
      </c>
      <c r="J295" s="408" t="e">
        <f>E234</f>
        <v>#REF!</v>
      </c>
      <c r="K295" s="408" t="e">
        <f>D234</f>
        <v>#REF!</v>
      </c>
      <c r="L295" s="350"/>
      <c r="M295" s="350"/>
      <c r="N295" s="350"/>
      <c r="O295" s="350" t="s">
        <v>772</v>
      </c>
      <c r="P295" s="350"/>
      <c r="Q295" s="350"/>
      <c r="R295" s="350"/>
      <c r="S295" s="350"/>
      <c r="T295" s="350"/>
    </row>
    <row r="296" spans="1:20" s="112" customFormat="1" ht="15.75" thickBot="1" x14ac:dyDescent="0.3">
      <c r="A296" s="112" t="s">
        <v>815</v>
      </c>
      <c r="B296" s="363" t="e">
        <f>B236</f>
        <v>#REF!</v>
      </c>
      <c r="C296" s="405" t="str">
        <f>C236</f>
        <v>JONDOT Keita</v>
      </c>
      <c r="D296" s="406" t="e">
        <f>R236</f>
        <v>#REF!</v>
      </c>
      <c r="E296" s="407" t="e">
        <f>S236</f>
        <v>#REF!</v>
      </c>
      <c r="F296" s="406" t="e">
        <f>T236</f>
        <v>#REF!</v>
      </c>
      <c r="G296" s="414"/>
      <c r="H296" s="405" t="e">
        <f t="shared" ref="H296" si="343">C49</f>
        <v>#REF!</v>
      </c>
      <c r="I296" s="408" t="e">
        <f t="shared" ref="I296" si="344">D49</f>
        <v>#REF!</v>
      </c>
      <c r="J296" s="408" t="e">
        <f>E236</f>
        <v>#REF!</v>
      </c>
      <c r="K296" s="408" t="e">
        <f>D236</f>
        <v>#REF!</v>
      </c>
      <c r="L296" s="350"/>
      <c r="M296" s="350"/>
      <c r="N296" s="350"/>
      <c r="O296" s="350" t="s">
        <v>772</v>
      </c>
      <c r="P296" s="350"/>
      <c r="Q296" s="350"/>
      <c r="R296" s="350"/>
      <c r="S296" s="350"/>
      <c r="T296" s="350"/>
    </row>
    <row r="297" spans="1:20" s="112" customFormat="1" ht="15.75" thickBot="1" x14ac:dyDescent="0.3">
      <c r="A297" s="112" t="s">
        <v>815</v>
      </c>
      <c r="B297" s="363" t="e">
        <f>B274</f>
        <v>#REF!</v>
      </c>
      <c r="C297" s="405" t="e">
        <f>C274</f>
        <v>#REF!</v>
      </c>
      <c r="D297" s="406" t="e">
        <f t="shared" ref="D297:F298" si="345">R274</f>
        <v>#REF!</v>
      </c>
      <c r="E297" s="407" t="e">
        <f t="shared" si="345"/>
        <v>#REF!</v>
      </c>
      <c r="F297" s="406" t="e">
        <f t="shared" si="345"/>
        <v>#REF!</v>
      </c>
      <c r="G297" s="414"/>
      <c r="H297" s="405" t="e">
        <f t="shared" ref="H297" si="346">C87</f>
        <v>#REF!</v>
      </c>
      <c r="I297" s="408" t="e">
        <f t="shared" ref="I297" si="347">D87</f>
        <v>#REF!</v>
      </c>
      <c r="J297" s="408" t="e">
        <f>E274</f>
        <v>#REF!</v>
      </c>
      <c r="K297" s="408" t="e">
        <f>D274</f>
        <v>#REF!</v>
      </c>
      <c r="L297" s="350"/>
      <c r="M297" s="350"/>
      <c r="N297" s="350"/>
      <c r="O297" s="350" t="s">
        <v>772</v>
      </c>
      <c r="P297" s="350"/>
      <c r="Q297" s="350"/>
      <c r="R297" s="350"/>
      <c r="S297" s="350"/>
      <c r="T297" s="350"/>
    </row>
    <row r="298" spans="1:20" s="112" customFormat="1" ht="36.75" thickBot="1" x14ac:dyDescent="0.3">
      <c r="A298" s="112" t="s">
        <v>815</v>
      </c>
      <c r="B298" s="363">
        <f>B275</f>
        <v>3</v>
      </c>
      <c r="C298" s="405" t="str">
        <f>C275</f>
        <v>JONDOT Keita</v>
      </c>
      <c r="D298" s="406">
        <f t="shared" si="345"/>
        <v>23.998881215469616</v>
      </c>
      <c r="E298" s="407">
        <f t="shared" si="345"/>
        <v>1294</v>
      </c>
      <c r="F298" s="406">
        <f t="shared" si="345"/>
        <v>31054.552292817683</v>
      </c>
      <c r="G298" s="414"/>
      <c r="H298" s="405" t="str">
        <f t="shared" ref="H298" si="348">C88</f>
        <v>JONDOT</v>
      </c>
      <c r="I298" s="408" t="str">
        <f t="shared" ref="I298" si="349">D88</f>
        <v>Keita</v>
      </c>
      <c r="J298" s="408" t="str">
        <f>E275</f>
        <v>Université Grenoble Alpes + Master of Sciences et Management des Biotechnologies</v>
      </c>
      <c r="K298" s="408" t="str">
        <f>D275</f>
        <v>Ingénieur R&amp;D</v>
      </c>
      <c r="L298" s="350"/>
      <c r="M298" s="350"/>
      <c r="N298" s="350"/>
      <c r="O298" s="350" t="s">
        <v>772</v>
      </c>
      <c r="P298" s="350"/>
      <c r="Q298" s="350"/>
      <c r="R298" s="350"/>
      <c r="S298" s="350"/>
      <c r="T298" s="350"/>
    </row>
    <row r="299" spans="1:20" s="112" customFormat="1" ht="36.75" thickBot="1" x14ac:dyDescent="0.3">
      <c r="A299" s="112" t="s">
        <v>815</v>
      </c>
      <c r="B299" s="363">
        <f>B275</f>
        <v>3</v>
      </c>
      <c r="C299" s="405" t="str">
        <f>C275</f>
        <v>JONDOT Keita</v>
      </c>
      <c r="D299" s="406">
        <f t="shared" ref="D299:F300" si="350">R275</f>
        <v>23.998881215469616</v>
      </c>
      <c r="E299" s="407">
        <f t="shared" si="350"/>
        <v>1294</v>
      </c>
      <c r="F299" s="406">
        <f t="shared" si="350"/>
        <v>31054.552292817683</v>
      </c>
      <c r="G299" s="414"/>
      <c r="H299" s="405" t="str">
        <f t="shared" ref="H299" si="351">C88</f>
        <v>JONDOT</v>
      </c>
      <c r="I299" s="408" t="str">
        <f t="shared" ref="I299" si="352">D88</f>
        <v>Keita</v>
      </c>
      <c r="J299" s="408" t="str">
        <f>E275</f>
        <v>Université Grenoble Alpes + Master of Sciences et Management des Biotechnologies</v>
      </c>
      <c r="K299" s="408" t="str">
        <f>D275</f>
        <v>Ingénieur R&amp;D</v>
      </c>
      <c r="L299" s="350"/>
      <c r="M299" s="350"/>
      <c r="N299" s="350"/>
      <c r="O299" s="350" t="s">
        <v>772</v>
      </c>
      <c r="P299" s="350"/>
      <c r="Q299" s="350"/>
      <c r="R299" s="350"/>
      <c r="S299" s="350"/>
      <c r="T299" s="350"/>
    </row>
    <row r="300" spans="1:20" s="112" customFormat="1" ht="15.75" thickBot="1" x14ac:dyDescent="0.3">
      <c r="A300" s="112" t="s">
        <v>815</v>
      </c>
      <c r="B300" s="363" t="e">
        <f>B276</f>
        <v>#REF!</v>
      </c>
      <c r="C300" s="405" t="e">
        <f>C276</f>
        <v>#REF!</v>
      </c>
      <c r="D300" s="406" t="e">
        <f t="shared" si="350"/>
        <v>#REF!</v>
      </c>
      <c r="E300" s="407" t="e">
        <f t="shared" si="350"/>
        <v>#REF!</v>
      </c>
      <c r="F300" s="406" t="e">
        <f t="shared" si="350"/>
        <v>#REF!</v>
      </c>
      <c r="G300" s="414"/>
      <c r="H300" s="405" t="e">
        <f t="shared" ref="H300" si="353">C89</f>
        <v>#REF!</v>
      </c>
      <c r="I300" s="408" t="e">
        <f t="shared" ref="I300" si="354">D89</f>
        <v>#REF!</v>
      </c>
      <c r="J300" s="408" t="e">
        <f>E276</f>
        <v>#REF!</v>
      </c>
      <c r="K300" s="408" t="e">
        <f>D276</f>
        <v>#REF!</v>
      </c>
      <c r="L300" s="350"/>
      <c r="M300" s="350"/>
      <c r="N300" s="350"/>
      <c r="O300" s="350" t="s">
        <v>772</v>
      </c>
      <c r="P300" s="350"/>
      <c r="Q300" s="350"/>
      <c r="R300" s="350"/>
      <c r="S300" s="350"/>
      <c r="T300" s="350"/>
    </row>
    <row r="301" spans="1:20" s="112" customFormat="1" ht="15.75" thickBot="1" x14ac:dyDescent="0.3">
      <c r="A301" s="112" t="s">
        <v>815</v>
      </c>
      <c r="B301" s="363" t="e">
        <f>B274</f>
        <v>#REF!</v>
      </c>
      <c r="C301" s="405" t="e">
        <f>C274</f>
        <v>#REF!</v>
      </c>
      <c r="D301" s="406" t="e">
        <f t="shared" ref="D301:F302" si="355">R274</f>
        <v>#REF!</v>
      </c>
      <c r="E301" s="407" t="e">
        <f t="shared" si="355"/>
        <v>#REF!</v>
      </c>
      <c r="F301" s="406" t="e">
        <f t="shared" si="355"/>
        <v>#REF!</v>
      </c>
      <c r="G301" s="414"/>
      <c r="H301" s="405" t="e">
        <f t="shared" ref="H301" si="356">C87</f>
        <v>#REF!</v>
      </c>
      <c r="I301" s="408" t="e">
        <f t="shared" ref="I301" si="357">D87</f>
        <v>#REF!</v>
      </c>
      <c r="J301" s="408" t="e">
        <f>E274</f>
        <v>#REF!</v>
      </c>
      <c r="K301" s="408" t="e">
        <f>D274</f>
        <v>#REF!</v>
      </c>
      <c r="L301" s="350"/>
      <c r="M301" s="350"/>
      <c r="N301" s="350"/>
      <c r="O301" s="350" t="s">
        <v>772</v>
      </c>
      <c r="P301" s="350"/>
      <c r="Q301" s="350"/>
      <c r="R301" s="350"/>
      <c r="S301" s="350"/>
      <c r="T301" s="350"/>
    </row>
    <row r="302" spans="1:20" s="112" customFormat="1" ht="36.75" thickBot="1" x14ac:dyDescent="0.3">
      <c r="A302" s="112" t="s">
        <v>815</v>
      </c>
      <c r="B302" s="363">
        <f>B275</f>
        <v>3</v>
      </c>
      <c r="C302" s="405" t="str">
        <f>C275</f>
        <v>JONDOT Keita</v>
      </c>
      <c r="D302" s="406">
        <f t="shared" si="355"/>
        <v>23.998881215469616</v>
      </c>
      <c r="E302" s="407">
        <f t="shared" si="355"/>
        <v>1294</v>
      </c>
      <c r="F302" s="406">
        <f t="shared" si="355"/>
        <v>31054.552292817683</v>
      </c>
      <c r="G302" s="414"/>
      <c r="H302" s="405" t="str">
        <f t="shared" ref="H302" si="358">C88</f>
        <v>JONDOT</v>
      </c>
      <c r="I302" s="408" t="str">
        <f t="shared" ref="I302" si="359">D88</f>
        <v>Keita</v>
      </c>
      <c r="J302" s="408" t="str">
        <f>E275</f>
        <v>Université Grenoble Alpes + Master of Sciences et Management des Biotechnologies</v>
      </c>
      <c r="K302" s="408" t="str">
        <f>D275</f>
        <v>Ingénieur R&amp;D</v>
      </c>
      <c r="L302" s="350"/>
      <c r="M302" s="350"/>
      <c r="N302" s="350"/>
      <c r="O302" s="350" t="s">
        <v>772</v>
      </c>
      <c r="P302" s="350"/>
      <c r="Q302" s="350"/>
      <c r="R302" s="350"/>
      <c r="S302" s="350"/>
      <c r="T302" s="350"/>
    </row>
    <row r="303" spans="1:20" s="112" customFormat="1" ht="36.75" thickBot="1" x14ac:dyDescent="0.3">
      <c r="A303" s="112" t="s">
        <v>815</v>
      </c>
      <c r="B303" s="363">
        <f>B275</f>
        <v>3</v>
      </c>
      <c r="C303" s="405" t="str">
        <f>C275</f>
        <v>JONDOT Keita</v>
      </c>
      <c r="D303" s="406">
        <f t="shared" ref="D303:F304" si="360">R275</f>
        <v>23.998881215469616</v>
      </c>
      <c r="E303" s="407">
        <f t="shared" si="360"/>
        <v>1294</v>
      </c>
      <c r="F303" s="406">
        <f t="shared" si="360"/>
        <v>31054.552292817683</v>
      </c>
      <c r="G303" s="414"/>
      <c r="H303" s="405" t="str">
        <f t="shared" ref="H303" si="361">C88</f>
        <v>JONDOT</v>
      </c>
      <c r="I303" s="408" t="str">
        <f t="shared" ref="I303" si="362">D88</f>
        <v>Keita</v>
      </c>
      <c r="J303" s="408" t="str">
        <f>E275</f>
        <v>Université Grenoble Alpes + Master of Sciences et Management des Biotechnologies</v>
      </c>
      <c r="K303" s="408" t="str">
        <f>D275</f>
        <v>Ingénieur R&amp;D</v>
      </c>
      <c r="L303" s="350"/>
      <c r="M303" s="350"/>
      <c r="N303" s="350"/>
      <c r="O303" s="350" t="s">
        <v>772</v>
      </c>
      <c r="P303" s="350"/>
      <c r="Q303" s="350"/>
      <c r="R303" s="350"/>
      <c r="S303" s="350"/>
      <c r="T303" s="350"/>
    </row>
    <row r="304" spans="1:20" s="112" customFormat="1" ht="15.75" thickBot="1" x14ac:dyDescent="0.3">
      <c r="A304" s="112" t="s">
        <v>815</v>
      </c>
      <c r="B304" s="363" t="e">
        <f>B276</f>
        <v>#REF!</v>
      </c>
      <c r="C304" s="405" t="e">
        <f>C276</f>
        <v>#REF!</v>
      </c>
      <c r="D304" s="406" t="e">
        <f t="shared" si="360"/>
        <v>#REF!</v>
      </c>
      <c r="E304" s="407" t="e">
        <f t="shared" si="360"/>
        <v>#REF!</v>
      </c>
      <c r="F304" s="406" t="e">
        <f t="shared" si="360"/>
        <v>#REF!</v>
      </c>
      <c r="G304" s="414"/>
      <c r="H304" s="405" t="e">
        <f t="shared" ref="H304" si="363">C89</f>
        <v>#REF!</v>
      </c>
      <c r="I304" s="408" t="e">
        <f t="shared" ref="I304" si="364">D89</f>
        <v>#REF!</v>
      </c>
      <c r="J304" s="408" t="e">
        <f>E276</f>
        <v>#REF!</v>
      </c>
      <c r="K304" s="408" t="e">
        <f>D276</f>
        <v>#REF!</v>
      </c>
      <c r="L304" s="350"/>
      <c r="M304" s="350"/>
      <c r="N304" s="350"/>
      <c r="O304" s="350" t="s">
        <v>772</v>
      </c>
      <c r="P304" s="350"/>
      <c r="Q304" s="350"/>
      <c r="R304" s="350"/>
      <c r="S304" s="350"/>
      <c r="T304" s="350"/>
    </row>
    <row r="305" spans="1:20" s="112" customFormat="1" ht="15.75" thickBot="1" x14ac:dyDescent="0.3">
      <c r="A305" s="112" t="s">
        <v>815</v>
      </c>
      <c r="B305" s="363" t="e">
        <f>B274</f>
        <v>#REF!</v>
      </c>
      <c r="C305" s="405" t="e">
        <f>C274</f>
        <v>#REF!</v>
      </c>
      <c r="D305" s="406" t="e">
        <f t="shared" ref="D305:F306" si="365">R274</f>
        <v>#REF!</v>
      </c>
      <c r="E305" s="407" t="e">
        <f t="shared" si="365"/>
        <v>#REF!</v>
      </c>
      <c r="F305" s="406" t="e">
        <f t="shared" si="365"/>
        <v>#REF!</v>
      </c>
      <c r="G305" s="414"/>
      <c r="H305" s="405" t="e">
        <f t="shared" ref="H305" si="366">C87</f>
        <v>#REF!</v>
      </c>
      <c r="I305" s="408" t="e">
        <f t="shared" ref="I305" si="367">D87</f>
        <v>#REF!</v>
      </c>
      <c r="J305" s="408" t="e">
        <f>E274</f>
        <v>#REF!</v>
      </c>
      <c r="K305" s="408" t="e">
        <f>D274</f>
        <v>#REF!</v>
      </c>
      <c r="L305" s="350"/>
      <c r="M305" s="350"/>
      <c r="N305" s="350"/>
      <c r="O305" s="350" t="s">
        <v>772</v>
      </c>
      <c r="P305" s="350"/>
      <c r="Q305" s="350"/>
      <c r="R305" s="350"/>
      <c r="S305" s="350"/>
      <c r="T305" s="350"/>
    </row>
    <row r="306" spans="1:20" s="112" customFormat="1" ht="36.75" thickBot="1" x14ac:dyDescent="0.3">
      <c r="A306" s="112" t="s">
        <v>815</v>
      </c>
      <c r="B306" s="363">
        <f>B275</f>
        <v>3</v>
      </c>
      <c r="C306" s="405" t="str">
        <f>C275</f>
        <v>JONDOT Keita</v>
      </c>
      <c r="D306" s="406">
        <f t="shared" si="365"/>
        <v>23.998881215469616</v>
      </c>
      <c r="E306" s="407">
        <f t="shared" si="365"/>
        <v>1294</v>
      </c>
      <c r="F306" s="406">
        <f t="shared" si="365"/>
        <v>31054.552292817683</v>
      </c>
      <c r="G306" s="414"/>
      <c r="H306" s="405" t="str">
        <f t="shared" ref="H306" si="368">C88</f>
        <v>JONDOT</v>
      </c>
      <c r="I306" s="408" t="str">
        <f t="shared" ref="I306" si="369">D88</f>
        <v>Keita</v>
      </c>
      <c r="J306" s="408" t="str">
        <f>E275</f>
        <v>Université Grenoble Alpes + Master of Sciences et Management des Biotechnologies</v>
      </c>
      <c r="K306" s="408" t="str">
        <f>D275</f>
        <v>Ingénieur R&amp;D</v>
      </c>
      <c r="L306" s="350"/>
      <c r="M306" s="350"/>
      <c r="N306" s="350"/>
      <c r="O306" s="350" t="s">
        <v>772</v>
      </c>
      <c r="P306" s="350"/>
      <c r="Q306" s="350"/>
      <c r="R306" s="350"/>
      <c r="S306" s="350"/>
      <c r="T306" s="350"/>
    </row>
    <row r="307" spans="1:20" s="112" customFormat="1" ht="36.75" thickBot="1" x14ac:dyDescent="0.3">
      <c r="A307" s="112" t="s">
        <v>815</v>
      </c>
      <c r="B307" s="363">
        <f>B275</f>
        <v>3</v>
      </c>
      <c r="C307" s="405" t="str">
        <f>C275</f>
        <v>JONDOT Keita</v>
      </c>
      <c r="D307" s="406">
        <f t="shared" ref="D307:F308" si="370">R275</f>
        <v>23.998881215469616</v>
      </c>
      <c r="E307" s="407">
        <f t="shared" si="370"/>
        <v>1294</v>
      </c>
      <c r="F307" s="406">
        <f t="shared" si="370"/>
        <v>31054.552292817683</v>
      </c>
      <c r="G307" s="414"/>
      <c r="H307" s="405" t="str">
        <f t="shared" ref="H307" si="371">C88</f>
        <v>JONDOT</v>
      </c>
      <c r="I307" s="408" t="str">
        <f t="shared" ref="I307" si="372">D88</f>
        <v>Keita</v>
      </c>
      <c r="J307" s="408" t="str">
        <f>E275</f>
        <v>Université Grenoble Alpes + Master of Sciences et Management des Biotechnologies</v>
      </c>
      <c r="K307" s="408" t="str">
        <f>D275</f>
        <v>Ingénieur R&amp;D</v>
      </c>
      <c r="L307" s="350"/>
      <c r="M307" s="350"/>
      <c r="N307" s="350"/>
      <c r="O307" s="350" t="s">
        <v>772</v>
      </c>
      <c r="P307" s="350"/>
      <c r="Q307" s="350"/>
      <c r="R307" s="350"/>
      <c r="S307" s="350"/>
      <c r="T307" s="350"/>
    </row>
    <row r="308" spans="1:20" s="112" customFormat="1" ht="15.75" thickBot="1" x14ac:dyDescent="0.3">
      <c r="A308" s="112" t="s">
        <v>815</v>
      </c>
      <c r="B308" s="363" t="e">
        <f>B276</f>
        <v>#REF!</v>
      </c>
      <c r="C308" s="405" t="e">
        <f>C276</f>
        <v>#REF!</v>
      </c>
      <c r="D308" s="406" t="e">
        <f t="shared" si="370"/>
        <v>#REF!</v>
      </c>
      <c r="E308" s="407" t="e">
        <f t="shared" si="370"/>
        <v>#REF!</v>
      </c>
      <c r="F308" s="406" t="e">
        <f t="shared" si="370"/>
        <v>#REF!</v>
      </c>
      <c r="G308" s="414"/>
      <c r="H308" s="405" t="e">
        <f t="shared" ref="H308" si="373">C89</f>
        <v>#REF!</v>
      </c>
      <c r="I308" s="408" t="e">
        <f t="shared" ref="I308" si="374">D89</f>
        <v>#REF!</v>
      </c>
      <c r="J308" s="408" t="e">
        <f>E276</f>
        <v>#REF!</v>
      </c>
      <c r="K308" s="408" t="e">
        <f>D276</f>
        <v>#REF!</v>
      </c>
      <c r="L308" s="350"/>
      <c r="M308" s="350"/>
      <c r="N308" s="350"/>
      <c r="O308" s="350" t="s">
        <v>772</v>
      </c>
      <c r="P308" s="350"/>
      <c r="Q308" s="350"/>
      <c r="R308" s="350"/>
      <c r="S308" s="350"/>
      <c r="T308" s="350"/>
    </row>
    <row r="309" spans="1:20" s="112" customFormat="1" ht="15.75" thickBot="1" x14ac:dyDescent="0.3">
      <c r="A309" s="112" t="s">
        <v>815</v>
      </c>
      <c r="B309" s="363" t="e">
        <f>B274</f>
        <v>#REF!</v>
      </c>
      <c r="C309" s="405" t="e">
        <f>C274</f>
        <v>#REF!</v>
      </c>
      <c r="D309" s="406" t="e">
        <f t="shared" ref="D309:F310" si="375">R274</f>
        <v>#REF!</v>
      </c>
      <c r="E309" s="407" t="e">
        <f t="shared" si="375"/>
        <v>#REF!</v>
      </c>
      <c r="F309" s="406" t="e">
        <f t="shared" si="375"/>
        <v>#REF!</v>
      </c>
      <c r="G309" s="414"/>
      <c r="H309" s="405" t="e">
        <f t="shared" ref="H309" si="376">C87</f>
        <v>#REF!</v>
      </c>
      <c r="I309" s="408" t="e">
        <f t="shared" ref="I309" si="377">D87</f>
        <v>#REF!</v>
      </c>
      <c r="J309" s="408" t="e">
        <f>E274</f>
        <v>#REF!</v>
      </c>
      <c r="K309" s="408" t="e">
        <f>D274</f>
        <v>#REF!</v>
      </c>
      <c r="L309" s="350"/>
      <c r="M309" s="350"/>
      <c r="N309" s="350"/>
      <c r="O309" s="350" t="s">
        <v>772</v>
      </c>
      <c r="P309" s="350"/>
      <c r="Q309" s="350"/>
      <c r="R309" s="350"/>
      <c r="S309" s="350"/>
      <c r="T309" s="350"/>
    </row>
    <row r="310" spans="1:20" s="112" customFormat="1" ht="36.75" thickBot="1" x14ac:dyDescent="0.3">
      <c r="A310" s="112" t="s">
        <v>815</v>
      </c>
      <c r="B310" s="363">
        <f>B275</f>
        <v>3</v>
      </c>
      <c r="C310" s="405" t="str">
        <f>C275</f>
        <v>JONDOT Keita</v>
      </c>
      <c r="D310" s="406">
        <f t="shared" si="375"/>
        <v>23.998881215469616</v>
      </c>
      <c r="E310" s="407">
        <f t="shared" si="375"/>
        <v>1294</v>
      </c>
      <c r="F310" s="406">
        <f t="shared" si="375"/>
        <v>31054.552292817683</v>
      </c>
      <c r="G310" s="414"/>
      <c r="H310" s="405" t="str">
        <f t="shared" ref="H310" si="378">C88</f>
        <v>JONDOT</v>
      </c>
      <c r="I310" s="408" t="str">
        <f t="shared" ref="I310" si="379">D88</f>
        <v>Keita</v>
      </c>
      <c r="J310" s="408" t="str">
        <f>E275</f>
        <v>Université Grenoble Alpes + Master of Sciences et Management des Biotechnologies</v>
      </c>
      <c r="K310" s="408" t="str">
        <f>D275</f>
        <v>Ingénieur R&amp;D</v>
      </c>
      <c r="L310" s="350"/>
      <c r="M310" s="350"/>
      <c r="N310" s="350"/>
      <c r="O310" s="350" t="s">
        <v>772</v>
      </c>
      <c r="P310" s="350"/>
      <c r="Q310" s="350"/>
      <c r="R310" s="350"/>
      <c r="S310" s="350"/>
      <c r="T310" s="350"/>
    </row>
    <row r="311" spans="1:20" s="112" customFormat="1" ht="36.75" thickBot="1" x14ac:dyDescent="0.3">
      <c r="A311" s="112" t="s">
        <v>815</v>
      </c>
      <c r="B311" s="363">
        <f>B275</f>
        <v>3</v>
      </c>
      <c r="C311" s="405" t="str">
        <f>C275</f>
        <v>JONDOT Keita</v>
      </c>
      <c r="D311" s="406">
        <f t="shared" ref="D311:F312" si="380">R275</f>
        <v>23.998881215469616</v>
      </c>
      <c r="E311" s="407">
        <f t="shared" si="380"/>
        <v>1294</v>
      </c>
      <c r="F311" s="406">
        <f t="shared" si="380"/>
        <v>31054.552292817683</v>
      </c>
      <c r="G311" s="414"/>
      <c r="H311" s="405" t="str">
        <f t="shared" ref="H311" si="381">C88</f>
        <v>JONDOT</v>
      </c>
      <c r="I311" s="408" t="str">
        <f t="shared" ref="I311" si="382">D88</f>
        <v>Keita</v>
      </c>
      <c r="J311" s="408" t="str">
        <f>E275</f>
        <v>Université Grenoble Alpes + Master of Sciences et Management des Biotechnologies</v>
      </c>
      <c r="K311" s="408" t="str">
        <f>D275</f>
        <v>Ingénieur R&amp;D</v>
      </c>
      <c r="L311" s="350"/>
      <c r="M311" s="350"/>
      <c r="N311" s="350"/>
      <c r="O311" s="350" t="s">
        <v>772</v>
      </c>
      <c r="P311" s="350"/>
      <c r="Q311" s="350"/>
      <c r="R311" s="350"/>
      <c r="S311" s="350"/>
      <c r="T311" s="350"/>
    </row>
    <row r="312" spans="1:20" s="112" customFormat="1" ht="15.75" thickBot="1" x14ac:dyDescent="0.3">
      <c r="A312" s="112" t="s">
        <v>815</v>
      </c>
      <c r="B312" s="363" t="e">
        <f>B276</f>
        <v>#REF!</v>
      </c>
      <c r="C312" s="405" t="e">
        <f>C276</f>
        <v>#REF!</v>
      </c>
      <c r="D312" s="406" t="e">
        <f t="shared" si="380"/>
        <v>#REF!</v>
      </c>
      <c r="E312" s="407" t="e">
        <f t="shared" si="380"/>
        <v>#REF!</v>
      </c>
      <c r="F312" s="406" t="e">
        <f t="shared" si="380"/>
        <v>#REF!</v>
      </c>
      <c r="G312" s="414"/>
      <c r="H312" s="405" t="e">
        <f t="shared" ref="H312" si="383">C89</f>
        <v>#REF!</v>
      </c>
      <c r="I312" s="408" t="e">
        <f t="shared" ref="I312" si="384">D89</f>
        <v>#REF!</v>
      </c>
      <c r="J312" s="408" t="e">
        <f>E276</f>
        <v>#REF!</v>
      </c>
      <c r="K312" s="408" t="e">
        <f>D276</f>
        <v>#REF!</v>
      </c>
      <c r="L312" s="350"/>
      <c r="M312" s="350"/>
      <c r="N312" s="350"/>
      <c r="O312" s="350" t="s">
        <v>772</v>
      </c>
      <c r="P312" s="350"/>
      <c r="Q312" s="350"/>
      <c r="R312" s="350"/>
      <c r="S312" s="350"/>
      <c r="T312" s="350"/>
    </row>
    <row r="313" spans="1:20" s="112" customFormat="1" ht="15.75" thickBot="1" x14ac:dyDescent="0.3">
      <c r="A313" s="112" t="s">
        <v>815</v>
      </c>
      <c r="B313" s="363" t="e">
        <f>B274</f>
        <v>#REF!</v>
      </c>
      <c r="C313" s="405" t="e">
        <f>C274</f>
        <v>#REF!</v>
      </c>
      <c r="D313" s="406" t="e">
        <f t="shared" ref="D313:F314" si="385">R274</f>
        <v>#REF!</v>
      </c>
      <c r="E313" s="407" t="e">
        <f t="shared" si="385"/>
        <v>#REF!</v>
      </c>
      <c r="F313" s="406" t="e">
        <f t="shared" si="385"/>
        <v>#REF!</v>
      </c>
      <c r="G313" s="414"/>
      <c r="H313" s="405" t="e">
        <f t="shared" ref="H313" si="386">C87</f>
        <v>#REF!</v>
      </c>
      <c r="I313" s="408" t="e">
        <f t="shared" ref="I313" si="387">D87</f>
        <v>#REF!</v>
      </c>
      <c r="J313" s="408" t="e">
        <f>E274</f>
        <v>#REF!</v>
      </c>
      <c r="K313" s="408" t="e">
        <f>D274</f>
        <v>#REF!</v>
      </c>
      <c r="L313" s="350"/>
      <c r="M313" s="350"/>
      <c r="N313" s="350"/>
      <c r="O313" s="350" t="s">
        <v>772</v>
      </c>
      <c r="P313" s="350"/>
      <c r="Q313" s="350"/>
      <c r="R313" s="350"/>
      <c r="S313" s="350"/>
      <c r="T313" s="350"/>
    </row>
    <row r="314" spans="1:20" s="112" customFormat="1" ht="36.75" thickBot="1" x14ac:dyDescent="0.3">
      <c r="A314" s="112" t="s">
        <v>815</v>
      </c>
      <c r="B314" s="363">
        <f>B275</f>
        <v>3</v>
      </c>
      <c r="C314" s="405" t="str">
        <f>C275</f>
        <v>JONDOT Keita</v>
      </c>
      <c r="D314" s="406">
        <f t="shared" si="385"/>
        <v>23.998881215469616</v>
      </c>
      <c r="E314" s="407">
        <f t="shared" si="385"/>
        <v>1294</v>
      </c>
      <c r="F314" s="406">
        <f t="shared" si="385"/>
        <v>31054.552292817683</v>
      </c>
      <c r="G314" s="414"/>
      <c r="H314" s="405" t="str">
        <f t="shared" ref="H314" si="388">C88</f>
        <v>JONDOT</v>
      </c>
      <c r="I314" s="408" t="str">
        <f t="shared" ref="I314" si="389">D88</f>
        <v>Keita</v>
      </c>
      <c r="J314" s="408" t="str">
        <f>E275</f>
        <v>Université Grenoble Alpes + Master of Sciences et Management des Biotechnologies</v>
      </c>
      <c r="K314" s="408" t="str">
        <f>D275</f>
        <v>Ingénieur R&amp;D</v>
      </c>
      <c r="L314" s="350"/>
      <c r="M314" s="350"/>
      <c r="N314" s="350"/>
      <c r="O314" s="350" t="s">
        <v>772</v>
      </c>
      <c r="P314" s="350"/>
      <c r="Q314" s="350"/>
      <c r="R314" s="350"/>
      <c r="S314" s="350"/>
      <c r="T314" s="350"/>
    </row>
    <row r="315" spans="1:20" s="112" customFormat="1" ht="36.75" thickBot="1" x14ac:dyDescent="0.3">
      <c r="A315" s="112" t="s">
        <v>815</v>
      </c>
      <c r="B315" s="363">
        <f>B275</f>
        <v>3</v>
      </c>
      <c r="C315" s="405" t="str">
        <f>C275</f>
        <v>JONDOT Keita</v>
      </c>
      <c r="D315" s="406">
        <f t="shared" ref="D315:F316" si="390">R275</f>
        <v>23.998881215469616</v>
      </c>
      <c r="E315" s="407">
        <f t="shared" si="390"/>
        <v>1294</v>
      </c>
      <c r="F315" s="406">
        <f t="shared" si="390"/>
        <v>31054.552292817683</v>
      </c>
      <c r="G315" s="414"/>
      <c r="H315" s="405" t="str">
        <f t="shared" ref="H315" si="391">C88</f>
        <v>JONDOT</v>
      </c>
      <c r="I315" s="408" t="str">
        <f t="shared" ref="I315" si="392">D88</f>
        <v>Keita</v>
      </c>
      <c r="J315" s="408" t="str">
        <f>E275</f>
        <v>Université Grenoble Alpes + Master of Sciences et Management des Biotechnologies</v>
      </c>
      <c r="K315" s="408" t="str">
        <f>D275</f>
        <v>Ingénieur R&amp;D</v>
      </c>
      <c r="L315" s="350"/>
      <c r="M315" s="350"/>
      <c r="N315" s="350"/>
      <c r="O315" s="350" t="s">
        <v>772</v>
      </c>
      <c r="P315" s="350"/>
      <c r="Q315" s="350"/>
      <c r="R315" s="350"/>
      <c r="S315" s="350"/>
      <c r="T315" s="350"/>
    </row>
    <row r="316" spans="1:20" s="112" customFormat="1" ht="15.75" thickBot="1" x14ac:dyDescent="0.3">
      <c r="A316" s="112" t="s">
        <v>815</v>
      </c>
      <c r="B316" s="363" t="e">
        <f>B276</f>
        <v>#REF!</v>
      </c>
      <c r="C316" s="405" t="e">
        <f>C276</f>
        <v>#REF!</v>
      </c>
      <c r="D316" s="406" t="e">
        <f t="shared" si="390"/>
        <v>#REF!</v>
      </c>
      <c r="E316" s="407" t="e">
        <f t="shared" si="390"/>
        <v>#REF!</v>
      </c>
      <c r="F316" s="406" t="e">
        <f t="shared" si="390"/>
        <v>#REF!</v>
      </c>
      <c r="G316" s="414"/>
      <c r="H316" s="405" t="e">
        <f t="shared" ref="H316" si="393">C89</f>
        <v>#REF!</v>
      </c>
      <c r="I316" s="408" t="e">
        <f t="shared" ref="I316" si="394">D89</f>
        <v>#REF!</v>
      </c>
      <c r="J316" s="408" t="e">
        <f>E276</f>
        <v>#REF!</v>
      </c>
      <c r="K316" s="408" t="e">
        <f>D276</f>
        <v>#REF!</v>
      </c>
      <c r="L316" s="350"/>
      <c r="M316" s="350"/>
      <c r="N316" s="350"/>
      <c r="O316" s="350" t="s">
        <v>772</v>
      </c>
      <c r="P316" s="350"/>
      <c r="Q316" s="350"/>
      <c r="R316" s="350"/>
      <c r="S316" s="350"/>
      <c r="T316" s="350"/>
    </row>
    <row r="317" spans="1:20" s="112" customFormat="1" ht="15.75" thickBot="1" x14ac:dyDescent="0.3">
      <c r="A317" s="112" t="s">
        <v>815</v>
      </c>
      <c r="B317" s="363" t="e">
        <f>B274</f>
        <v>#REF!</v>
      </c>
      <c r="C317" s="405" t="e">
        <f>C274</f>
        <v>#REF!</v>
      </c>
      <c r="D317" s="406" t="e">
        <f t="shared" ref="D317:F318" si="395">R274</f>
        <v>#REF!</v>
      </c>
      <c r="E317" s="407" t="e">
        <f t="shared" si="395"/>
        <v>#REF!</v>
      </c>
      <c r="F317" s="406" t="e">
        <f t="shared" si="395"/>
        <v>#REF!</v>
      </c>
      <c r="G317" s="414"/>
      <c r="H317" s="405" t="e">
        <f t="shared" ref="H317" si="396">C87</f>
        <v>#REF!</v>
      </c>
      <c r="I317" s="408" t="e">
        <f t="shared" ref="I317" si="397">D87</f>
        <v>#REF!</v>
      </c>
      <c r="J317" s="408" t="e">
        <f>E274</f>
        <v>#REF!</v>
      </c>
      <c r="K317" s="408" t="e">
        <f>D274</f>
        <v>#REF!</v>
      </c>
      <c r="L317" s="350"/>
      <c r="M317" s="350"/>
      <c r="N317" s="350"/>
      <c r="O317" s="350" t="s">
        <v>772</v>
      </c>
      <c r="P317" s="350"/>
      <c r="Q317" s="350"/>
      <c r="R317" s="350"/>
      <c r="S317" s="350"/>
      <c r="T317" s="350"/>
    </row>
    <row r="318" spans="1:20" s="112" customFormat="1" ht="36.75" thickBot="1" x14ac:dyDescent="0.3">
      <c r="A318" s="112" t="s">
        <v>815</v>
      </c>
      <c r="B318" s="363">
        <f>B275</f>
        <v>3</v>
      </c>
      <c r="C318" s="405" t="str">
        <f>C275</f>
        <v>JONDOT Keita</v>
      </c>
      <c r="D318" s="406">
        <f t="shared" si="395"/>
        <v>23.998881215469616</v>
      </c>
      <c r="E318" s="407">
        <f t="shared" si="395"/>
        <v>1294</v>
      </c>
      <c r="F318" s="406">
        <f t="shared" si="395"/>
        <v>31054.552292817683</v>
      </c>
      <c r="G318" s="414"/>
      <c r="H318" s="405" t="str">
        <f t="shared" ref="H318" si="398">C88</f>
        <v>JONDOT</v>
      </c>
      <c r="I318" s="408" t="str">
        <f t="shared" ref="I318" si="399">D88</f>
        <v>Keita</v>
      </c>
      <c r="J318" s="408" t="str">
        <f>E275</f>
        <v>Université Grenoble Alpes + Master of Sciences et Management des Biotechnologies</v>
      </c>
      <c r="K318" s="408" t="str">
        <f>D275</f>
        <v>Ingénieur R&amp;D</v>
      </c>
      <c r="L318" s="350"/>
      <c r="M318" s="350"/>
      <c r="N318" s="350"/>
      <c r="O318" s="350" t="s">
        <v>772</v>
      </c>
      <c r="P318" s="350"/>
      <c r="Q318" s="350"/>
      <c r="R318" s="350"/>
      <c r="S318" s="350"/>
      <c r="T318" s="350"/>
    </row>
    <row r="319" spans="1:20" s="112" customFormat="1" ht="36.75" thickBot="1" x14ac:dyDescent="0.3">
      <c r="A319" s="112" t="s">
        <v>815</v>
      </c>
      <c r="B319" s="363">
        <f>B275</f>
        <v>3</v>
      </c>
      <c r="C319" s="405" t="str">
        <f>C275</f>
        <v>JONDOT Keita</v>
      </c>
      <c r="D319" s="406">
        <f t="shared" ref="D319:F320" si="400">R275</f>
        <v>23.998881215469616</v>
      </c>
      <c r="E319" s="407">
        <f t="shared" si="400"/>
        <v>1294</v>
      </c>
      <c r="F319" s="406">
        <f t="shared" si="400"/>
        <v>31054.552292817683</v>
      </c>
      <c r="G319" s="414"/>
      <c r="H319" s="405" t="str">
        <f t="shared" ref="H319" si="401">C88</f>
        <v>JONDOT</v>
      </c>
      <c r="I319" s="408" t="str">
        <f t="shared" ref="I319" si="402">D88</f>
        <v>Keita</v>
      </c>
      <c r="J319" s="408" t="str">
        <f>E275</f>
        <v>Université Grenoble Alpes + Master of Sciences et Management des Biotechnologies</v>
      </c>
      <c r="K319" s="408" t="str">
        <f>D275</f>
        <v>Ingénieur R&amp;D</v>
      </c>
      <c r="L319" s="350"/>
      <c r="M319" s="350"/>
      <c r="N319" s="350"/>
      <c r="O319" s="350" t="s">
        <v>772</v>
      </c>
      <c r="P319" s="350"/>
      <c r="Q319" s="350"/>
      <c r="R319" s="350"/>
      <c r="S319" s="350"/>
      <c r="T319" s="350"/>
    </row>
    <row r="320" spans="1:20" s="112" customFormat="1" ht="15.75" thickBot="1" x14ac:dyDescent="0.3">
      <c r="A320" s="112" t="s">
        <v>815</v>
      </c>
      <c r="B320" s="363" t="e">
        <f>B276</f>
        <v>#REF!</v>
      </c>
      <c r="C320" s="405" t="e">
        <f>C276</f>
        <v>#REF!</v>
      </c>
      <c r="D320" s="406" t="e">
        <f t="shared" si="400"/>
        <v>#REF!</v>
      </c>
      <c r="E320" s="407" t="e">
        <f t="shared" si="400"/>
        <v>#REF!</v>
      </c>
      <c r="F320" s="406" t="e">
        <f t="shared" si="400"/>
        <v>#REF!</v>
      </c>
      <c r="G320" s="414"/>
      <c r="H320" s="405" t="e">
        <f t="shared" ref="H320" si="403">C89</f>
        <v>#REF!</v>
      </c>
      <c r="I320" s="408" t="e">
        <f t="shared" ref="I320" si="404">D89</f>
        <v>#REF!</v>
      </c>
      <c r="J320" s="408" t="e">
        <f>E276</f>
        <v>#REF!</v>
      </c>
      <c r="K320" s="408" t="e">
        <f>D276</f>
        <v>#REF!</v>
      </c>
      <c r="L320" s="350"/>
      <c r="M320" s="350"/>
      <c r="N320" s="350"/>
      <c r="O320" s="350" t="s">
        <v>772</v>
      </c>
      <c r="P320" s="350"/>
      <c r="Q320" s="350"/>
      <c r="R320" s="350"/>
      <c r="S320" s="350"/>
      <c r="T320" s="350"/>
    </row>
    <row r="321" spans="1:20" s="112" customFormat="1" ht="15.75" thickBot="1" x14ac:dyDescent="0.3">
      <c r="A321" s="112" t="s">
        <v>815</v>
      </c>
      <c r="B321" s="363" t="e">
        <f>B274</f>
        <v>#REF!</v>
      </c>
      <c r="C321" s="405" t="e">
        <f>C274</f>
        <v>#REF!</v>
      </c>
      <c r="D321" s="406" t="e">
        <f t="shared" ref="D321:F322" si="405">R274</f>
        <v>#REF!</v>
      </c>
      <c r="E321" s="407" t="e">
        <f t="shared" si="405"/>
        <v>#REF!</v>
      </c>
      <c r="F321" s="406" t="e">
        <f t="shared" si="405"/>
        <v>#REF!</v>
      </c>
      <c r="G321" s="414"/>
      <c r="H321" s="405" t="e">
        <f t="shared" ref="H321" si="406">C87</f>
        <v>#REF!</v>
      </c>
      <c r="I321" s="408" t="e">
        <f t="shared" ref="I321" si="407">D87</f>
        <v>#REF!</v>
      </c>
      <c r="J321" s="408" t="e">
        <f>E274</f>
        <v>#REF!</v>
      </c>
      <c r="K321" s="408" t="e">
        <f>D274</f>
        <v>#REF!</v>
      </c>
      <c r="L321" s="350"/>
      <c r="M321" s="350"/>
      <c r="N321" s="350"/>
      <c r="O321" s="350" t="s">
        <v>772</v>
      </c>
      <c r="P321" s="350"/>
      <c r="Q321" s="350"/>
      <c r="R321" s="350"/>
      <c r="S321" s="350"/>
      <c r="T321" s="350"/>
    </row>
    <row r="322" spans="1:20" s="112" customFormat="1" ht="36.75" thickBot="1" x14ac:dyDescent="0.3">
      <c r="A322" s="112" t="s">
        <v>815</v>
      </c>
      <c r="B322" s="363">
        <f>B275</f>
        <v>3</v>
      </c>
      <c r="C322" s="405" t="str">
        <f>C275</f>
        <v>JONDOT Keita</v>
      </c>
      <c r="D322" s="406">
        <f t="shared" si="405"/>
        <v>23.998881215469616</v>
      </c>
      <c r="E322" s="407">
        <f t="shared" si="405"/>
        <v>1294</v>
      </c>
      <c r="F322" s="406">
        <f t="shared" si="405"/>
        <v>31054.552292817683</v>
      </c>
      <c r="G322" s="414"/>
      <c r="H322" s="405" t="str">
        <f t="shared" ref="H322" si="408">C88</f>
        <v>JONDOT</v>
      </c>
      <c r="I322" s="408" t="str">
        <f t="shared" ref="I322" si="409">D88</f>
        <v>Keita</v>
      </c>
      <c r="J322" s="408" t="str">
        <f>E275</f>
        <v>Université Grenoble Alpes + Master of Sciences et Management des Biotechnologies</v>
      </c>
      <c r="K322" s="408" t="str">
        <f>D275</f>
        <v>Ingénieur R&amp;D</v>
      </c>
      <c r="L322" s="350"/>
      <c r="M322" s="350"/>
      <c r="N322" s="350"/>
      <c r="O322" s="350" t="s">
        <v>772</v>
      </c>
      <c r="P322" s="350"/>
      <c r="Q322" s="350"/>
      <c r="R322" s="350"/>
      <c r="S322" s="350"/>
      <c r="T322" s="350"/>
    </row>
    <row r="323" spans="1:20" s="112" customFormat="1" ht="36.75" thickBot="1" x14ac:dyDescent="0.3">
      <c r="A323" s="112" t="s">
        <v>815</v>
      </c>
      <c r="B323" s="363">
        <f>B275</f>
        <v>3</v>
      </c>
      <c r="C323" s="405" t="str">
        <f>C275</f>
        <v>JONDOT Keita</v>
      </c>
      <c r="D323" s="406">
        <f t="shared" ref="D323:F324" si="410">R275</f>
        <v>23.998881215469616</v>
      </c>
      <c r="E323" s="407">
        <f t="shared" si="410"/>
        <v>1294</v>
      </c>
      <c r="F323" s="406">
        <f t="shared" si="410"/>
        <v>31054.552292817683</v>
      </c>
      <c r="G323" s="414"/>
      <c r="H323" s="405" t="str">
        <f t="shared" ref="H323" si="411">C88</f>
        <v>JONDOT</v>
      </c>
      <c r="I323" s="408" t="str">
        <f t="shared" ref="I323" si="412">D88</f>
        <v>Keita</v>
      </c>
      <c r="J323" s="408" t="str">
        <f>E275</f>
        <v>Université Grenoble Alpes + Master of Sciences et Management des Biotechnologies</v>
      </c>
      <c r="K323" s="408" t="str">
        <f>D275</f>
        <v>Ingénieur R&amp;D</v>
      </c>
      <c r="L323" s="350"/>
      <c r="M323" s="350"/>
      <c r="N323" s="350"/>
      <c r="O323" s="350" t="s">
        <v>772</v>
      </c>
      <c r="P323" s="350"/>
      <c r="Q323" s="350"/>
      <c r="R323" s="350"/>
      <c r="S323" s="350"/>
      <c r="T323" s="350"/>
    </row>
    <row r="324" spans="1:20" s="112" customFormat="1" ht="15.75" thickBot="1" x14ac:dyDescent="0.3">
      <c r="A324" s="112" t="s">
        <v>815</v>
      </c>
      <c r="B324" s="363" t="e">
        <f>B276</f>
        <v>#REF!</v>
      </c>
      <c r="C324" s="405" t="e">
        <f>C276</f>
        <v>#REF!</v>
      </c>
      <c r="D324" s="406" t="e">
        <f t="shared" si="410"/>
        <v>#REF!</v>
      </c>
      <c r="E324" s="407" t="e">
        <f t="shared" si="410"/>
        <v>#REF!</v>
      </c>
      <c r="F324" s="406" t="e">
        <f t="shared" si="410"/>
        <v>#REF!</v>
      </c>
      <c r="G324" s="414"/>
      <c r="H324" s="405" t="e">
        <f t="shared" ref="H324" si="413">C89</f>
        <v>#REF!</v>
      </c>
      <c r="I324" s="408" t="e">
        <f t="shared" ref="I324" si="414">D89</f>
        <v>#REF!</v>
      </c>
      <c r="J324" s="408" t="e">
        <f>E276</f>
        <v>#REF!</v>
      </c>
      <c r="K324" s="408" t="e">
        <f>D276</f>
        <v>#REF!</v>
      </c>
      <c r="L324" s="350"/>
      <c r="M324" s="350"/>
      <c r="N324" s="350"/>
      <c r="O324" s="350" t="s">
        <v>772</v>
      </c>
      <c r="P324" s="350"/>
      <c r="Q324" s="350"/>
      <c r="R324" s="350"/>
      <c r="S324" s="350"/>
      <c r="T324" s="350"/>
    </row>
    <row r="325" spans="1:20" s="112" customFormat="1" ht="15.75" thickBot="1" x14ac:dyDescent="0.3">
      <c r="A325" s="112" t="s">
        <v>815</v>
      </c>
      <c r="B325" s="363" t="e">
        <f>B274</f>
        <v>#REF!</v>
      </c>
      <c r="C325" s="405" t="e">
        <f>C274</f>
        <v>#REF!</v>
      </c>
      <c r="D325" s="406" t="e">
        <f t="shared" ref="D325:F326" si="415">R274</f>
        <v>#REF!</v>
      </c>
      <c r="E325" s="407" t="e">
        <f t="shared" si="415"/>
        <v>#REF!</v>
      </c>
      <c r="F325" s="406" t="e">
        <f t="shared" si="415"/>
        <v>#REF!</v>
      </c>
      <c r="G325" s="414"/>
      <c r="H325" s="405" t="e">
        <f t="shared" ref="H325" si="416">C87</f>
        <v>#REF!</v>
      </c>
      <c r="I325" s="408" t="e">
        <f t="shared" ref="I325" si="417">D87</f>
        <v>#REF!</v>
      </c>
      <c r="J325" s="408" t="e">
        <f>E274</f>
        <v>#REF!</v>
      </c>
      <c r="K325" s="408" t="e">
        <f>D274</f>
        <v>#REF!</v>
      </c>
      <c r="L325" s="350"/>
      <c r="M325" s="350"/>
      <c r="N325" s="350"/>
      <c r="O325" s="350" t="s">
        <v>772</v>
      </c>
      <c r="P325" s="350"/>
      <c r="Q325" s="350"/>
      <c r="R325" s="350"/>
      <c r="S325" s="350"/>
      <c r="T325" s="350"/>
    </row>
    <row r="326" spans="1:20" s="112" customFormat="1" ht="36.75" thickBot="1" x14ac:dyDescent="0.3">
      <c r="A326" s="112" t="s">
        <v>815</v>
      </c>
      <c r="B326" s="363">
        <f>B275</f>
        <v>3</v>
      </c>
      <c r="C326" s="405" t="str">
        <f>C275</f>
        <v>JONDOT Keita</v>
      </c>
      <c r="D326" s="406">
        <f t="shared" si="415"/>
        <v>23.998881215469616</v>
      </c>
      <c r="E326" s="407">
        <f t="shared" si="415"/>
        <v>1294</v>
      </c>
      <c r="F326" s="406">
        <f t="shared" si="415"/>
        <v>31054.552292817683</v>
      </c>
      <c r="G326" s="414"/>
      <c r="H326" s="405" t="str">
        <f t="shared" ref="H326" si="418">C88</f>
        <v>JONDOT</v>
      </c>
      <c r="I326" s="408" t="str">
        <f t="shared" ref="I326" si="419">D88</f>
        <v>Keita</v>
      </c>
      <c r="J326" s="408" t="str">
        <f>E275</f>
        <v>Université Grenoble Alpes + Master of Sciences et Management des Biotechnologies</v>
      </c>
      <c r="K326" s="408" t="str">
        <f>D275</f>
        <v>Ingénieur R&amp;D</v>
      </c>
      <c r="L326" s="350"/>
      <c r="M326" s="350"/>
      <c r="N326" s="350"/>
      <c r="O326" s="350" t="s">
        <v>772</v>
      </c>
      <c r="P326" s="350"/>
      <c r="Q326" s="350"/>
      <c r="R326" s="350"/>
      <c r="S326" s="350"/>
      <c r="T326" s="350"/>
    </row>
    <row r="327" spans="1:20" s="112" customFormat="1" ht="36.75" thickBot="1" x14ac:dyDescent="0.3">
      <c r="A327" s="112" t="s">
        <v>815</v>
      </c>
      <c r="B327" s="363">
        <f>B275</f>
        <v>3</v>
      </c>
      <c r="C327" s="405" t="str">
        <f>C275</f>
        <v>JONDOT Keita</v>
      </c>
      <c r="D327" s="406">
        <f t="shared" ref="D327:F328" si="420">R275</f>
        <v>23.998881215469616</v>
      </c>
      <c r="E327" s="407">
        <f t="shared" si="420"/>
        <v>1294</v>
      </c>
      <c r="F327" s="406">
        <f t="shared" si="420"/>
        <v>31054.552292817683</v>
      </c>
      <c r="G327" s="414"/>
      <c r="H327" s="405" t="str">
        <f t="shared" ref="H327" si="421">C88</f>
        <v>JONDOT</v>
      </c>
      <c r="I327" s="408" t="str">
        <f t="shared" ref="I327" si="422">D88</f>
        <v>Keita</v>
      </c>
      <c r="J327" s="408" t="str">
        <f>E275</f>
        <v>Université Grenoble Alpes + Master of Sciences et Management des Biotechnologies</v>
      </c>
      <c r="K327" s="408" t="str">
        <f>D275</f>
        <v>Ingénieur R&amp;D</v>
      </c>
      <c r="L327" s="350"/>
      <c r="M327" s="350"/>
      <c r="N327" s="350"/>
      <c r="O327" s="350" t="s">
        <v>772</v>
      </c>
      <c r="P327" s="350"/>
      <c r="Q327" s="350"/>
      <c r="R327" s="350"/>
      <c r="S327" s="350"/>
      <c r="T327" s="350"/>
    </row>
    <row r="328" spans="1:20" s="112" customFormat="1" ht="15.75" thickBot="1" x14ac:dyDescent="0.3">
      <c r="A328" s="112" t="s">
        <v>815</v>
      </c>
      <c r="B328" s="363" t="e">
        <f>B276</f>
        <v>#REF!</v>
      </c>
      <c r="C328" s="405" t="e">
        <f>C276</f>
        <v>#REF!</v>
      </c>
      <c r="D328" s="406" t="e">
        <f t="shared" si="420"/>
        <v>#REF!</v>
      </c>
      <c r="E328" s="407" t="e">
        <f t="shared" si="420"/>
        <v>#REF!</v>
      </c>
      <c r="F328" s="406" t="e">
        <f t="shared" si="420"/>
        <v>#REF!</v>
      </c>
      <c r="G328" s="414"/>
      <c r="H328" s="405" t="e">
        <f t="shared" ref="H328" si="423">C89</f>
        <v>#REF!</v>
      </c>
      <c r="I328" s="408" t="e">
        <f t="shared" ref="I328" si="424">D89</f>
        <v>#REF!</v>
      </c>
      <c r="J328" s="408" t="e">
        <f>E276</f>
        <v>#REF!</v>
      </c>
      <c r="K328" s="408" t="e">
        <f>D276</f>
        <v>#REF!</v>
      </c>
      <c r="L328" s="350"/>
      <c r="M328" s="350"/>
      <c r="N328" s="350"/>
      <c r="O328" s="350" t="s">
        <v>772</v>
      </c>
      <c r="P328" s="350"/>
      <c r="Q328" s="350"/>
      <c r="R328" s="350"/>
      <c r="S328" s="350"/>
      <c r="T328" s="350"/>
    </row>
    <row r="329" spans="1:20" s="112" customFormat="1" ht="15.75" thickBot="1" x14ac:dyDescent="0.3">
      <c r="A329" s="112" t="s">
        <v>815</v>
      </c>
      <c r="B329" s="363" t="e">
        <f>B274</f>
        <v>#REF!</v>
      </c>
      <c r="C329" s="405" t="e">
        <f>C274</f>
        <v>#REF!</v>
      </c>
      <c r="D329" s="406" t="e">
        <f t="shared" ref="D329:F330" si="425">R274</f>
        <v>#REF!</v>
      </c>
      <c r="E329" s="407" t="e">
        <f t="shared" si="425"/>
        <v>#REF!</v>
      </c>
      <c r="F329" s="406" t="e">
        <f t="shared" si="425"/>
        <v>#REF!</v>
      </c>
      <c r="G329" s="414"/>
      <c r="H329" s="405" t="e">
        <f t="shared" ref="H329" si="426">C87</f>
        <v>#REF!</v>
      </c>
      <c r="I329" s="408" t="e">
        <f t="shared" ref="I329" si="427">D87</f>
        <v>#REF!</v>
      </c>
      <c r="J329" s="408" t="e">
        <f>E274</f>
        <v>#REF!</v>
      </c>
      <c r="K329" s="408" t="e">
        <f>D274</f>
        <v>#REF!</v>
      </c>
      <c r="L329" s="350"/>
      <c r="M329" s="350"/>
      <c r="N329" s="350"/>
      <c r="O329" s="350" t="s">
        <v>772</v>
      </c>
      <c r="P329" s="350"/>
      <c r="Q329" s="350"/>
      <c r="R329" s="350"/>
      <c r="S329" s="350"/>
      <c r="T329" s="350"/>
    </row>
    <row r="330" spans="1:20" s="112" customFormat="1" ht="36.75" thickBot="1" x14ac:dyDescent="0.3">
      <c r="A330" s="112" t="s">
        <v>815</v>
      </c>
      <c r="B330" s="363">
        <f>B275</f>
        <v>3</v>
      </c>
      <c r="C330" s="405" t="str">
        <f>C275</f>
        <v>JONDOT Keita</v>
      </c>
      <c r="D330" s="406">
        <f t="shared" si="425"/>
        <v>23.998881215469616</v>
      </c>
      <c r="E330" s="407">
        <f t="shared" si="425"/>
        <v>1294</v>
      </c>
      <c r="F330" s="406">
        <f t="shared" si="425"/>
        <v>31054.552292817683</v>
      </c>
      <c r="G330" s="414"/>
      <c r="H330" s="405" t="str">
        <f t="shared" ref="H330" si="428">C88</f>
        <v>JONDOT</v>
      </c>
      <c r="I330" s="408" t="str">
        <f t="shared" ref="I330" si="429">D88</f>
        <v>Keita</v>
      </c>
      <c r="J330" s="408" t="str">
        <f>E275</f>
        <v>Université Grenoble Alpes + Master of Sciences et Management des Biotechnologies</v>
      </c>
      <c r="K330" s="408" t="str">
        <f>D275</f>
        <v>Ingénieur R&amp;D</v>
      </c>
      <c r="L330" s="350"/>
      <c r="M330" s="350"/>
      <c r="N330" s="350"/>
      <c r="O330" s="350" t="s">
        <v>772</v>
      </c>
      <c r="P330" s="350"/>
      <c r="Q330" s="350"/>
      <c r="R330" s="350"/>
      <c r="S330" s="350"/>
      <c r="T330" s="350"/>
    </row>
    <row r="331" spans="1:20" s="112" customFormat="1" ht="36.75" thickBot="1" x14ac:dyDescent="0.3">
      <c r="A331" s="112" t="s">
        <v>815</v>
      </c>
      <c r="B331" s="363">
        <f>B275</f>
        <v>3</v>
      </c>
      <c r="C331" s="405" t="str">
        <f>C275</f>
        <v>JONDOT Keita</v>
      </c>
      <c r="D331" s="406">
        <f t="shared" ref="D331:F332" si="430">R275</f>
        <v>23.998881215469616</v>
      </c>
      <c r="E331" s="407">
        <f t="shared" si="430"/>
        <v>1294</v>
      </c>
      <c r="F331" s="406">
        <f t="shared" si="430"/>
        <v>31054.552292817683</v>
      </c>
      <c r="G331" s="414"/>
      <c r="H331" s="405" t="str">
        <f t="shared" ref="H331" si="431">C88</f>
        <v>JONDOT</v>
      </c>
      <c r="I331" s="408" t="str">
        <f t="shared" ref="I331" si="432">D88</f>
        <v>Keita</v>
      </c>
      <c r="J331" s="408" t="str">
        <f>E275</f>
        <v>Université Grenoble Alpes + Master of Sciences et Management des Biotechnologies</v>
      </c>
      <c r="K331" s="408" t="str">
        <f>D275</f>
        <v>Ingénieur R&amp;D</v>
      </c>
      <c r="L331" s="350"/>
      <c r="M331" s="350"/>
      <c r="N331" s="350"/>
      <c r="O331" s="350" t="s">
        <v>772</v>
      </c>
      <c r="P331" s="350"/>
      <c r="Q331" s="350"/>
      <c r="R331" s="350"/>
      <c r="S331" s="350"/>
      <c r="T331" s="350"/>
    </row>
    <row r="332" spans="1:20" s="112" customFormat="1" ht="15.75" thickBot="1" x14ac:dyDescent="0.3">
      <c r="A332" s="112" t="s">
        <v>815</v>
      </c>
      <c r="B332" s="363" t="e">
        <f>B276</f>
        <v>#REF!</v>
      </c>
      <c r="C332" s="405" t="e">
        <f>C276</f>
        <v>#REF!</v>
      </c>
      <c r="D332" s="406" t="e">
        <f t="shared" si="430"/>
        <v>#REF!</v>
      </c>
      <c r="E332" s="407" t="e">
        <f t="shared" si="430"/>
        <v>#REF!</v>
      </c>
      <c r="F332" s="406" t="e">
        <f t="shared" si="430"/>
        <v>#REF!</v>
      </c>
      <c r="G332" s="414"/>
      <c r="H332" s="405" t="e">
        <f t="shared" ref="H332" si="433">C89</f>
        <v>#REF!</v>
      </c>
      <c r="I332" s="408" t="e">
        <f t="shared" ref="I332" si="434">D89</f>
        <v>#REF!</v>
      </c>
      <c r="J332" s="408" t="e">
        <f>E276</f>
        <v>#REF!</v>
      </c>
      <c r="K332" s="408" t="e">
        <f>D276</f>
        <v>#REF!</v>
      </c>
      <c r="L332" s="350"/>
      <c r="M332" s="350"/>
      <c r="N332" s="350"/>
      <c r="O332" s="350" t="s">
        <v>772</v>
      </c>
      <c r="P332" s="350"/>
      <c r="Q332" s="350"/>
      <c r="R332" s="350"/>
      <c r="S332" s="350"/>
      <c r="T332" s="350"/>
    </row>
    <row r="333" spans="1:20" s="112" customFormat="1" ht="15.75" thickBot="1" x14ac:dyDescent="0.3">
      <c r="A333" s="112" t="s">
        <v>815</v>
      </c>
      <c r="B333" s="363" t="e">
        <f>B274</f>
        <v>#REF!</v>
      </c>
      <c r="C333" s="405" t="e">
        <f>C274</f>
        <v>#REF!</v>
      </c>
      <c r="D333" s="406" t="e">
        <f t="shared" ref="D333:F334" si="435">R274</f>
        <v>#REF!</v>
      </c>
      <c r="E333" s="407" t="e">
        <f t="shared" si="435"/>
        <v>#REF!</v>
      </c>
      <c r="F333" s="406" t="e">
        <f t="shared" si="435"/>
        <v>#REF!</v>
      </c>
      <c r="G333" s="414"/>
      <c r="H333" s="405" t="e">
        <f t="shared" ref="H333" si="436">C87</f>
        <v>#REF!</v>
      </c>
      <c r="I333" s="408" t="e">
        <f t="shared" ref="I333" si="437">D87</f>
        <v>#REF!</v>
      </c>
      <c r="J333" s="408" t="e">
        <f>E274</f>
        <v>#REF!</v>
      </c>
      <c r="K333" s="408" t="e">
        <f>D274</f>
        <v>#REF!</v>
      </c>
      <c r="L333" s="350"/>
      <c r="M333" s="350"/>
      <c r="N333" s="350"/>
      <c r="O333" s="350" t="s">
        <v>772</v>
      </c>
      <c r="P333" s="350"/>
      <c r="Q333" s="350"/>
      <c r="R333" s="350"/>
      <c r="S333" s="350"/>
      <c r="T333" s="350"/>
    </row>
    <row r="334" spans="1:20" s="112" customFormat="1" ht="36.75" thickBot="1" x14ac:dyDescent="0.3">
      <c r="A334" s="112" t="s">
        <v>815</v>
      </c>
      <c r="B334" s="363">
        <f>B275</f>
        <v>3</v>
      </c>
      <c r="C334" s="405" t="str">
        <f>C275</f>
        <v>JONDOT Keita</v>
      </c>
      <c r="D334" s="406">
        <f t="shared" si="435"/>
        <v>23.998881215469616</v>
      </c>
      <c r="E334" s="407">
        <f t="shared" si="435"/>
        <v>1294</v>
      </c>
      <c r="F334" s="406">
        <f t="shared" si="435"/>
        <v>31054.552292817683</v>
      </c>
      <c r="G334" s="414"/>
      <c r="H334" s="405" t="str">
        <f t="shared" ref="H334" si="438">C88</f>
        <v>JONDOT</v>
      </c>
      <c r="I334" s="408" t="str">
        <f t="shared" ref="I334" si="439">D88</f>
        <v>Keita</v>
      </c>
      <c r="J334" s="408" t="str">
        <f>E275</f>
        <v>Université Grenoble Alpes + Master of Sciences et Management des Biotechnologies</v>
      </c>
      <c r="K334" s="408" t="str">
        <f>D275</f>
        <v>Ingénieur R&amp;D</v>
      </c>
      <c r="L334" s="350"/>
      <c r="M334" s="350"/>
      <c r="N334" s="350"/>
      <c r="O334" s="350" t="s">
        <v>772</v>
      </c>
      <c r="P334" s="350"/>
      <c r="Q334" s="350"/>
      <c r="R334" s="350"/>
      <c r="S334" s="350"/>
      <c r="T334" s="350"/>
    </row>
    <row r="335" spans="1:20" s="112" customFormat="1" ht="36.75" thickBot="1" x14ac:dyDescent="0.3">
      <c r="A335" s="112" t="s">
        <v>815</v>
      </c>
      <c r="B335" s="363">
        <f>B275</f>
        <v>3</v>
      </c>
      <c r="C335" s="405" t="str">
        <f>C275</f>
        <v>JONDOT Keita</v>
      </c>
      <c r="D335" s="406">
        <f t="shared" ref="D335:F336" si="440">R275</f>
        <v>23.998881215469616</v>
      </c>
      <c r="E335" s="407">
        <f t="shared" si="440"/>
        <v>1294</v>
      </c>
      <c r="F335" s="406">
        <f t="shared" si="440"/>
        <v>31054.552292817683</v>
      </c>
      <c r="G335" s="414"/>
      <c r="H335" s="405" t="str">
        <f t="shared" ref="H335" si="441">C88</f>
        <v>JONDOT</v>
      </c>
      <c r="I335" s="408" t="str">
        <f t="shared" ref="I335" si="442">D88</f>
        <v>Keita</v>
      </c>
      <c r="J335" s="408" t="str">
        <f>E275</f>
        <v>Université Grenoble Alpes + Master of Sciences et Management des Biotechnologies</v>
      </c>
      <c r="K335" s="408" t="str">
        <f>D275</f>
        <v>Ingénieur R&amp;D</v>
      </c>
      <c r="L335" s="350"/>
      <c r="M335" s="350"/>
      <c r="N335" s="350"/>
      <c r="O335" s="350" t="s">
        <v>772</v>
      </c>
      <c r="P335" s="350"/>
      <c r="Q335" s="350"/>
      <c r="R335" s="350"/>
      <c r="S335" s="350"/>
      <c r="T335" s="350"/>
    </row>
    <row r="336" spans="1:20" s="112" customFormat="1" ht="15.75" thickBot="1" x14ac:dyDescent="0.3">
      <c r="A336" s="112" t="s">
        <v>815</v>
      </c>
      <c r="B336" s="363" t="e">
        <f>B276</f>
        <v>#REF!</v>
      </c>
      <c r="C336" s="405" t="e">
        <f>C276</f>
        <v>#REF!</v>
      </c>
      <c r="D336" s="406" t="e">
        <f t="shared" si="440"/>
        <v>#REF!</v>
      </c>
      <c r="E336" s="407" t="e">
        <f t="shared" si="440"/>
        <v>#REF!</v>
      </c>
      <c r="F336" s="406" t="e">
        <f t="shared" si="440"/>
        <v>#REF!</v>
      </c>
      <c r="G336" s="414"/>
      <c r="H336" s="405" t="e">
        <f t="shared" ref="H336" si="443">C89</f>
        <v>#REF!</v>
      </c>
      <c r="I336" s="408" t="e">
        <f t="shared" ref="I336" si="444">D89</f>
        <v>#REF!</v>
      </c>
      <c r="J336" s="408" t="e">
        <f>E276</f>
        <v>#REF!</v>
      </c>
      <c r="K336" s="408" t="e">
        <f>D276</f>
        <v>#REF!</v>
      </c>
      <c r="L336" s="350"/>
      <c r="M336" s="350"/>
      <c r="N336" s="350"/>
      <c r="O336" s="350" t="s">
        <v>772</v>
      </c>
      <c r="P336" s="350"/>
      <c r="Q336" s="350"/>
      <c r="R336" s="350"/>
      <c r="S336" s="350"/>
      <c r="T336" s="350"/>
    </row>
    <row r="337" spans="2:11" s="112" customFormat="1" ht="15.75" thickBot="1" x14ac:dyDescent="0.3">
      <c r="B337" s="363" t="e">
        <f t="shared" ref="B337:C344" si="445">B274</f>
        <v>#REF!</v>
      </c>
      <c r="C337" s="405" t="e">
        <f t="shared" si="445"/>
        <v>#REF!</v>
      </c>
      <c r="D337" s="406" t="e">
        <f t="shared" ref="D337:F344" si="446">R274</f>
        <v>#REF!</v>
      </c>
      <c r="E337" s="407" t="e">
        <f t="shared" si="446"/>
        <v>#REF!</v>
      </c>
      <c r="F337" s="406" t="e">
        <f t="shared" si="446"/>
        <v>#REF!</v>
      </c>
      <c r="G337" s="414"/>
      <c r="H337" s="405" t="e">
        <f t="shared" ref="H337:I344" si="447">C87</f>
        <v>#REF!</v>
      </c>
      <c r="I337" s="408" t="e">
        <f t="shared" si="447"/>
        <v>#REF!</v>
      </c>
      <c r="J337" s="408" t="e">
        <f t="shared" ref="J337:J344" si="448">E274</f>
        <v>#REF!</v>
      </c>
      <c r="K337" s="408" t="e">
        <f t="shared" ref="K337:K344" si="449">D274</f>
        <v>#REF!</v>
      </c>
    </row>
    <row r="338" spans="2:11" s="112" customFormat="1" ht="36.75" thickBot="1" x14ac:dyDescent="0.3">
      <c r="B338" s="363">
        <f t="shared" si="445"/>
        <v>3</v>
      </c>
      <c r="C338" s="405" t="str">
        <f t="shared" si="445"/>
        <v>JONDOT Keita</v>
      </c>
      <c r="D338" s="406">
        <f t="shared" si="446"/>
        <v>23.998881215469616</v>
      </c>
      <c r="E338" s="407">
        <f t="shared" si="446"/>
        <v>1294</v>
      </c>
      <c r="F338" s="406">
        <f t="shared" si="446"/>
        <v>31054.552292817683</v>
      </c>
      <c r="G338" s="414"/>
      <c r="H338" s="405" t="str">
        <f t="shared" si="447"/>
        <v>JONDOT</v>
      </c>
      <c r="I338" s="408" t="str">
        <f t="shared" si="447"/>
        <v>Keita</v>
      </c>
      <c r="J338" s="408" t="str">
        <f t="shared" si="448"/>
        <v>Université Grenoble Alpes + Master of Sciences et Management des Biotechnologies</v>
      </c>
      <c r="K338" s="408" t="str">
        <f t="shared" si="449"/>
        <v>Ingénieur R&amp;D</v>
      </c>
    </row>
    <row r="339" spans="2:11" s="112" customFormat="1" ht="15.75" thickBot="1" x14ac:dyDescent="0.3">
      <c r="B339" s="363" t="e">
        <f t="shared" si="445"/>
        <v>#REF!</v>
      </c>
      <c r="C339" s="405" t="e">
        <f t="shared" si="445"/>
        <v>#REF!</v>
      </c>
      <c r="D339" s="406" t="e">
        <f t="shared" si="446"/>
        <v>#REF!</v>
      </c>
      <c r="E339" s="407" t="e">
        <f t="shared" si="446"/>
        <v>#REF!</v>
      </c>
      <c r="F339" s="406" t="e">
        <f t="shared" si="446"/>
        <v>#REF!</v>
      </c>
      <c r="G339" s="414"/>
      <c r="H339" s="405" t="e">
        <f t="shared" si="447"/>
        <v>#REF!</v>
      </c>
      <c r="I339" s="408" t="e">
        <f t="shared" si="447"/>
        <v>#REF!</v>
      </c>
      <c r="J339" s="408" t="e">
        <f t="shared" si="448"/>
        <v>#REF!</v>
      </c>
      <c r="K339" s="408" t="e">
        <f t="shared" si="449"/>
        <v>#REF!</v>
      </c>
    </row>
    <row r="340" spans="2:11" s="112" customFormat="1" ht="15.75" thickBot="1" x14ac:dyDescent="0.3">
      <c r="B340" s="363" t="e">
        <f t="shared" si="445"/>
        <v>#REF!</v>
      </c>
      <c r="C340" s="405" t="e">
        <f t="shared" si="445"/>
        <v>#REF!</v>
      </c>
      <c r="D340" s="406" t="e">
        <f t="shared" si="446"/>
        <v>#REF!</v>
      </c>
      <c r="E340" s="407" t="e">
        <f t="shared" si="446"/>
        <v>#REF!</v>
      </c>
      <c r="F340" s="406" t="e">
        <f t="shared" si="446"/>
        <v>#REF!</v>
      </c>
      <c r="G340" s="414"/>
      <c r="H340" s="405" t="e">
        <f t="shared" si="447"/>
        <v>#REF!</v>
      </c>
      <c r="I340" s="408" t="e">
        <f t="shared" si="447"/>
        <v>#REF!</v>
      </c>
      <c r="J340" s="408" t="e">
        <f t="shared" si="448"/>
        <v>#REF!</v>
      </c>
      <c r="K340" s="408" t="e">
        <f t="shared" si="449"/>
        <v>#REF!</v>
      </c>
    </row>
    <row r="341" spans="2:11" s="112" customFormat="1" ht="15.75" thickBot="1" x14ac:dyDescent="0.3">
      <c r="B341" s="363" t="e">
        <f t="shared" si="445"/>
        <v>#REF!</v>
      </c>
      <c r="C341" s="405" t="e">
        <f t="shared" si="445"/>
        <v>#REF!</v>
      </c>
      <c r="D341" s="406" t="e">
        <f t="shared" si="446"/>
        <v>#REF!</v>
      </c>
      <c r="E341" s="407" t="e">
        <f t="shared" si="446"/>
        <v>#REF!</v>
      </c>
      <c r="F341" s="406" t="e">
        <f t="shared" si="446"/>
        <v>#REF!</v>
      </c>
      <c r="G341" s="414"/>
      <c r="H341" s="405" t="e">
        <f t="shared" si="447"/>
        <v>#REF!</v>
      </c>
      <c r="I341" s="408" t="e">
        <f t="shared" si="447"/>
        <v>#REF!</v>
      </c>
      <c r="J341" s="408" t="e">
        <f t="shared" si="448"/>
        <v>#REF!</v>
      </c>
      <c r="K341" s="408" t="e">
        <f t="shared" si="449"/>
        <v>#REF!</v>
      </c>
    </row>
    <row r="342" spans="2:11" s="112" customFormat="1" ht="15.75" thickBot="1" x14ac:dyDescent="0.3">
      <c r="B342" s="363" t="e">
        <f t="shared" si="445"/>
        <v>#REF!</v>
      </c>
      <c r="C342" s="405" t="e">
        <f t="shared" si="445"/>
        <v>#REF!</v>
      </c>
      <c r="D342" s="406" t="e">
        <f t="shared" si="446"/>
        <v>#REF!</v>
      </c>
      <c r="E342" s="407" t="e">
        <f t="shared" si="446"/>
        <v>#REF!</v>
      </c>
      <c r="F342" s="406" t="e">
        <f t="shared" si="446"/>
        <v>#REF!</v>
      </c>
      <c r="G342" s="414"/>
      <c r="H342" s="405" t="e">
        <f t="shared" si="447"/>
        <v>#REF!</v>
      </c>
      <c r="I342" s="408" t="e">
        <f t="shared" si="447"/>
        <v>#REF!</v>
      </c>
      <c r="J342" s="408" t="e">
        <f t="shared" si="448"/>
        <v>#REF!</v>
      </c>
      <c r="K342" s="408" t="e">
        <f t="shared" si="449"/>
        <v>#REF!</v>
      </c>
    </row>
    <row r="343" spans="2:11" s="112" customFormat="1" ht="15.75" thickBot="1" x14ac:dyDescent="0.3">
      <c r="B343" s="363" t="e">
        <f t="shared" si="445"/>
        <v>#REF!</v>
      </c>
      <c r="C343" s="405" t="e">
        <f t="shared" si="445"/>
        <v>#REF!</v>
      </c>
      <c r="D343" s="406" t="e">
        <f t="shared" si="446"/>
        <v>#REF!</v>
      </c>
      <c r="E343" s="407" t="e">
        <f t="shared" si="446"/>
        <v>#REF!</v>
      </c>
      <c r="F343" s="406" t="e">
        <f t="shared" si="446"/>
        <v>#REF!</v>
      </c>
      <c r="G343" s="414"/>
      <c r="H343" s="405" t="e">
        <f t="shared" si="447"/>
        <v>#REF!</v>
      </c>
      <c r="I343" s="408" t="e">
        <f t="shared" si="447"/>
        <v>#REF!</v>
      </c>
      <c r="J343" s="408" t="e">
        <f t="shared" si="448"/>
        <v>#REF!</v>
      </c>
      <c r="K343" s="408" t="e">
        <f t="shared" si="449"/>
        <v>#REF!</v>
      </c>
    </row>
    <row r="344" spans="2:11" s="112" customFormat="1" ht="15.75" thickBot="1" x14ac:dyDescent="0.3">
      <c r="B344" s="363" t="e">
        <f t="shared" si="445"/>
        <v>#REF!</v>
      </c>
      <c r="C344" s="405" t="e">
        <f t="shared" si="445"/>
        <v>#REF!</v>
      </c>
      <c r="D344" s="406" t="e">
        <f t="shared" si="446"/>
        <v>#REF!</v>
      </c>
      <c r="E344" s="407" t="e">
        <f t="shared" si="446"/>
        <v>#REF!</v>
      </c>
      <c r="F344" s="406" t="e">
        <f t="shared" si="446"/>
        <v>#REF!</v>
      </c>
      <c r="G344" s="414"/>
      <c r="H344" s="405" t="e">
        <f t="shared" si="447"/>
        <v>#REF!</v>
      </c>
      <c r="I344" s="408" t="e">
        <f t="shared" si="447"/>
        <v>#REF!</v>
      </c>
      <c r="J344" s="408" t="e">
        <f t="shared" si="448"/>
        <v>#REF!</v>
      </c>
      <c r="K344" s="408" t="e">
        <f t="shared" si="449"/>
        <v>#REF!</v>
      </c>
    </row>
    <row r="345" spans="2:11" s="112" customFormat="1" ht="15.75" thickBot="1" x14ac:dyDescent="0.3">
      <c r="B345" s="403"/>
      <c r="C345" s="411" t="s">
        <v>448</v>
      </c>
      <c r="D345" s="412"/>
      <c r="E345" s="409" t="e">
        <f>SUM(E293:E344)</f>
        <v>#REF!</v>
      </c>
      <c r="F345" s="410" t="e">
        <f>SUM(F293:F344)</f>
        <v>#REF!</v>
      </c>
      <c r="G345" s="414"/>
      <c r="H345" s="403"/>
      <c r="I345" s="403"/>
      <c r="J345" s="403"/>
      <c r="K345" s="403"/>
    </row>
    <row r="346" spans="2:11" s="112" customFormat="1" x14ac:dyDescent="0.25"/>
    <row r="347" spans="2:11" s="112" customFormat="1" ht="14.45" customHeight="1" x14ac:dyDescent="0.4">
      <c r="B347" s="427"/>
      <c r="C347" s="563" t="s">
        <v>683</v>
      </c>
      <c r="D347" s="563"/>
      <c r="E347" s="563"/>
      <c r="F347" s="563"/>
      <c r="G347" s="563"/>
    </row>
    <row r="348" spans="2:11" s="112" customFormat="1" ht="14.45" customHeight="1" x14ac:dyDescent="0.4">
      <c r="B348" s="427"/>
      <c r="C348" s="563"/>
      <c r="D348" s="563"/>
      <c r="E348" s="563"/>
      <c r="F348" s="563"/>
      <c r="G348" s="563"/>
    </row>
    <row r="349" spans="2:11" s="112" customFormat="1" ht="15.75" thickBot="1" x14ac:dyDescent="0.3"/>
    <row r="350" spans="2:11" s="112" customFormat="1" ht="36.75" thickBot="1" x14ac:dyDescent="0.3">
      <c r="B350" s="368" t="s">
        <v>383</v>
      </c>
      <c r="C350" s="368" t="s">
        <v>384</v>
      </c>
      <c r="D350" s="368" t="s">
        <v>385</v>
      </c>
      <c r="E350" s="368" t="s">
        <v>386</v>
      </c>
      <c r="F350" s="368" t="s">
        <v>688</v>
      </c>
      <c r="G350" s="368" t="s">
        <v>689</v>
      </c>
    </row>
    <row r="351" spans="2:11" s="112" customFormat="1" ht="15.75" thickBot="1" x14ac:dyDescent="0.3">
      <c r="B351" s="363">
        <f>VALO_AMO!H4</f>
        <v>0</v>
      </c>
      <c r="C351" s="364">
        <f>VALO_AMO!I4</f>
        <v>0</v>
      </c>
      <c r="D351" s="365">
        <f>VALO_AMO!J4</f>
        <v>0</v>
      </c>
      <c r="E351" s="366">
        <f>VALO_AMO!K4</f>
        <v>0</v>
      </c>
      <c r="F351" s="367">
        <f>VALO_AMO!N4</f>
        <v>0</v>
      </c>
      <c r="G351" s="367">
        <f>VALO_AMO!R4</f>
        <v>0</v>
      </c>
    </row>
    <row r="352" spans="2:11" s="112" customFormat="1" ht="15.75" thickBot="1" x14ac:dyDescent="0.3">
      <c r="B352" s="363">
        <f>VALO_AMO!H5</f>
        <v>0</v>
      </c>
      <c r="C352" s="364">
        <f>VALO_AMO!I5</f>
        <v>0</v>
      </c>
      <c r="D352" s="365">
        <f>VALO_AMO!J5</f>
        <v>0</v>
      </c>
      <c r="E352" s="366">
        <f>VALO_AMO!K5</f>
        <v>0</v>
      </c>
      <c r="F352" s="367">
        <f>VALO_AMO!N5</f>
        <v>0</v>
      </c>
      <c r="G352" s="367">
        <f>VALO_AMO!R5</f>
        <v>0</v>
      </c>
    </row>
    <row r="353" spans="2:21" s="112" customFormat="1" ht="15.75" thickBot="1" x14ac:dyDescent="0.3">
      <c r="B353" s="363">
        <f>VALO_AMO!H6</f>
        <v>0</v>
      </c>
      <c r="C353" s="364">
        <f>VALO_AMO!I6</f>
        <v>0</v>
      </c>
      <c r="D353" s="365">
        <f>VALO_AMO!J6</f>
        <v>0</v>
      </c>
      <c r="E353" s="366">
        <f>VALO_AMO!K6</f>
        <v>0</v>
      </c>
      <c r="F353" s="367">
        <f>VALO_AMO!N6</f>
        <v>0</v>
      </c>
      <c r="G353" s="367">
        <f>VALO_AMO!R6</f>
        <v>0</v>
      </c>
    </row>
    <row r="354" spans="2:21" s="112" customFormat="1" ht="15.75" thickBot="1" x14ac:dyDescent="0.3">
      <c r="B354" s="363">
        <f>VALO_AMO!H7</f>
        <v>0</v>
      </c>
      <c r="C354" s="364">
        <f>VALO_AMO!I7</f>
        <v>0</v>
      </c>
      <c r="D354" s="365">
        <f>VALO_AMO!J7</f>
        <v>0</v>
      </c>
      <c r="E354" s="366">
        <f>VALO_AMO!K7</f>
        <v>0</v>
      </c>
      <c r="F354" s="367" t="str">
        <f>VALO_AMO!N7</f>
        <v>à définir</v>
      </c>
      <c r="G354" s="367">
        <f>VALO_AMO!R7</f>
        <v>0</v>
      </c>
    </row>
    <row r="355" spans="2:21" s="112" customFormat="1" ht="15.75" thickBot="1" x14ac:dyDescent="0.3">
      <c r="B355" s="363">
        <f>VALO_AMO!H8</f>
        <v>0</v>
      </c>
      <c r="C355" s="364">
        <f>VALO_AMO!I8</f>
        <v>0</v>
      </c>
      <c r="D355" s="365">
        <f>VALO_AMO!J8</f>
        <v>0</v>
      </c>
      <c r="E355" s="366">
        <f>VALO_AMO!K8</f>
        <v>0</v>
      </c>
      <c r="F355" s="367" t="str">
        <f>VALO_AMO!N8</f>
        <v>à définir</v>
      </c>
      <c r="G355" s="367">
        <f>VALO_AMO!R8</f>
        <v>0</v>
      </c>
    </row>
    <row r="356" spans="2:21" s="112" customFormat="1" ht="15.75" thickBot="1" x14ac:dyDescent="0.3">
      <c r="B356" s="363">
        <f>VALO_AMO!H9</f>
        <v>0</v>
      </c>
      <c r="C356" s="364">
        <f>VALO_AMO!I9</f>
        <v>0</v>
      </c>
      <c r="D356" s="365">
        <f>VALO_AMO!J9</f>
        <v>0</v>
      </c>
      <c r="E356" s="366">
        <f>VALO_AMO!K9</f>
        <v>0</v>
      </c>
      <c r="F356" s="367" t="str">
        <f>VALO_AMO!N9</f>
        <v>à définir</v>
      </c>
      <c r="G356" s="367">
        <f>VALO_AMO!R9</f>
        <v>0</v>
      </c>
    </row>
    <row r="357" spans="2:21" s="112" customFormat="1" ht="15.75" thickBot="1" x14ac:dyDescent="0.3">
      <c r="B357" s="363">
        <f>VALO_AMO!H10</f>
        <v>0</v>
      </c>
      <c r="C357" s="364">
        <f>VALO_AMO!I10</f>
        <v>0</v>
      </c>
      <c r="D357" s="365">
        <f>VALO_AMO!J10</f>
        <v>0</v>
      </c>
      <c r="E357" s="366">
        <f>VALO_AMO!K10</f>
        <v>0</v>
      </c>
      <c r="F357" s="367" t="str">
        <f>VALO_AMO!N10</f>
        <v>à définir</v>
      </c>
      <c r="G357" s="367">
        <f>VALO_AMO!R10</f>
        <v>0</v>
      </c>
    </row>
    <row r="358" spans="2:21" s="112" customFormat="1" ht="15.75" thickBot="1" x14ac:dyDescent="0.3">
      <c r="B358" s="363">
        <f>VALO_AMO!H11</f>
        <v>0</v>
      </c>
      <c r="C358" s="364">
        <f>VALO_AMO!I11</f>
        <v>0</v>
      </c>
      <c r="D358" s="365">
        <f>VALO_AMO!J11</f>
        <v>0</v>
      </c>
      <c r="E358" s="366">
        <f>VALO_AMO!K11</f>
        <v>0</v>
      </c>
      <c r="F358" s="367" t="str">
        <f>VALO_AMO!N11</f>
        <v>à définir</v>
      </c>
      <c r="G358" s="367">
        <f>VALO_AMO!R11</f>
        <v>0</v>
      </c>
    </row>
    <row r="359" spans="2:21" s="112" customFormat="1" ht="15.75" thickBot="1" x14ac:dyDescent="0.3">
      <c r="B359" s="363">
        <f>VALO_AMO!H12</f>
        <v>0</v>
      </c>
      <c r="C359" s="364">
        <f>VALO_AMO!I12</f>
        <v>0</v>
      </c>
      <c r="D359" s="365">
        <f>VALO_AMO!J12</f>
        <v>0</v>
      </c>
      <c r="E359" s="366">
        <f>VALO_AMO!K12</f>
        <v>0</v>
      </c>
      <c r="F359" s="367" t="str">
        <f>VALO_AMO!N12</f>
        <v>à définir</v>
      </c>
      <c r="G359" s="367">
        <f>VALO_AMO!R12</f>
        <v>0</v>
      </c>
    </row>
    <row r="360" spans="2:21" s="112" customFormat="1" ht="15.75" thickBot="1" x14ac:dyDescent="0.3">
      <c r="B360" s="363">
        <f>VALO_AMO!H13</f>
        <v>0</v>
      </c>
      <c r="C360" s="364">
        <f>VALO_AMO!I13</f>
        <v>0</v>
      </c>
      <c r="D360" s="365">
        <f>VALO_AMO!J13</f>
        <v>0</v>
      </c>
      <c r="E360" s="366">
        <f>VALO_AMO!K13</f>
        <v>0</v>
      </c>
      <c r="F360" s="367" t="str">
        <f>VALO_AMO!N13</f>
        <v>à définir</v>
      </c>
      <c r="G360" s="367">
        <f>VALO_AMO!R13</f>
        <v>0</v>
      </c>
    </row>
    <row r="361" spans="2:21" s="112" customFormat="1" ht="15.75" thickBot="1" x14ac:dyDescent="0.3">
      <c r="B361" s="363">
        <f>VALO_AMO!H14</f>
        <v>0</v>
      </c>
      <c r="C361" s="364">
        <f>VALO_AMO!I14</f>
        <v>0</v>
      </c>
      <c r="D361" s="365">
        <f>VALO_AMO!J14</f>
        <v>0</v>
      </c>
      <c r="E361" s="366">
        <f>VALO_AMO!K14</f>
        <v>0</v>
      </c>
      <c r="F361" s="367" t="str">
        <f>VALO_AMO!N14</f>
        <v>à définir</v>
      </c>
      <c r="G361" s="367">
        <f>VALO_AMO!R14</f>
        <v>0</v>
      </c>
    </row>
    <row r="362" spans="2:21" s="112" customFormat="1" ht="15.75" thickBot="1" x14ac:dyDescent="0.3">
      <c r="B362" s="363">
        <f>VALO_AMO!H15</f>
        <v>0</v>
      </c>
      <c r="C362" s="364">
        <f>VALO_AMO!I15</f>
        <v>0</v>
      </c>
      <c r="D362" s="365">
        <f>VALO_AMO!J15</f>
        <v>0</v>
      </c>
      <c r="E362" s="366">
        <f>VALO_AMO!K15</f>
        <v>0</v>
      </c>
      <c r="F362" s="367" t="str">
        <f>VALO_AMO!N15</f>
        <v>à définir</v>
      </c>
      <c r="G362" s="367">
        <f>VALO_AMO!R15</f>
        <v>0</v>
      </c>
    </row>
    <row r="363" spans="2:21" s="112" customFormat="1" ht="15.75" thickBot="1" x14ac:dyDescent="0.3">
      <c r="B363" s="363">
        <f>VALO_AMO!H16</f>
        <v>0</v>
      </c>
      <c r="C363" s="364">
        <f>VALO_AMO!I16</f>
        <v>0</v>
      </c>
      <c r="D363" s="365">
        <f>VALO_AMO!J16</f>
        <v>0</v>
      </c>
      <c r="E363" s="366">
        <f>VALO_AMO!K16</f>
        <v>0</v>
      </c>
      <c r="F363" s="367" t="str">
        <f>VALO_AMO!N16</f>
        <v>à définir</v>
      </c>
      <c r="G363" s="367">
        <f>VALO_AMO!R16</f>
        <v>0</v>
      </c>
    </row>
    <row r="364" spans="2:21" s="112" customFormat="1" ht="15.75" thickBot="1" x14ac:dyDescent="0.3">
      <c r="B364" s="363">
        <f>VALO_AMO!H17</f>
        <v>0</v>
      </c>
      <c r="C364" s="364">
        <f>VALO_AMO!I17</f>
        <v>0</v>
      </c>
      <c r="D364" s="365">
        <f>VALO_AMO!J17</f>
        <v>0</v>
      </c>
      <c r="E364" s="366">
        <f>VALO_AMO!K17</f>
        <v>0</v>
      </c>
      <c r="F364" s="367" t="str">
        <f>VALO_AMO!N17</f>
        <v>à définir</v>
      </c>
      <c r="G364" s="367">
        <f>VALO_AMO!R17</f>
        <v>0</v>
      </c>
    </row>
    <row r="365" spans="2:21" s="112" customFormat="1" ht="15.75" thickBot="1" x14ac:dyDescent="0.3">
      <c r="B365" s="363">
        <f>VALO_AMO!H18</f>
        <v>0</v>
      </c>
      <c r="C365" s="364">
        <f>VALO_AMO!I18</f>
        <v>0</v>
      </c>
      <c r="D365" s="365">
        <f>VALO_AMO!J18</f>
        <v>0</v>
      </c>
      <c r="E365" s="366">
        <f>VALO_AMO!K18</f>
        <v>0</v>
      </c>
      <c r="F365" s="367" t="str">
        <f>VALO_AMO!N18</f>
        <v>à définir</v>
      </c>
      <c r="G365" s="367">
        <f>VALO_AMO!R18</f>
        <v>0</v>
      </c>
    </row>
    <row r="366" spans="2:21" s="112" customFormat="1" x14ac:dyDescent="0.25"/>
    <row r="367" spans="2:21" s="112" customFormat="1" ht="15.75" thickBot="1" x14ac:dyDescent="0.3"/>
    <row r="368" spans="2:21" s="112" customFormat="1" ht="24.75" thickBot="1" x14ac:dyDescent="0.3">
      <c r="B368" s="404" t="s">
        <v>773</v>
      </c>
      <c r="C368" s="404" t="s">
        <v>774</v>
      </c>
      <c r="D368" s="404" t="s">
        <v>775</v>
      </c>
      <c r="E368" s="404" t="s">
        <v>811</v>
      </c>
      <c r="F368" s="404" t="s">
        <v>776</v>
      </c>
      <c r="G368" s="404" t="s">
        <v>777</v>
      </c>
      <c r="H368" s="404" t="s">
        <v>393</v>
      </c>
      <c r="I368" s="404" t="s">
        <v>778</v>
      </c>
      <c r="J368" s="404" t="s">
        <v>779</v>
      </c>
      <c r="K368" s="404" t="s">
        <v>780</v>
      </c>
      <c r="L368" s="404" t="s">
        <v>781</v>
      </c>
      <c r="M368" s="404" t="s">
        <v>782</v>
      </c>
      <c r="N368" s="404" t="s">
        <v>783</v>
      </c>
      <c r="O368" s="404" t="s">
        <v>784</v>
      </c>
      <c r="P368" s="404" t="s">
        <v>785</v>
      </c>
      <c r="Q368" s="404" t="s">
        <v>786</v>
      </c>
      <c r="R368" s="404" t="s">
        <v>787</v>
      </c>
      <c r="S368" s="404" t="s">
        <v>788</v>
      </c>
      <c r="T368" s="404" t="s">
        <v>789</v>
      </c>
      <c r="U368" s="404" t="s">
        <v>790</v>
      </c>
    </row>
    <row r="369" spans="2:21" s="112" customFormat="1" ht="15.75" thickBot="1" x14ac:dyDescent="0.3">
      <c r="B369" s="390"/>
      <c r="C369" s="363">
        <f>VALO_AMO!G4</f>
        <v>0</v>
      </c>
      <c r="D369" s="363">
        <f>VALO_AMO!H4</f>
        <v>0</v>
      </c>
      <c r="E369" s="363" t="e" cm="1">
        <f t="array" ref="E369">_xlfn.IFS(B369=205,"Concessions et droits similaires, brevets, licences, marques, procédés, logiciels, droits et valeurs similaires",B369=215,"Installations techniques et outillages industriels",B369=2183,"Matériel de bureau et matériel informatique",B369=2131,"Bâtiments",B369=612,"Redevance de crédit-bail")</f>
        <v>#N/A</v>
      </c>
      <c r="F369" s="364">
        <f>VALO_AMO!I4</f>
        <v>0</v>
      </c>
      <c r="G369" s="364">
        <f t="shared" ref="G369:G377" si="450">F369</f>
        <v>0</v>
      </c>
      <c r="H369" s="363">
        <f>VALO_AMO!J4</f>
        <v>0</v>
      </c>
      <c r="I369" s="363" t="s">
        <v>791</v>
      </c>
      <c r="J369" s="363">
        <f>VALO_AMO!K4</f>
        <v>0</v>
      </c>
      <c r="K369" s="363"/>
      <c r="L369" s="363"/>
      <c r="M369" s="363"/>
      <c r="N369" s="363"/>
      <c r="O369" s="363"/>
      <c r="P369" s="363"/>
      <c r="Q369" s="363">
        <f>VALO_AMO!L4</f>
        <v>0</v>
      </c>
      <c r="R369" s="400">
        <f>VALO_AMO!N4</f>
        <v>0</v>
      </c>
      <c r="S369" s="363">
        <f>VALO_AMO!R4</f>
        <v>0</v>
      </c>
      <c r="T369" s="363">
        <f t="shared" ref="T369:T377" si="451">L369+Q369</f>
        <v>0</v>
      </c>
      <c r="U369" s="363">
        <f t="shared" ref="U369:U377" si="452">H369-Q369-L369</f>
        <v>0</v>
      </c>
    </row>
    <row r="370" spans="2:21" s="112" customFormat="1" ht="15.75" thickBot="1" x14ac:dyDescent="0.3">
      <c r="B370" s="390"/>
      <c r="C370" s="363">
        <f>VALO_AMO!G5</f>
        <v>0</v>
      </c>
      <c r="D370" s="363">
        <f>VALO_AMO!H5</f>
        <v>0</v>
      </c>
      <c r="E370" s="363" t="e" cm="1">
        <f t="array" ref="E370">_xlfn.IFS(B370=205,"Concessions et droits similaires, brevets, licences, marques, procédés, logiciels, droits et valeurs similaires",B370=215,"Installations techniques et outillages industriels",B370=2183,"Matériel de bureau et matériel informatique",B370=2131,"Bâtiments",B370=612,"Redevance de crédit-bail")</f>
        <v>#N/A</v>
      </c>
      <c r="F370" s="364">
        <f>VALO_AMO!I5</f>
        <v>0</v>
      </c>
      <c r="G370" s="364">
        <f t="shared" si="450"/>
        <v>0</v>
      </c>
      <c r="H370" s="363">
        <f>VALO_AMO!J5</f>
        <v>0</v>
      </c>
      <c r="I370" s="363" t="s">
        <v>791</v>
      </c>
      <c r="J370" s="363">
        <f>VALO_AMO!K5</f>
        <v>0</v>
      </c>
      <c r="K370" s="363"/>
      <c r="L370" s="363"/>
      <c r="M370" s="363"/>
      <c r="N370" s="363"/>
      <c r="O370" s="363"/>
      <c r="P370" s="363"/>
      <c r="Q370" s="363">
        <f>VALO_AMO!L5</f>
        <v>0</v>
      </c>
      <c r="R370" s="400">
        <f>VALO_AMO!N5</f>
        <v>0</v>
      </c>
      <c r="S370" s="363">
        <f>VALO_AMO!R5</f>
        <v>0</v>
      </c>
      <c r="T370" s="363">
        <f t="shared" si="451"/>
        <v>0</v>
      </c>
      <c r="U370" s="363">
        <f t="shared" si="452"/>
        <v>0</v>
      </c>
    </row>
    <row r="371" spans="2:21" s="112" customFormat="1" ht="15.75" thickBot="1" x14ac:dyDescent="0.3">
      <c r="B371" s="390"/>
      <c r="C371" s="363">
        <f>VALO_AMO!G6</f>
        <v>0</v>
      </c>
      <c r="D371" s="363">
        <f>VALO_AMO!H6</f>
        <v>0</v>
      </c>
      <c r="E371" s="363" t="e" cm="1">
        <f t="array" ref="E371">_xlfn.IFS(B371=205,"Concessions et droits similaires, brevets, licences, marques, procédés, logiciels, droits et valeurs similaires",B371=215,"Installations techniques et outillages industriels",B371=2183,"Matériel de bureau et matériel informatique",B371=2131,"Bâtiments",B371=612,"Redevance de crédit-bail")</f>
        <v>#N/A</v>
      </c>
      <c r="F371" s="364">
        <f>VALO_AMO!I6</f>
        <v>0</v>
      </c>
      <c r="G371" s="364">
        <f t="shared" si="450"/>
        <v>0</v>
      </c>
      <c r="H371" s="363">
        <f>VALO_AMO!J6</f>
        <v>0</v>
      </c>
      <c r="I371" s="363" t="s">
        <v>791</v>
      </c>
      <c r="J371" s="363">
        <f>VALO_AMO!K6</f>
        <v>0</v>
      </c>
      <c r="K371" s="363"/>
      <c r="L371" s="363"/>
      <c r="M371" s="363"/>
      <c r="N371" s="363"/>
      <c r="O371" s="363"/>
      <c r="P371" s="363"/>
      <c r="Q371" s="363">
        <f>VALO_AMO!L6</f>
        <v>0</v>
      </c>
      <c r="R371" s="400">
        <f>VALO_AMO!N6</f>
        <v>0</v>
      </c>
      <c r="S371" s="363">
        <f>VALO_AMO!R6</f>
        <v>0</v>
      </c>
      <c r="T371" s="363">
        <f t="shared" si="451"/>
        <v>0</v>
      </c>
      <c r="U371" s="363">
        <f t="shared" si="452"/>
        <v>0</v>
      </c>
    </row>
    <row r="372" spans="2:21" s="112" customFormat="1" ht="15.75" thickBot="1" x14ac:dyDescent="0.3">
      <c r="B372" s="390"/>
      <c r="C372" s="363">
        <f>VALO_AMO!G7</f>
        <v>0</v>
      </c>
      <c r="D372" s="363">
        <f>VALO_AMO!H7</f>
        <v>0</v>
      </c>
      <c r="E372" s="363" t="e" cm="1">
        <f t="array" ref="E372">_xlfn.IFS(B372=205,"Concessions et droits similaires, brevets, licences, marques, procédés, logiciels, droits et valeurs similaires",B372=215,"Installations techniques et outillages industriels",B372=2183,"Matériel de bureau et matériel informatique",B372=2131,"Bâtiments",B372=612,"Redevance de crédit-bail")</f>
        <v>#N/A</v>
      </c>
      <c r="F372" s="364">
        <f>VALO_AMO!I7</f>
        <v>0</v>
      </c>
      <c r="G372" s="364">
        <f t="shared" si="450"/>
        <v>0</v>
      </c>
      <c r="H372" s="363">
        <f>VALO_AMO!J7</f>
        <v>0</v>
      </c>
      <c r="I372" s="363" t="s">
        <v>791</v>
      </c>
      <c r="J372" s="363">
        <f>VALO_AMO!K7</f>
        <v>0</v>
      </c>
      <c r="K372" s="363"/>
      <c r="L372" s="363"/>
      <c r="M372" s="363"/>
      <c r="N372" s="363"/>
      <c r="O372" s="363"/>
      <c r="P372" s="363"/>
      <c r="Q372" s="363">
        <f>VALO_AMO!L7</f>
        <v>0</v>
      </c>
      <c r="R372" s="400" t="str">
        <f>VALO_AMO!N7</f>
        <v>à définir</v>
      </c>
      <c r="S372" s="363">
        <f>VALO_AMO!R7</f>
        <v>0</v>
      </c>
      <c r="T372" s="363">
        <f t="shared" si="451"/>
        <v>0</v>
      </c>
      <c r="U372" s="363">
        <f t="shared" si="452"/>
        <v>0</v>
      </c>
    </row>
    <row r="373" spans="2:21" s="112" customFormat="1" ht="15.75" thickBot="1" x14ac:dyDescent="0.3">
      <c r="B373" s="390"/>
      <c r="C373" s="363">
        <f>VALO_AMO!G8</f>
        <v>0</v>
      </c>
      <c r="D373" s="363">
        <f>VALO_AMO!H8</f>
        <v>0</v>
      </c>
      <c r="E373" s="363" t="e" cm="1">
        <f t="array" ref="E373">_xlfn.IFS(B373=205,"Concessions et droits similaires, brevets, licences, marques, procédés, logiciels, droits et valeurs similaires",B373=215,"Installations techniques et outillages industriels",B373=2183,"Matériel de bureau et matériel informatique",B373=2131,"Bâtiments",B373=612,"Redevance de crédit-bail")</f>
        <v>#N/A</v>
      </c>
      <c r="F373" s="364">
        <f>VALO_AMO!I8</f>
        <v>0</v>
      </c>
      <c r="G373" s="364">
        <f t="shared" si="450"/>
        <v>0</v>
      </c>
      <c r="H373" s="363">
        <f>VALO_AMO!J8</f>
        <v>0</v>
      </c>
      <c r="I373" s="363" t="s">
        <v>791</v>
      </c>
      <c r="J373" s="363">
        <f>VALO_AMO!K8</f>
        <v>0</v>
      </c>
      <c r="K373" s="363"/>
      <c r="L373" s="363"/>
      <c r="M373" s="363"/>
      <c r="N373" s="363"/>
      <c r="O373" s="363"/>
      <c r="P373" s="363"/>
      <c r="Q373" s="363">
        <f>VALO_AMO!L8</f>
        <v>0</v>
      </c>
      <c r="R373" s="400" t="str">
        <f>VALO_AMO!N8</f>
        <v>à définir</v>
      </c>
      <c r="S373" s="363">
        <f>VALO_AMO!R8</f>
        <v>0</v>
      </c>
      <c r="T373" s="363">
        <f t="shared" si="451"/>
        <v>0</v>
      </c>
      <c r="U373" s="363">
        <f t="shared" si="452"/>
        <v>0</v>
      </c>
    </row>
    <row r="374" spans="2:21" s="112" customFormat="1" ht="15.75" thickBot="1" x14ac:dyDescent="0.3">
      <c r="B374" s="390"/>
      <c r="C374" s="363">
        <f>VALO_AMO!G9</f>
        <v>0</v>
      </c>
      <c r="D374" s="363">
        <f>VALO_AMO!H9</f>
        <v>0</v>
      </c>
      <c r="E374" s="363" t="e" cm="1">
        <f t="array" ref="E374">_xlfn.IFS(B374=205,"Concessions et droits similaires, brevets, licences, marques, procédés, logiciels, droits et valeurs similaires",B374=215,"Installations techniques et outillages industriels",B374=2183,"Matériel de bureau et matériel informatique",B374=2131,"Bâtiments",B374=612,"Redevance de crédit-bail")</f>
        <v>#N/A</v>
      </c>
      <c r="F374" s="364">
        <f>VALO_AMO!I9</f>
        <v>0</v>
      </c>
      <c r="G374" s="364">
        <f t="shared" si="450"/>
        <v>0</v>
      </c>
      <c r="H374" s="363">
        <f>VALO_AMO!J9</f>
        <v>0</v>
      </c>
      <c r="I374" s="363" t="s">
        <v>791</v>
      </c>
      <c r="J374" s="363">
        <f>VALO_AMO!K9</f>
        <v>0</v>
      </c>
      <c r="K374" s="363"/>
      <c r="L374" s="363"/>
      <c r="M374" s="363"/>
      <c r="N374" s="363"/>
      <c r="O374" s="363"/>
      <c r="P374" s="363"/>
      <c r="Q374" s="363">
        <f>VALO_AMO!L9</f>
        <v>0</v>
      </c>
      <c r="R374" s="400" t="str">
        <f>VALO_AMO!N9</f>
        <v>à définir</v>
      </c>
      <c r="S374" s="363">
        <f>VALO_AMO!R9</f>
        <v>0</v>
      </c>
      <c r="T374" s="363">
        <f t="shared" si="451"/>
        <v>0</v>
      </c>
      <c r="U374" s="363">
        <f t="shared" si="452"/>
        <v>0</v>
      </c>
    </row>
    <row r="375" spans="2:21" s="112" customFormat="1" ht="15.75" thickBot="1" x14ac:dyDescent="0.3">
      <c r="B375" s="390"/>
      <c r="C375" s="363">
        <f>VALO_AMO!G10</f>
        <v>0</v>
      </c>
      <c r="D375" s="363">
        <f>VALO_AMO!H10</f>
        <v>0</v>
      </c>
      <c r="E375" s="363" t="e" cm="1">
        <f t="array" ref="E375">_xlfn.IFS(B375=205,"Concessions et droits similaires, brevets, licences, marques, procédés, logiciels, droits et valeurs similaires",B375=215,"Installations techniques et outillages industriels",B375=2183,"Matériel de bureau et matériel informatique",B375=2131,"Bâtiments",B375=612,"Redevance de crédit-bail")</f>
        <v>#N/A</v>
      </c>
      <c r="F375" s="364">
        <f>VALO_AMO!I10</f>
        <v>0</v>
      </c>
      <c r="G375" s="364">
        <f t="shared" si="450"/>
        <v>0</v>
      </c>
      <c r="H375" s="363">
        <f>VALO_AMO!J10</f>
        <v>0</v>
      </c>
      <c r="I375" s="363" t="s">
        <v>791</v>
      </c>
      <c r="J375" s="363">
        <f>VALO_AMO!K10</f>
        <v>0</v>
      </c>
      <c r="K375" s="363"/>
      <c r="L375" s="363"/>
      <c r="M375" s="363"/>
      <c r="N375" s="363"/>
      <c r="O375" s="363"/>
      <c r="P375" s="363"/>
      <c r="Q375" s="363">
        <f>VALO_AMO!L10</f>
        <v>0</v>
      </c>
      <c r="R375" s="400" t="str">
        <f>VALO_AMO!N10</f>
        <v>à définir</v>
      </c>
      <c r="S375" s="363">
        <f>VALO_AMO!R10</f>
        <v>0</v>
      </c>
      <c r="T375" s="363">
        <f t="shared" si="451"/>
        <v>0</v>
      </c>
      <c r="U375" s="363">
        <f t="shared" si="452"/>
        <v>0</v>
      </c>
    </row>
    <row r="376" spans="2:21" s="112" customFormat="1" ht="15.75" thickBot="1" x14ac:dyDescent="0.3">
      <c r="B376" s="390"/>
      <c r="C376" s="363">
        <f>VALO_AMO!G11</f>
        <v>0</v>
      </c>
      <c r="D376" s="363">
        <f>VALO_AMO!H11</f>
        <v>0</v>
      </c>
      <c r="E376" s="363" t="e" cm="1">
        <f t="array" ref="E376">_xlfn.IFS(B376=205,"Concessions et droits similaires, brevets, licences, marques, procédés, logiciels, droits et valeurs similaires",B376=215,"Installations techniques et outillages industriels",B376=2183,"Matériel de bureau et matériel informatique",B376=2131,"Bâtiments",B376=612,"Redevance de crédit-bail")</f>
        <v>#N/A</v>
      </c>
      <c r="F376" s="364">
        <f>VALO_AMO!I11</f>
        <v>0</v>
      </c>
      <c r="G376" s="364">
        <f t="shared" si="450"/>
        <v>0</v>
      </c>
      <c r="H376" s="363">
        <f>VALO_AMO!J11</f>
        <v>0</v>
      </c>
      <c r="I376" s="363" t="s">
        <v>791</v>
      </c>
      <c r="J376" s="363">
        <f>VALO_AMO!K11</f>
        <v>0</v>
      </c>
      <c r="K376" s="363"/>
      <c r="L376" s="363"/>
      <c r="M376" s="363"/>
      <c r="N376" s="363"/>
      <c r="O376" s="363"/>
      <c r="P376" s="363"/>
      <c r="Q376" s="363">
        <f>VALO_AMO!L11</f>
        <v>0</v>
      </c>
      <c r="R376" s="400" t="str">
        <f>VALO_AMO!N11</f>
        <v>à définir</v>
      </c>
      <c r="S376" s="363">
        <f>VALO_AMO!R11</f>
        <v>0</v>
      </c>
      <c r="T376" s="363">
        <f t="shared" si="451"/>
        <v>0</v>
      </c>
      <c r="U376" s="363">
        <f t="shared" si="452"/>
        <v>0</v>
      </c>
    </row>
    <row r="377" spans="2:21" s="112" customFormat="1" ht="15.75" thickBot="1" x14ac:dyDescent="0.3">
      <c r="B377" s="390"/>
      <c r="C377" s="363">
        <f>VALO_AMO!G12</f>
        <v>0</v>
      </c>
      <c r="D377" s="363">
        <f>VALO_AMO!H12</f>
        <v>0</v>
      </c>
      <c r="E377" s="363" t="e" cm="1">
        <f t="array" ref="E377">_xlfn.IFS(B377=205,"Concessions et droits similaires, brevets, licences, marques, procédés, logiciels, droits et valeurs similaires",B377=215,"Installations techniques et outillages industriels",B377=2183,"Matériel de bureau et matériel informatique",B377=2131,"Bâtiments",B377=612,"Redevance de crédit-bail")</f>
        <v>#N/A</v>
      </c>
      <c r="F377" s="364">
        <f>VALO_AMO!I12</f>
        <v>0</v>
      </c>
      <c r="G377" s="364">
        <f t="shared" si="450"/>
        <v>0</v>
      </c>
      <c r="H377" s="363">
        <f>VALO_AMO!J12</f>
        <v>0</v>
      </c>
      <c r="I377" s="363" t="s">
        <v>791</v>
      </c>
      <c r="J377" s="363">
        <f>VALO_AMO!K12</f>
        <v>0</v>
      </c>
      <c r="K377" s="363"/>
      <c r="L377" s="363"/>
      <c r="M377" s="363"/>
      <c r="N377" s="363"/>
      <c r="O377" s="363"/>
      <c r="P377" s="363"/>
      <c r="Q377" s="363">
        <f>VALO_AMO!L12</f>
        <v>0</v>
      </c>
      <c r="R377" s="400" t="str">
        <f>VALO_AMO!N12</f>
        <v>à définir</v>
      </c>
      <c r="S377" s="363">
        <f>VALO_AMO!R12</f>
        <v>0</v>
      </c>
      <c r="T377" s="363">
        <f t="shared" si="451"/>
        <v>0</v>
      </c>
      <c r="U377" s="363">
        <f t="shared" si="452"/>
        <v>0</v>
      </c>
    </row>
    <row r="378" spans="2:21" s="112" customFormat="1" ht="24.75" thickBot="1" x14ac:dyDescent="0.3">
      <c r="B378" s="386" t="s">
        <v>792</v>
      </c>
      <c r="C378" s="391"/>
      <c r="D378" s="391"/>
      <c r="E378" s="391"/>
      <c r="F378" s="392"/>
      <c r="G378" s="391"/>
      <c r="H378" s="391"/>
      <c r="I378" s="391"/>
      <c r="J378" s="391"/>
      <c r="K378" s="391"/>
      <c r="L378" s="391"/>
      <c r="M378" s="391"/>
      <c r="N378" s="391"/>
      <c r="O378" s="391"/>
      <c r="P378" s="391"/>
      <c r="Q378" s="391"/>
      <c r="R378" s="391"/>
      <c r="S378" s="391"/>
      <c r="T378" s="391"/>
      <c r="U378" s="391"/>
    </row>
    <row r="379" spans="2:21" s="112" customFormat="1" ht="15.75" thickBot="1" x14ac:dyDescent="0.3">
      <c r="B379" s="396"/>
      <c r="C379" s="396"/>
      <c r="D379" s="396"/>
      <c r="E379" s="396"/>
      <c r="F379" s="397"/>
      <c r="G379" s="396"/>
      <c r="H379" s="396"/>
      <c r="I379" s="396"/>
      <c r="J379" s="396"/>
      <c r="K379" s="396"/>
      <c r="L379" s="396"/>
      <c r="M379" s="396"/>
      <c r="N379" s="396"/>
      <c r="O379" s="396"/>
      <c r="P379" s="396"/>
      <c r="Q379" s="396"/>
      <c r="R379" s="396"/>
      <c r="S379" s="396"/>
      <c r="T379" s="396"/>
      <c r="U379" s="396"/>
    </row>
    <row r="380" spans="2:21" s="112" customFormat="1" ht="15.75" thickBot="1" x14ac:dyDescent="0.3">
      <c r="B380" s="396"/>
      <c r="C380" s="396"/>
      <c r="D380" s="396"/>
      <c r="E380" s="396"/>
      <c r="F380" s="397"/>
      <c r="G380" s="396"/>
      <c r="H380" s="396"/>
      <c r="I380" s="396"/>
      <c r="J380" s="396"/>
      <c r="K380" s="396"/>
      <c r="L380" s="396"/>
      <c r="M380" s="396"/>
      <c r="N380" s="396"/>
      <c r="O380" s="396"/>
      <c r="P380" s="396"/>
      <c r="Q380" s="396"/>
      <c r="R380" s="396"/>
      <c r="S380" s="396"/>
      <c r="T380" s="396"/>
      <c r="U380" s="396"/>
    </row>
    <row r="381" spans="2:21" s="112" customFormat="1" ht="15.75" thickBot="1" x14ac:dyDescent="0.3">
      <c r="B381" s="396"/>
      <c r="C381" s="396"/>
      <c r="D381" s="396"/>
      <c r="E381" s="396"/>
      <c r="F381" s="397"/>
      <c r="G381" s="396"/>
      <c r="H381" s="396"/>
      <c r="I381" s="396"/>
      <c r="J381" s="396"/>
      <c r="K381" s="396"/>
      <c r="L381" s="396"/>
      <c r="M381" s="396"/>
      <c r="N381" s="396"/>
      <c r="O381" s="396"/>
      <c r="P381" s="396"/>
      <c r="Q381" s="396"/>
      <c r="R381" s="396"/>
      <c r="S381" s="396"/>
      <c r="T381" s="396"/>
      <c r="U381" s="396"/>
    </row>
    <row r="382" spans="2:21" s="112" customFormat="1" ht="15.75" thickBot="1" x14ac:dyDescent="0.3">
      <c r="B382" s="396"/>
      <c r="C382" s="396"/>
      <c r="D382" s="396"/>
      <c r="E382" s="396"/>
      <c r="F382" s="397"/>
      <c r="G382" s="396"/>
      <c r="H382" s="396"/>
      <c r="I382" s="396"/>
      <c r="J382" s="396"/>
      <c r="K382" s="396"/>
      <c r="L382" s="396"/>
      <c r="M382" s="396"/>
      <c r="N382" s="396"/>
      <c r="O382" s="396"/>
      <c r="P382" s="396"/>
      <c r="Q382" s="396"/>
      <c r="R382" s="396"/>
      <c r="S382" s="396"/>
      <c r="T382" s="396"/>
      <c r="U382" s="396"/>
    </row>
    <row r="383" spans="2:21" s="112" customFormat="1" ht="15.75" thickBot="1" x14ac:dyDescent="0.3">
      <c r="B383" s="396"/>
      <c r="C383" s="396"/>
      <c r="D383" s="396"/>
      <c r="E383" s="396"/>
      <c r="F383" s="397"/>
      <c r="G383" s="396"/>
      <c r="H383" s="396"/>
      <c r="I383" s="396"/>
      <c r="J383" s="396"/>
      <c r="K383" s="396"/>
      <c r="L383" s="396"/>
      <c r="M383" s="396"/>
      <c r="N383" s="396"/>
      <c r="O383" s="396"/>
      <c r="P383" s="396"/>
      <c r="Q383" s="396"/>
      <c r="R383" s="396"/>
      <c r="S383" s="396"/>
      <c r="T383" s="396"/>
      <c r="U383" s="396"/>
    </row>
    <row r="384" spans="2:21" s="112" customFormat="1" ht="15.75" thickBot="1" x14ac:dyDescent="0.3">
      <c r="B384" s="396"/>
      <c r="C384" s="396"/>
      <c r="D384" s="396"/>
      <c r="E384" s="396"/>
      <c r="F384" s="397"/>
      <c r="G384" s="396"/>
      <c r="H384" s="396"/>
      <c r="I384" s="396"/>
      <c r="J384" s="396"/>
      <c r="K384" s="396"/>
      <c r="L384" s="396"/>
      <c r="M384" s="396"/>
      <c r="N384" s="396"/>
      <c r="O384" s="396"/>
      <c r="P384" s="396"/>
      <c r="Q384" s="396"/>
      <c r="R384" s="396"/>
      <c r="S384" s="396"/>
      <c r="T384" s="396"/>
      <c r="U384" s="396"/>
    </row>
    <row r="385" spans="2:23" s="112" customFormat="1" ht="15.75" thickBot="1" x14ac:dyDescent="0.3">
      <c r="D385" s="382"/>
      <c r="E385" s="382"/>
      <c r="F385" s="382"/>
      <c r="G385" s="382"/>
      <c r="H385" s="382">
        <f>SUM(H369:H384)</f>
        <v>0</v>
      </c>
      <c r="I385" s="382"/>
      <c r="J385" s="382"/>
      <c r="K385" s="382"/>
      <c r="L385" s="382">
        <f>SUM(L369:L384)</f>
        <v>0</v>
      </c>
      <c r="M385" s="382">
        <f>SUM(M369:M384)</f>
        <v>0</v>
      </c>
      <c r="N385" s="382" t="e">
        <f>AVERAGE(N369:N384)</f>
        <v>#DIV/0!</v>
      </c>
      <c r="O385" s="382">
        <f>SUM(O369:O384)</f>
        <v>0</v>
      </c>
      <c r="P385" s="382"/>
      <c r="Q385" s="382">
        <f>SUM(Q369:Q384)</f>
        <v>0</v>
      </c>
      <c r="R385" s="424">
        <f>AVERAGE(R369:R384)</f>
        <v>0</v>
      </c>
      <c r="S385" s="382">
        <f>SUM(S369:S384)</f>
        <v>0</v>
      </c>
      <c r="T385" s="382">
        <f t="shared" ref="T385:U385" si="453">SUM(T369:T384)</f>
        <v>0</v>
      </c>
      <c r="U385" s="382">
        <f t="shared" si="453"/>
        <v>0</v>
      </c>
      <c r="V385" s="423"/>
      <c r="W385" s="423"/>
    </row>
    <row r="386" spans="2:23" s="112" customFormat="1" ht="15.75" thickBot="1" x14ac:dyDescent="0.3"/>
    <row r="387" spans="2:23" s="112" customFormat="1" ht="57.75" thickBot="1" x14ac:dyDescent="0.3">
      <c r="B387" s="376" t="s">
        <v>712</v>
      </c>
      <c r="C387" s="377" t="s">
        <v>713</v>
      </c>
      <c r="D387" s="377" t="s">
        <v>714</v>
      </c>
      <c r="E387" s="377" t="s">
        <v>715</v>
      </c>
      <c r="F387" s="377" t="s">
        <v>689</v>
      </c>
      <c r="K387" s="112" t="s">
        <v>773</v>
      </c>
    </row>
    <row r="388" spans="2:23" s="112" customFormat="1" ht="43.5" thickBot="1" x14ac:dyDescent="0.3">
      <c r="B388" s="371" t="s">
        <v>722</v>
      </c>
      <c r="C388" s="372">
        <f>SUMIF(E369:E377,"Bâtiments",H369:H377)</f>
        <v>0</v>
      </c>
      <c r="D388" s="372">
        <f>SUMIF(E369:E377,"Bâtiments",Q369:Q377)</f>
        <v>0</v>
      </c>
      <c r="E388" s="372">
        <f>SUMIF(E369:E377,"Bâtiments",R369:R377)</f>
        <v>0</v>
      </c>
      <c r="F388" s="372">
        <f>SUMIF(E369:E377,"Bâtiments",S369:S377)</f>
        <v>0</v>
      </c>
      <c r="K388" s="112">
        <v>2131</v>
      </c>
    </row>
    <row r="389" spans="2:23" s="112" customFormat="1" ht="29.25" thickBot="1" x14ac:dyDescent="0.3">
      <c r="B389" s="371" t="s">
        <v>723</v>
      </c>
      <c r="C389" s="372">
        <f>C391+C393+C395+C397</f>
        <v>0</v>
      </c>
      <c r="D389" s="372">
        <f>D391+D393+D395+D397</f>
        <v>0</v>
      </c>
      <c r="E389" s="372">
        <f>(E390+E397)/2</f>
        <v>0</v>
      </c>
      <c r="F389" s="372">
        <f>F390+F397</f>
        <v>0</v>
      </c>
    </row>
    <row r="390" spans="2:23" s="112" customFormat="1" ht="43.5" thickBot="1" x14ac:dyDescent="0.3">
      <c r="B390" s="373" t="s">
        <v>726</v>
      </c>
      <c r="C390" s="372">
        <f>C391+C393+C395</f>
        <v>0</v>
      </c>
      <c r="D390" s="372">
        <f>D391+D393+D395</f>
        <v>0</v>
      </c>
      <c r="E390" s="372">
        <f>(E391+E393+E395)/3</f>
        <v>0</v>
      </c>
      <c r="F390" s="372">
        <f>(F391+F393+F395)</f>
        <v>0</v>
      </c>
    </row>
    <row r="391" spans="2:23" s="112" customFormat="1" ht="72.75" thickBot="1" x14ac:dyDescent="0.3">
      <c r="B391" s="373" t="s">
        <v>812</v>
      </c>
      <c r="C391" s="372">
        <f>SUMIF(E369:E377,"Concessions et droits similaires, brevets, licences, marques, procédés, logiciels, droits et valeurs similaires",H369:H377)</f>
        <v>0</v>
      </c>
      <c r="D391" s="372">
        <f>SUMIF(E369:E377,"Concessions et droits similaires, brevets, licences, marques, procédés, logiciels, droits et valeurs similaires",Q369:Q377)</f>
        <v>0</v>
      </c>
      <c r="E391" s="372">
        <f>SUMIF(E369:E377,"Concessions et droits similaires, brevets, licences, marques, procédés, logiciels, droits et valeurs similaires",R369:R377)</f>
        <v>0</v>
      </c>
      <c r="F391" s="372">
        <f>SUMIF(E369:E377,"Concessions et droits similaires, brevets, licences, marques, procédés, logiciels, droits et valeurs similaires",S369:S377)</f>
        <v>0</v>
      </c>
      <c r="K391" s="112">
        <v>205</v>
      </c>
    </row>
    <row r="392" spans="2:23" s="112" customFormat="1" ht="24.75" thickBot="1" x14ac:dyDescent="0.3">
      <c r="B392" s="374" t="s">
        <v>729</v>
      </c>
      <c r="C392" s="375">
        <f>SUMIFS(H369:H377,E369:E377,"Concessions et droits similaires, brevets, licences, marques, procédés, logiciels, droits et valeurs similaires",F369:F377,"&gt;=01/01/2024",F369:F377,"&lt;=31/12/2024")</f>
        <v>0</v>
      </c>
      <c r="D392" s="375">
        <f>SUMIFS(Q369:Q377,E369:E377,"Concessions et droits similaires, brevets, licences, marques, procédés, logiciels, droits et valeurs similaires",F369:F377,"&gt;=01/01/2024",F369:F377,"&lt;=31/12/2024")</f>
        <v>0</v>
      </c>
      <c r="E392" s="375">
        <f>SUMIFS(R369:R377,E369:E377,"Concessions et droits similaires, brevets, licences, marques, procédés, logiciels, droits et valeurs similaires",F369:F377,"&gt;=01/01/2024",F369:F377,"&lt;=31/12/2024")</f>
        <v>0</v>
      </c>
      <c r="F392" s="375">
        <f>SUMIFS(S369:S377,E369:E377,"Concessions et droits similaires, brevets, licences, marques, procédés, logiciels, droits et valeurs similaires",F369:F377,"&gt;=01/01/2024",F369:F377,"&lt;=31/12/2024")</f>
        <v>0</v>
      </c>
    </row>
    <row r="393" spans="2:23" s="112" customFormat="1" ht="48.75" thickBot="1" x14ac:dyDescent="0.3">
      <c r="B393" s="373" t="s">
        <v>813</v>
      </c>
      <c r="C393" s="372">
        <f>SUMIF(E369:E377,"Installations techniques et outillages industriels",H369:H377)</f>
        <v>0</v>
      </c>
      <c r="D393" s="372">
        <f>SUMIF(E369:E377,"Installations techniques et outillages industriels",Q369:Q377)</f>
        <v>0</v>
      </c>
      <c r="E393" s="372">
        <f>SUMIF(E369:E377,"Installations techniques et outillages industriels",R369:R377)</f>
        <v>0</v>
      </c>
      <c r="F393" s="372">
        <f>SUMIF(E369:E377,"Installations techniques et outillages industriels",S369:S377)</f>
        <v>0</v>
      </c>
      <c r="K393" s="112">
        <v>215</v>
      </c>
    </row>
    <row r="394" spans="2:23" s="112" customFormat="1" ht="24.75" thickBot="1" x14ac:dyDescent="0.3">
      <c r="B394" s="374" t="s">
        <v>729</v>
      </c>
      <c r="C394" s="375">
        <f>SUMIFS(H369:H377,E369:E377,"Installations techniques et outillages industriels",F369:F377,"&gt;=01/01/2024",F369:F377,"&lt;=31/12/2024")</f>
        <v>0</v>
      </c>
      <c r="D394" s="375">
        <f>SUMIFS(Q369:Q377,E369:E377,"Installations techniques et outillages industriels",F369:F377,"&gt;=01/01/2024",F369:F377,"&lt;=31/12/2024")</f>
        <v>0</v>
      </c>
      <c r="E394" s="375">
        <f>SUMIFS(R369:R377,E369:E377,"Installations techniques et outillages industriels",F369:F377,"&gt;=01/01/2024",F369:F377,"&lt;=31/12/2024")</f>
        <v>0</v>
      </c>
      <c r="F394" s="375">
        <f>SUMIFS(S369:S377,E369:E377,"Installations techniques et outillages industriels",F369:F377,"&gt;=01/01/2024",F369:F377,"&lt;=31/12/2024")</f>
        <v>0</v>
      </c>
    </row>
    <row r="395" spans="2:23" s="112" customFormat="1" ht="36.75" thickBot="1" x14ac:dyDescent="0.3">
      <c r="B395" s="373" t="s">
        <v>814</v>
      </c>
      <c r="C395" s="372">
        <f>SUMIF(E369:E377,"Matériel de bureau et matériel informatique",H369:H377)</f>
        <v>0</v>
      </c>
      <c r="D395" s="372">
        <f>SUMIF(E369:E377,"Matériel de bureau et matériel informatique",Q369:Q377)</f>
        <v>0</v>
      </c>
      <c r="E395" s="372">
        <f>SUMIF(E369:E377,"Matériel de bureau et matériel informatique",R369:R377)</f>
        <v>0</v>
      </c>
      <c r="F395" s="372">
        <f>SUMIF(E369:E377,"Matériel de bureau et matériel informatique",S369:S377)</f>
        <v>0</v>
      </c>
      <c r="K395" s="112">
        <v>2183</v>
      </c>
    </row>
    <row r="396" spans="2:23" s="112" customFormat="1" ht="24.75" thickBot="1" x14ac:dyDescent="0.3">
      <c r="B396" s="374" t="s">
        <v>729</v>
      </c>
      <c r="C396" s="375">
        <f>SUMIFS(H369:H377,E369:E377,"Matériel de bureau et matériel informatique",F369:F377,"&gt;=01/01/2024",F369:F377,"&lt;=31/12/2024")</f>
        <v>0</v>
      </c>
      <c r="D396" s="375">
        <f>SUMIFS(Q369:Q377,E369:E377,"Matériel de bureau et matériel informatique",F369:F377,"&gt;=01/01/2024",F369:F377,"&lt;=31/12/2024")</f>
        <v>0</v>
      </c>
      <c r="E396" s="375">
        <f>SUMIFS(R369:R377,E369:E377,"Matériel de bureau et matériel informatique",F369:F377,"&gt;=01/01/2024",F369:F377,"&lt;=31/12/2024")</f>
        <v>0</v>
      </c>
      <c r="F396" s="375">
        <f>SUMIFS(S369:S377,E369:E377,"Matériel de bureau et matériel informatique",F369:F377,"&gt;=01/01/2024",F369:F377,"&lt;=31/12/2024")</f>
        <v>0</v>
      </c>
    </row>
    <row r="397" spans="2:23" s="112" customFormat="1" ht="43.5" thickBot="1" x14ac:dyDescent="0.3">
      <c r="B397" s="373" t="s">
        <v>734</v>
      </c>
      <c r="C397" s="372">
        <f>SUMIF(E369:E377,"Redevance de crédit-bail",H369:H377)</f>
        <v>0</v>
      </c>
      <c r="D397" s="372">
        <f>SUMIF(E369:E377,"Redevance de crédit-bail",Q369:Q377)</f>
        <v>0</v>
      </c>
      <c r="E397" s="372">
        <f>SUMIF(E369:E377,"Redevance de crédit-bail",R369:R377)</f>
        <v>0</v>
      </c>
      <c r="F397" s="372">
        <f>SUMIF(E369:E377,"Redevance de crédit-bail",S369:S377)</f>
        <v>0</v>
      </c>
      <c r="K397" s="112">
        <v>612</v>
      </c>
    </row>
    <row r="398" spans="2:23" s="112" customFormat="1" x14ac:dyDescent="0.25"/>
    <row r="399" spans="2:23" s="112" customFormat="1" x14ac:dyDescent="0.25"/>
    <row r="400" spans="2:23" s="112" customFormat="1" x14ac:dyDescent="0.25"/>
    <row r="401" s="112" customFormat="1" x14ac:dyDescent="0.25"/>
    <row r="402" s="112" customFormat="1" x14ac:dyDescent="0.25"/>
    <row r="403" s="112" customFormat="1" x14ac:dyDescent="0.25"/>
    <row r="404" s="112" customFormat="1" x14ac:dyDescent="0.25"/>
    <row r="405" s="112" customFormat="1" x14ac:dyDescent="0.25"/>
    <row r="406" s="112" customFormat="1" x14ac:dyDescent="0.25"/>
    <row r="407" s="112" customFormat="1" x14ac:dyDescent="0.25"/>
    <row r="408" s="112" customFormat="1" x14ac:dyDescent="0.25"/>
    <row r="409" s="112" customFormat="1" x14ac:dyDescent="0.25"/>
    <row r="410" s="112" customFormat="1" x14ac:dyDescent="0.25"/>
    <row r="411" s="112" customFormat="1" x14ac:dyDescent="0.25"/>
    <row r="412" s="112" customFormat="1" x14ac:dyDescent="0.25"/>
    <row r="413" s="112" customFormat="1" x14ac:dyDescent="0.25"/>
    <row r="414" s="112" customFormat="1" x14ac:dyDescent="0.25"/>
    <row r="415" s="112" customFormat="1" x14ac:dyDescent="0.25"/>
    <row r="416" s="112" customFormat="1" x14ac:dyDescent="0.25"/>
    <row r="417" s="112" customFormat="1" x14ac:dyDescent="0.25"/>
    <row r="418" s="112" customFormat="1" x14ac:dyDescent="0.25"/>
    <row r="419" s="112" customFormat="1" x14ac:dyDescent="0.25"/>
    <row r="420" s="112" customFormat="1" x14ac:dyDescent="0.25"/>
    <row r="421" s="112" customFormat="1" x14ac:dyDescent="0.25"/>
    <row r="422" s="112" customFormat="1" x14ac:dyDescent="0.25"/>
    <row r="423" s="112" customFormat="1" x14ac:dyDescent="0.25"/>
    <row r="424" s="112" customFormat="1" x14ac:dyDescent="0.25"/>
    <row r="425" s="112" customFormat="1" x14ac:dyDescent="0.25"/>
    <row r="426" s="112" customFormat="1" x14ac:dyDescent="0.25"/>
    <row r="427" s="112" customFormat="1" x14ac:dyDescent="0.25"/>
    <row r="428" s="112" customFormat="1" x14ac:dyDescent="0.25"/>
    <row r="429" s="112" customFormat="1" x14ac:dyDescent="0.25"/>
    <row r="430" s="112" customFormat="1" x14ac:dyDescent="0.25"/>
    <row r="431" s="112" customFormat="1" x14ac:dyDescent="0.25"/>
    <row r="432" s="112" customFormat="1" x14ac:dyDescent="0.25"/>
    <row r="433" spans="5:5" s="112" customFormat="1" x14ac:dyDescent="0.25"/>
    <row r="434" spans="5:5" s="112" customFormat="1" x14ac:dyDescent="0.25"/>
    <row r="435" spans="5:5" s="112" customFormat="1" x14ac:dyDescent="0.25"/>
    <row r="436" spans="5:5" s="112" customFormat="1" x14ac:dyDescent="0.25"/>
    <row r="437" spans="5:5" s="112" customFormat="1" x14ac:dyDescent="0.25"/>
    <row r="438" spans="5:5" s="112" customFormat="1" x14ac:dyDescent="0.25"/>
    <row r="439" spans="5:5" s="112" customFormat="1" x14ac:dyDescent="0.25"/>
    <row r="440" spans="5:5" s="112" customFormat="1" x14ac:dyDescent="0.25"/>
    <row r="441" spans="5:5" s="112" customFormat="1" x14ac:dyDescent="0.25"/>
    <row r="442" spans="5:5" s="112" customFormat="1" x14ac:dyDescent="0.25"/>
    <row r="443" spans="5:5" s="112" customFormat="1" x14ac:dyDescent="0.25"/>
    <row r="444" spans="5:5" s="112" customFormat="1" x14ac:dyDescent="0.25"/>
    <row r="445" spans="5:5" s="112" customFormat="1" x14ac:dyDescent="0.25"/>
    <row r="446" spans="5:5" s="112" customFormat="1" x14ac:dyDescent="0.25">
      <c r="E446" s="307"/>
    </row>
    <row r="447" spans="5:5" s="112" customFormat="1" x14ac:dyDescent="0.25"/>
    <row r="448" spans="5:5" s="112" customFormat="1" x14ac:dyDescent="0.25"/>
    <row r="449" s="112" customFormat="1" x14ac:dyDescent="0.25"/>
    <row r="450" s="112" customFormat="1" x14ac:dyDescent="0.25"/>
    <row r="451" s="112" customFormat="1" x14ac:dyDescent="0.25"/>
    <row r="452" s="112" customFormat="1" x14ac:dyDescent="0.25"/>
    <row r="453" s="112" customFormat="1" x14ac:dyDescent="0.25"/>
    <row r="454" s="112" customFormat="1" x14ac:dyDescent="0.25"/>
    <row r="455" s="112" customFormat="1" x14ac:dyDescent="0.25"/>
    <row r="456" s="112" customFormat="1" x14ac:dyDescent="0.25"/>
    <row r="457" s="112" customFormat="1" x14ac:dyDescent="0.25"/>
    <row r="458" s="112" customFormat="1" x14ac:dyDescent="0.25"/>
    <row r="459" s="112" customFormat="1" x14ac:dyDescent="0.25"/>
    <row r="460" s="112" customFormat="1" x14ac:dyDescent="0.25"/>
    <row r="461" s="112" customFormat="1" x14ac:dyDescent="0.25"/>
    <row r="462" s="112" customFormat="1" x14ac:dyDescent="0.25"/>
    <row r="463" s="112" customFormat="1" x14ac:dyDescent="0.25"/>
    <row r="464" s="112" customFormat="1" x14ac:dyDescent="0.25"/>
    <row r="465" s="112" customFormat="1" x14ac:dyDescent="0.25"/>
    <row r="466" s="112" customFormat="1" x14ac:dyDescent="0.25"/>
    <row r="467" s="112" customFormat="1" x14ac:dyDescent="0.25"/>
    <row r="468" s="112" customFormat="1" x14ac:dyDescent="0.25"/>
    <row r="469" s="112" customFormat="1" x14ac:dyDescent="0.25"/>
    <row r="470" s="112" customFormat="1" x14ac:dyDescent="0.25"/>
    <row r="471" s="112" customFormat="1" x14ac:dyDescent="0.25"/>
    <row r="472" s="112" customFormat="1" x14ac:dyDescent="0.25"/>
    <row r="473" s="112" customFormat="1" x14ac:dyDescent="0.25"/>
    <row r="474" s="112" customFormat="1" x14ac:dyDescent="0.25"/>
    <row r="475" s="112" customFormat="1" x14ac:dyDescent="0.25"/>
    <row r="476" s="112" customFormat="1" x14ac:dyDescent="0.25"/>
    <row r="477" s="112" customFormat="1" x14ac:dyDescent="0.25"/>
    <row r="478" s="112" customFormat="1" x14ac:dyDescent="0.25"/>
    <row r="479" s="112" customFormat="1" x14ac:dyDescent="0.25"/>
    <row r="480" s="112" customFormat="1" x14ac:dyDescent="0.25"/>
    <row r="481" s="112" customFormat="1" x14ac:dyDescent="0.25"/>
    <row r="482" s="112" customFormat="1" x14ac:dyDescent="0.25"/>
    <row r="483" s="112" customFormat="1" x14ac:dyDescent="0.25"/>
    <row r="484" s="112" customFormat="1" x14ac:dyDescent="0.25"/>
    <row r="485" s="112" customFormat="1" x14ac:dyDescent="0.25"/>
    <row r="486" s="112" customFormat="1" x14ac:dyDescent="0.25"/>
    <row r="487" s="112" customFormat="1" x14ac:dyDescent="0.25"/>
    <row r="488" s="112" customFormat="1" x14ac:dyDescent="0.25"/>
    <row r="489" s="112" customFormat="1" x14ac:dyDescent="0.25"/>
    <row r="490" s="112" customFormat="1" x14ac:dyDescent="0.25"/>
    <row r="491" s="112" customFormat="1" x14ac:dyDescent="0.25"/>
    <row r="492" s="112" customFormat="1" x14ac:dyDescent="0.25"/>
    <row r="493" s="112" customFormat="1" x14ac:dyDescent="0.25"/>
    <row r="494" s="112" customFormat="1" x14ac:dyDescent="0.25"/>
    <row r="495" s="112" customFormat="1" x14ac:dyDescent="0.25"/>
    <row r="496" s="112" customFormat="1" x14ac:dyDescent="0.25"/>
    <row r="497" s="112" customFormat="1" x14ac:dyDescent="0.25"/>
    <row r="498" s="112" customFormat="1" x14ac:dyDescent="0.25"/>
    <row r="499" s="112" customFormat="1" x14ac:dyDescent="0.25"/>
    <row r="500" s="112" customFormat="1" x14ac:dyDescent="0.25"/>
    <row r="501" s="112" customFormat="1" x14ac:dyDescent="0.25"/>
    <row r="502" s="112" customFormat="1" x14ac:dyDescent="0.25"/>
    <row r="503" s="112" customFormat="1" x14ac:dyDescent="0.25"/>
    <row r="504" s="112" customFormat="1" x14ac:dyDescent="0.25"/>
    <row r="505" s="112" customFormat="1" x14ac:dyDescent="0.25"/>
    <row r="506" s="112" customFormat="1" x14ac:dyDescent="0.25"/>
    <row r="507" s="112" customFormat="1" x14ac:dyDescent="0.25"/>
    <row r="508" s="112" customFormat="1" x14ac:dyDescent="0.25"/>
    <row r="509" s="112" customFormat="1" x14ac:dyDescent="0.25"/>
    <row r="510" s="112" customFormat="1" x14ac:dyDescent="0.25"/>
    <row r="511" s="112" customFormat="1" x14ac:dyDescent="0.25"/>
    <row r="512" s="112" customFormat="1" x14ac:dyDescent="0.25"/>
    <row r="513" s="112" customFormat="1" x14ac:dyDescent="0.25"/>
    <row r="514" s="112" customFormat="1" x14ac:dyDescent="0.25"/>
    <row r="515" s="112" customFormat="1" x14ac:dyDescent="0.25"/>
    <row r="516" s="112" customFormat="1" x14ac:dyDescent="0.25"/>
    <row r="517" s="112" customFormat="1" x14ac:dyDescent="0.25"/>
    <row r="518" s="112" customFormat="1" x14ac:dyDescent="0.25"/>
    <row r="519" s="112" customFormat="1" x14ac:dyDescent="0.25"/>
    <row r="520" s="112" customFormat="1" x14ac:dyDescent="0.25"/>
    <row r="521" s="112" customFormat="1" x14ac:dyDescent="0.25"/>
    <row r="522" s="112" customFormat="1" x14ac:dyDescent="0.25"/>
    <row r="523" s="112" customFormat="1" x14ac:dyDescent="0.25"/>
    <row r="524" s="112" customFormat="1" x14ac:dyDescent="0.25"/>
    <row r="525" s="112" customFormat="1" x14ac:dyDescent="0.25"/>
    <row r="526" s="112" customFormat="1" x14ac:dyDescent="0.25"/>
    <row r="527" s="112" customFormat="1" x14ac:dyDescent="0.25"/>
    <row r="528" s="112" customFormat="1" x14ac:dyDescent="0.25"/>
    <row r="529" s="112" customFormat="1" x14ac:dyDescent="0.25"/>
    <row r="530" s="112" customFormat="1" x14ac:dyDescent="0.25"/>
    <row r="531" s="112" customFormat="1" x14ac:dyDescent="0.25"/>
    <row r="532" s="112" customFormat="1" x14ac:dyDescent="0.25"/>
    <row r="533" s="112" customFormat="1" x14ac:dyDescent="0.25"/>
    <row r="534" s="112" customFormat="1" x14ac:dyDescent="0.25"/>
    <row r="535" s="112" customFormat="1" x14ac:dyDescent="0.25"/>
    <row r="536" s="112" customFormat="1" x14ac:dyDescent="0.25"/>
    <row r="537" s="112" customFormat="1" x14ac:dyDescent="0.25"/>
    <row r="538" s="112" customFormat="1" x14ac:dyDescent="0.25"/>
    <row r="539" s="112" customFormat="1" x14ac:dyDescent="0.25"/>
    <row r="540" s="112" customFormat="1" x14ac:dyDescent="0.25"/>
    <row r="541" s="112" customFormat="1" x14ac:dyDescent="0.25"/>
    <row r="542" s="112" customFormat="1" x14ac:dyDescent="0.25"/>
    <row r="543" s="112" customFormat="1" x14ac:dyDescent="0.25"/>
    <row r="544" s="112" customFormat="1" x14ac:dyDescent="0.25"/>
    <row r="545" s="112" customFormat="1" x14ac:dyDescent="0.25"/>
    <row r="546" s="112" customFormat="1" x14ac:dyDescent="0.25"/>
    <row r="547" s="112" customFormat="1" x14ac:dyDescent="0.25"/>
    <row r="548" s="112" customFormat="1" x14ac:dyDescent="0.25"/>
    <row r="549" s="112" customFormat="1" x14ac:dyDescent="0.25"/>
    <row r="550" s="112" customFormat="1" x14ac:dyDescent="0.25"/>
    <row r="551" s="112" customFormat="1" x14ac:dyDescent="0.25"/>
    <row r="552" s="112" customFormat="1" x14ac:dyDescent="0.25"/>
    <row r="553" s="112" customFormat="1" x14ac:dyDescent="0.25"/>
    <row r="554" s="112" customFormat="1" x14ac:dyDescent="0.25"/>
    <row r="555" s="112" customFormat="1" x14ac:dyDescent="0.25"/>
    <row r="556" s="112" customFormat="1" x14ac:dyDescent="0.25"/>
    <row r="557" s="112" customFormat="1" x14ac:dyDescent="0.25"/>
    <row r="558" s="112" customFormat="1" x14ac:dyDescent="0.25"/>
    <row r="559" s="112" customFormat="1" x14ac:dyDescent="0.25"/>
    <row r="560" s="112" customFormat="1" x14ac:dyDescent="0.25"/>
    <row r="561" s="112" customFormat="1" x14ac:dyDescent="0.25"/>
    <row r="562" s="112" customFormat="1" x14ac:dyDescent="0.25"/>
    <row r="563" s="112" customFormat="1" x14ac:dyDescent="0.25"/>
    <row r="564" s="112" customFormat="1" x14ac:dyDescent="0.25"/>
    <row r="565" s="112" customFormat="1" x14ac:dyDescent="0.25"/>
    <row r="566" s="112" customFormat="1" x14ac:dyDescent="0.25"/>
    <row r="567" s="112" customFormat="1" x14ac:dyDescent="0.25"/>
    <row r="568" s="112" customFormat="1" x14ac:dyDescent="0.25"/>
    <row r="569" s="112" customFormat="1" x14ac:dyDescent="0.25"/>
    <row r="570" s="112" customFormat="1" x14ac:dyDescent="0.25"/>
    <row r="571" s="112" customFormat="1" x14ac:dyDescent="0.25"/>
    <row r="572" s="112" customFormat="1" x14ac:dyDescent="0.25"/>
    <row r="573" s="112" customFormat="1" x14ac:dyDescent="0.25"/>
    <row r="574" s="112" customFormat="1" x14ac:dyDescent="0.25"/>
    <row r="575" s="112" customFormat="1" x14ac:dyDescent="0.25"/>
    <row r="576" s="112" customFormat="1" x14ac:dyDescent="0.25"/>
    <row r="577" s="112" customFormat="1" x14ac:dyDescent="0.25"/>
    <row r="578" s="112" customFormat="1" x14ac:dyDescent="0.25"/>
    <row r="579" s="112" customFormat="1" x14ac:dyDescent="0.25"/>
    <row r="580" s="112" customFormat="1" x14ac:dyDescent="0.25"/>
    <row r="581" s="112" customFormat="1" x14ac:dyDescent="0.25"/>
    <row r="582" s="112" customFormat="1" x14ac:dyDescent="0.25"/>
    <row r="583" s="112" customFormat="1" x14ac:dyDescent="0.25"/>
    <row r="584" s="112" customFormat="1" x14ac:dyDescent="0.25"/>
    <row r="585" s="112" customFormat="1" x14ac:dyDescent="0.25"/>
    <row r="586" s="112" customFormat="1" x14ac:dyDescent="0.25"/>
    <row r="587" s="112" customFormat="1" x14ac:dyDescent="0.25"/>
    <row r="588" s="112" customFormat="1" x14ac:dyDescent="0.25"/>
    <row r="589" s="112" customFormat="1" x14ac:dyDescent="0.25"/>
    <row r="590" s="112" customFormat="1" x14ac:dyDescent="0.25"/>
    <row r="591" s="112" customFormat="1" x14ac:dyDescent="0.25"/>
    <row r="592" s="112" customFormat="1" x14ac:dyDescent="0.25"/>
    <row r="593" s="112" customFormat="1" x14ac:dyDescent="0.25"/>
    <row r="594" s="112" customFormat="1" x14ac:dyDescent="0.25"/>
    <row r="595" s="112" customFormat="1" x14ac:dyDescent="0.25"/>
    <row r="596" s="112" customFormat="1" x14ac:dyDescent="0.25"/>
    <row r="597" s="112" customFormat="1" x14ac:dyDescent="0.25"/>
    <row r="598" s="112" customFormat="1" x14ac:dyDescent="0.25"/>
    <row r="599" s="112" customFormat="1" x14ac:dyDescent="0.25"/>
    <row r="600" s="112" customFormat="1" x14ac:dyDescent="0.25"/>
    <row r="601" s="112" customFormat="1" x14ac:dyDescent="0.25"/>
    <row r="602" s="112" customFormat="1" x14ac:dyDescent="0.25"/>
    <row r="603" s="112" customFormat="1" x14ac:dyDescent="0.25"/>
    <row r="604" s="112" customFormat="1" x14ac:dyDescent="0.25"/>
    <row r="605" s="112" customFormat="1" x14ac:dyDescent="0.25"/>
    <row r="606" s="112" customFormat="1" x14ac:dyDescent="0.25"/>
    <row r="607" s="112" customFormat="1" x14ac:dyDescent="0.25"/>
    <row r="608" s="112" customFormat="1" x14ac:dyDescent="0.25"/>
    <row r="609" s="112" customFormat="1" x14ac:dyDescent="0.25"/>
    <row r="610" s="112" customFormat="1" x14ac:dyDescent="0.25"/>
    <row r="611" s="112" customFormat="1" x14ac:dyDescent="0.25"/>
    <row r="612" s="112" customFormat="1" x14ac:dyDescent="0.25"/>
    <row r="613" s="112" customFormat="1" x14ac:dyDescent="0.25"/>
    <row r="614" s="112" customFormat="1" x14ac:dyDescent="0.25"/>
    <row r="615" s="112" customFormat="1" x14ac:dyDescent="0.25"/>
    <row r="616" s="112" customFormat="1" x14ac:dyDescent="0.25"/>
    <row r="617" s="112" customFormat="1" x14ac:dyDescent="0.25"/>
    <row r="618" s="112" customFormat="1" x14ac:dyDescent="0.25"/>
    <row r="619" s="112" customFormat="1" x14ac:dyDescent="0.25"/>
    <row r="620" s="112" customFormat="1" x14ac:dyDescent="0.25"/>
    <row r="621" s="112" customFormat="1" x14ac:dyDescent="0.25"/>
    <row r="622" s="112" customFormat="1" x14ac:dyDescent="0.25"/>
    <row r="623" s="112" customFormat="1" x14ac:dyDescent="0.25"/>
    <row r="624" s="112" customFormat="1" x14ac:dyDescent="0.25"/>
    <row r="625" s="112" customFormat="1" x14ac:dyDescent="0.25"/>
    <row r="626" s="112" customFormat="1" x14ac:dyDescent="0.25"/>
    <row r="627" s="112" customFormat="1" x14ac:dyDescent="0.25"/>
    <row r="628" s="112" customFormat="1" x14ac:dyDescent="0.25"/>
    <row r="629" s="112" customFormat="1" x14ac:dyDescent="0.25"/>
    <row r="630" s="112" customFormat="1" x14ac:dyDescent="0.25"/>
    <row r="631" s="112" customFormat="1" x14ac:dyDescent="0.25"/>
    <row r="632" s="112" customFormat="1" x14ac:dyDescent="0.25"/>
    <row r="633" s="112" customFormat="1" x14ac:dyDescent="0.25"/>
    <row r="634" s="112" customFormat="1" x14ac:dyDescent="0.25"/>
    <row r="635" s="112" customFormat="1" x14ac:dyDescent="0.25"/>
    <row r="636" s="112" customFormat="1" x14ac:dyDescent="0.25"/>
    <row r="637" s="112" customFormat="1" x14ac:dyDescent="0.25"/>
    <row r="638" s="112" customFormat="1" x14ac:dyDescent="0.25"/>
    <row r="639" s="112" customFormat="1" x14ac:dyDescent="0.25"/>
    <row r="640" s="112" customFormat="1" x14ac:dyDescent="0.25"/>
    <row r="641" s="112" customFormat="1" x14ac:dyDescent="0.25"/>
    <row r="642" s="112" customFormat="1" x14ac:dyDescent="0.25"/>
    <row r="643" s="112" customFormat="1" x14ac:dyDescent="0.25"/>
    <row r="644" s="112" customFormat="1" x14ac:dyDescent="0.25"/>
    <row r="645" s="112" customFormat="1" x14ac:dyDescent="0.25"/>
    <row r="646" s="112" customFormat="1" x14ac:dyDescent="0.25"/>
    <row r="647" s="112" customFormat="1" x14ac:dyDescent="0.25"/>
    <row r="648" s="112" customFormat="1" x14ac:dyDescent="0.25"/>
    <row r="649" s="112" customFormat="1" x14ac:dyDescent="0.25"/>
    <row r="650" s="112" customFormat="1" x14ac:dyDescent="0.25"/>
    <row r="651" s="112" customFormat="1" x14ac:dyDescent="0.25"/>
    <row r="652" s="112" customFormat="1" x14ac:dyDescent="0.25"/>
    <row r="653" s="112" customFormat="1" x14ac:dyDescent="0.25"/>
    <row r="654" s="112" customFormat="1" x14ac:dyDescent="0.25"/>
    <row r="655" s="112" customFormat="1" x14ac:dyDescent="0.25"/>
    <row r="656" s="112" customFormat="1" x14ac:dyDescent="0.25"/>
    <row r="657" s="112" customFormat="1" x14ac:dyDescent="0.25"/>
    <row r="658" s="112" customFormat="1" x14ac:dyDescent="0.25"/>
    <row r="659" s="112" customFormat="1" x14ac:dyDescent="0.25"/>
    <row r="660" s="112" customFormat="1" x14ac:dyDescent="0.25"/>
    <row r="661" s="112" customFormat="1" x14ac:dyDescent="0.25"/>
    <row r="662" s="112" customFormat="1" x14ac:dyDescent="0.25"/>
    <row r="663" s="112" customFormat="1" x14ac:dyDescent="0.25"/>
    <row r="664" s="112" customFormat="1" x14ac:dyDescent="0.25"/>
    <row r="665" s="112" customFormat="1" x14ac:dyDescent="0.25"/>
    <row r="666" s="112" customFormat="1" x14ac:dyDescent="0.25"/>
    <row r="667" s="112" customFormat="1" x14ac:dyDescent="0.25"/>
    <row r="668" s="112" customFormat="1" x14ac:dyDescent="0.25"/>
    <row r="669" s="112" customFormat="1" x14ac:dyDescent="0.25"/>
    <row r="670" s="112" customFormat="1" x14ac:dyDescent="0.25"/>
    <row r="671" s="112" customFormat="1" x14ac:dyDescent="0.25"/>
    <row r="672" s="112" customFormat="1" x14ac:dyDescent="0.25"/>
    <row r="673" s="112" customFormat="1" x14ac:dyDescent="0.25"/>
    <row r="674" s="112" customFormat="1" x14ac:dyDescent="0.25"/>
    <row r="675" s="112" customFormat="1" x14ac:dyDescent="0.25"/>
    <row r="676" s="112" customFormat="1" x14ac:dyDescent="0.25"/>
    <row r="677" s="112" customFormat="1" x14ac:dyDescent="0.25"/>
    <row r="678" s="112" customFormat="1" x14ac:dyDescent="0.25"/>
    <row r="679" s="112" customFormat="1" x14ac:dyDescent="0.25"/>
    <row r="680" s="112" customFormat="1" x14ac:dyDescent="0.25"/>
    <row r="681" s="112" customFormat="1" x14ac:dyDescent="0.25"/>
  </sheetData>
  <mergeCells count="36">
    <mergeCell ref="C226:D226"/>
    <mergeCell ref="B289:J289"/>
    <mergeCell ref="C23:E23"/>
    <mergeCell ref="C24:E25"/>
    <mergeCell ref="F24:F25"/>
    <mergeCell ref="G24:G35"/>
    <mergeCell ref="C166:F166"/>
    <mergeCell ref="C103:F103"/>
    <mergeCell ref="C41:E41"/>
    <mergeCell ref="F10:F11"/>
    <mergeCell ref="C15:E16"/>
    <mergeCell ref="F15:F16"/>
    <mergeCell ref="G15:G16"/>
    <mergeCell ref="C17:E17"/>
    <mergeCell ref="G17:G23"/>
    <mergeCell ref="C18:E18"/>
    <mergeCell ref="C19:E19"/>
    <mergeCell ref="C20:E20"/>
    <mergeCell ref="C21:E21"/>
    <mergeCell ref="C22:E22"/>
    <mergeCell ref="C3:G3"/>
    <mergeCell ref="C37:E38"/>
    <mergeCell ref="C347:G348"/>
    <mergeCell ref="D10:E10"/>
    <mergeCell ref="G5:G9"/>
    <mergeCell ref="C7:D7"/>
    <mergeCell ref="C8:D8"/>
    <mergeCell ref="G10:G14"/>
    <mergeCell ref="C11:E11"/>
    <mergeCell ref="C14:D14"/>
    <mergeCell ref="C5:E6"/>
    <mergeCell ref="F5:F9"/>
    <mergeCell ref="C9:D9"/>
    <mergeCell ref="D12:E12"/>
    <mergeCell ref="F12:F13"/>
    <mergeCell ref="C13:E13"/>
  </mergeCells>
  <conditionalFormatting sqref="L6">
    <cfRule type="containsText" dxfId="1" priority="3" operator="containsText" text="Oui">
      <formula>NOT(ISERROR(SEARCH("Oui",L6)))</formula>
    </cfRule>
    <cfRule type="containsText" dxfId="0" priority="4" operator="containsText" text="Non">
      <formula>NOT(ISERROR(SEARCH("Non",L6)))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25" r:id="rId4" name="Button 9">
              <controlPr defaultSize="0" print="0" autoFill="0" autoPict="0" macro="[0]!CopieTableauxJEI_Evoluee">
                <anchor moveWithCells="1" sizeWithCells="1">
                  <from>
                    <xdr:col>2</xdr:col>
                    <xdr:colOff>971550</xdr:colOff>
                    <xdr:row>0</xdr:row>
                    <xdr:rowOff>152400</xdr:rowOff>
                  </from>
                  <to>
                    <xdr:col>2</xdr:col>
                    <xdr:colOff>3838575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BB9F5791-AF5E-4B51-B0E8-B9F9128FECCB}">
          <x14:formula1>
            <xm:f>parametrage!$E$2:$E$3</xm:f>
          </x14:formula1>
          <xm:sqref>F18:F23 F27:F29 F31:F32 F34:F35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/>
</file>

<file path=customXml/itemProps1.xml><?xml version="1.0" encoding="utf-8"?>
<ds:datastoreItem xmlns:ds="http://schemas.openxmlformats.org/officeDocument/2006/customXml" ds:itemID="{35B38175-3FF6-43C3-A482-47912CABD32F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32</vt:i4>
      </vt:variant>
    </vt:vector>
  </HeadingPairs>
  <TitlesOfParts>
    <vt:vector size="32" baseType="lpstr">
      <vt:lpstr>suivi évolution</vt:lpstr>
      <vt:lpstr>parametrage</vt:lpstr>
      <vt:lpstr>2069 A</vt:lpstr>
      <vt:lpstr>2069-A2-SD</vt:lpstr>
      <vt:lpstr>parametres chiffrage</vt:lpstr>
      <vt:lpstr>Verif VS 24</vt:lpstr>
      <vt:lpstr>SYNTHESE final</vt:lpstr>
      <vt:lpstr>SYNTHESE</vt:lpstr>
      <vt:lpstr>SYNTHESE_TS</vt:lpstr>
      <vt:lpstr>REP cout</vt:lpstr>
      <vt:lpstr>REP_cout_TS</vt:lpstr>
      <vt:lpstr>VALO_AMO</vt:lpstr>
      <vt:lpstr>AMO_TS</vt:lpstr>
      <vt:lpstr>Fiche pour valo</vt:lpstr>
      <vt:lpstr>HRECH V3</vt:lpstr>
      <vt:lpstr>HRECH V 8 avril</vt:lpstr>
      <vt:lpstr>VALO_PERSO</vt:lpstr>
      <vt:lpstr>PERSO_TS</vt:lpstr>
      <vt:lpstr>HTRAV 2023</vt:lpstr>
      <vt:lpstr>Calcul FF</vt:lpstr>
      <vt:lpstr>VALO_BREVET</vt:lpstr>
      <vt:lpstr>BREVET_TS</vt:lpstr>
      <vt:lpstr>VALO_ST</vt:lpstr>
      <vt:lpstr>Sous-traitance_TS</vt:lpstr>
      <vt:lpstr>VALO-autres dépenses CIR</vt:lpstr>
      <vt:lpstr>VEILLE_TS</vt:lpstr>
      <vt:lpstr>VALO_SUBV</vt:lpstr>
      <vt:lpstr>PPT</vt:lpstr>
      <vt:lpstr>check list</vt:lpstr>
      <vt:lpstr>Amélioration Matrice</vt:lpstr>
      <vt:lpstr>JEI</vt:lpstr>
      <vt:lpstr>JEI Jules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Axel Lopez</dc:creator>
  <cp:keywords/>
  <dc:description/>
  <cp:lastModifiedBy>Aglaé SAUDRAIS</cp:lastModifiedBy>
  <cp:revision/>
  <dcterms:created xsi:type="dcterms:W3CDTF">2024-05-22T04:29:16Z</dcterms:created>
  <dcterms:modified xsi:type="dcterms:W3CDTF">2026-04-17T16:00:29Z</dcterms:modified>
  <cp:category/>
  <cp:contentStatus/>
</cp:coreProperties>
</file>