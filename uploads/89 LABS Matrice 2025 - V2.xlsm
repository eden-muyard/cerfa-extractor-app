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1.xml" ContentType="application/vnd.openxmlformats-officedocument.drawing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P:\Account shares\Digital\89 LABS\2025\2 - Valorisation des Dépenses\"/>
    </mc:Choice>
  </mc:AlternateContent>
  <xr:revisionPtr revIDLastSave="0" documentId="13_ncr:1_{8672C316-64C5-48C0-A7E9-F842FBCCB37F}" xr6:coauthVersionLast="47" xr6:coauthVersionMax="47" xr10:uidLastSave="{00000000-0000-0000-0000-000000000000}"/>
  <bookViews>
    <workbookView xWindow="-120" yWindow="-120" windowWidth="29040" windowHeight="15720" tabRatio="837" activeTab="4" xr2:uid="{6B2A5226-62B7-4442-BF8C-17A9A5CE05E5}"/>
  </bookViews>
  <sheets>
    <sheet name="suivi évolution" sheetId="18" r:id="rId1"/>
    <sheet name="parametrage" sheetId="3" state="hidden" r:id="rId2"/>
    <sheet name="2069 A" sheetId="11" r:id="rId3"/>
    <sheet name="2069-A2-SD" sheetId="13" r:id="rId4"/>
    <sheet name="parametres chiffrage" sheetId="2" r:id="rId5"/>
    <sheet name="Verif VS 24" sheetId="14" r:id="rId6"/>
    <sheet name="SYNTHESE" sheetId="1" r:id="rId7"/>
    <sheet name="SYNTHESE final" sheetId="29" state="hidden" r:id="rId8"/>
    <sheet name="SYNTHESE_TS" sheetId="21" r:id="rId9"/>
    <sheet name="REP cout" sheetId="4" r:id="rId10"/>
    <sheet name="REP_cout_TS" sheetId="22" r:id="rId11"/>
    <sheet name="AMO_TS" sheetId="23" r:id="rId12"/>
    <sheet name="VALO_AMO" sheetId="6" r:id="rId13"/>
    <sheet name="Fiche pour valo" sheetId="31" r:id="rId14"/>
    <sheet name="HRECH" sheetId="32" r:id="rId15"/>
    <sheet name="VALO_PERSO" sheetId="8" r:id="rId16"/>
    <sheet name="PERSO_TS" sheetId="24" r:id="rId17"/>
    <sheet name="HTRAV 2023" sheetId="15" r:id="rId18"/>
    <sheet name="Calcul FF" sheetId="16" r:id="rId19"/>
    <sheet name="VALO_BREVET" sheetId="9" r:id="rId20"/>
    <sheet name="BREVET_TS" sheetId="25" r:id="rId21"/>
    <sheet name="VALO_ST" sheetId="10" r:id="rId22"/>
    <sheet name="Sous-traitance_TS" sheetId="26" r:id="rId23"/>
    <sheet name="VALO-autres dépenses CIR" sheetId="12" r:id="rId24"/>
    <sheet name="VEILLE_TS" sheetId="30" r:id="rId25"/>
    <sheet name="VALO_SUBV" sheetId="17" r:id="rId26"/>
    <sheet name="PPT" sheetId="20" r:id="rId27"/>
    <sheet name="check list" sheetId="7" r:id="rId28"/>
    <sheet name="Amélioration Matrice" sheetId="27" r:id="rId29"/>
    <sheet name="JEI" sheetId="19" r:id="rId30"/>
    <sheet name="JEI Jules" sheetId="28" r:id="rId31"/>
  </sheets>
  <externalReferences>
    <externalReference r:id="rId32"/>
    <externalReference r:id="rId33"/>
  </externalReferences>
  <definedNames>
    <definedName name="_xleta.AND" hidden="1" xlm="1">#NAME?</definedName>
    <definedName name="_xleta.IF" hidden="1" xlm="1">#NAME?</definedName>
    <definedName name="_xleta.IFS" hidden="1" xlm="1">#NAME?</definedName>
    <definedName name="_xleta.N" hidden="1" xlm="1">#NAME?</definedName>
    <definedName name="_xleta.NOT" hidden="1" xlm="1">#NAME?</definedName>
    <definedName name="_xleta.SUM" hidden="1" xlm="1">#NAME?</definedName>
    <definedName name="_xleta.T" hidden="1" xlm="1">#NAME?</definedName>
    <definedName name="_xleta.YEAR" hidden="1" xlm="1">#NAME?</definedName>
    <definedName name="ListActiPrim">'[1]Données Listes'!$G$2:$G$18</definedName>
    <definedName name="ListActiSec">'[1]Données Listes'!$H$2:$H$18</definedName>
    <definedName name="ListActiTechno">'[1]Données Listes'!$E$2:$E$32</definedName>
    <definedName name="ListCloture">'[1]Données Listes'!$B$2:$B$16</definedName>
    <definedName name="ListEffortRD">'[1]Données Listes'!$D$2:$D$7</definedName>
    <definedName name="ListFormeJuridique">'[1]Données Listes'!$C$2:$C$20</definedName>
    <definedName name="ListGestionCIR">'[1]Données Listes'!$F$2:$F$10</definedName>
    <definedName name="TypeSource">'[1]Données Listes'!$I$2:$I$9</definedName>
  </definedNames>
  <calcPr calcId="191028"/>
  <pivotCaches>
    <pivotCache cacheId="342" r:id="rId34"/>
    <pivotCache cacheId="343" r:id="rId3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5" i="24" l="1"/>
  <c r="N2" i="24"/>
  <c r="N3" i="24"/>
  <c r="N15" i="24" s="1"/>
  <c r="O3" i="24"/>
  <c r="N4" i="24"/>
  <c r="O4" i="24"/>
  <c r="O15" i="24" s="1"/>
  <c r="N5" i="24"/>
  <c r="O5" i="24"/>
  <c r="N6" i="24"/>
  <c r="O6" i="24"/>
  <c r="N7" i="24"/>
  <c r="O7" i="24"/>
  <c r="N8" i="24"/>
  <c r="O8" i="24"/>
  <c r="N9" i="24"/>
  <c r="O9" i="24"/>
  <c r="N10" i="24"/>
  <c r="O10" i="24"/>
  <c r="N11" i="24"/>
  <c r="O11" i="24"/>
  <c r="N12" i="24"/>
  <c r="O12" i="24"/>
  <c r="N13" i="24"/>
  <c r="O13" i="24"/>
  <c r="N14" i="24"/>
  <c r="O14" i="24" s="1"/>
  <c r="R15" i="24"/>
  <c r="B4" i="24"/>
  <c r="C4" i="24"/>
  <c r="D4" i="24"/>
  <c r="E4" i="24"/>
  <c r="F4" i="24"/>
  <c r="G4" i="24"/>
  <c r="U4" i="24"/>
  <c r="B5" i="24"/>
  <c r="C5" i="24"/>
  <c r="D5" i="24"/>
  <c r="E5" i="24"/>
  <c r="F5" i="24"/>
  <c r="G5" i="24"/>
  <c r="U5" i="24"/>
  <c r="B6" i="24"/>
  <c r="C6" i="24"/>
  <c r="D6" i="24"/>
  <c r="E6" i="24"/>
  <c r="F6" i="24"/>
  <c r="G6" i="24"/>
  <c r="U6" i="24"/>
  <c r="B7" i="24"/>
  <c r="C7" i="24"/>
  <c r="D7" i="24"/>
  <c r="E7" i="24"/>
  <c r="F7" i="24"/>
  <c r="G7" i="24"/>
  <c r="U7" i="24"/>
  <c r="B8" i="24"/>
  <c r="C8" i="24"/>
  <c r="D8" i="24"/>
  <c r="E8" i="24"/>
  <c r="F8" i="24"/>
  <c r="G8" i="24"/>
  <c r="U8" i="24"/>
  <c r="B9" i="24"/>
  <c r="C9" i="24"/>
  <c r="D9" i="24"/>
  <c r="E9" i="24"/>
  <c r="F9" i="24"/>
  <c r="G9" i="24"/>
  <c r="U9" i="24"/>
  <c r="B10" i="24"/>
  <c r="C10" i="24"/>
  <c r="D10" i="24"/>
  <c r="E10" i="24"/>
  <c r="F10" i="24"/>
  <c r="G10" i="24"/>
  <c r="H10" i="24"/>
  <c r="I10" i="24"/>
  <c r="J10" i="24"/>
  <c r="K10" i="24"/>
  <c r="L10" i="24"/>
  <c r="M10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Q11" i="24"/>
  <c r="S11" i="24"/>
  <c r="U11" i="24"/>
  <c r="W11" i="24"/>
  <c r="Y11" i="24"/>
  <c r="Z11" i="24"/>
  <c r="AB11" i="24"/>
  <c r="AD11" i="24"/>
  <c r="AF11" i="24"/>
  <c r="AH11" i="24"/>
  <c r="AJ11" i="24"/>
  <c r="AK11" i="24"/>
  <c r="AL11" i="24"/>
  <c r="AM11" i="24"/>
  <c r="C13" i="32"/>
  <c r="AD6" i="8"/>
  <c r="Q4" i="24" s="1"/>
  <c r="AD7" i="8"/>
  <c r="Q5" i="24" s="1"/>
  <c r="AD8" i="8"/>
  <c r="Q6" i="24" s="1"/>
  <c r="AD9" i="8"/>
  <c r="Q7" i="24" s="1"/>
  <c r="AD10" i="8"/>
  <c r="Q8" i="24" s="1"/>
  <c r="AD11" i="8"/>
  <c r="Q9" i="24" s="1"/>
  <c r="AD5" i="8"/>
  <c r="W8" i="8" l="1"/>
  <c r="L6" i="24" s="1"/>
  <c r="Q6" i="8"/>
  <c r="R6" i="8"/>
  <c r="I4" i="24" s="1"/>
  <c r="S6" i="8"/>
  <c r="J4" i="24" s="1"/>
  <c r="Q7" i="8"/>
  <c r="R7" i="8"/>
  <c r="I5" i="24" s="1"/>
  <c r="S7" i="8"/>
  <c r="J5" i="24" s="1"/>
  <c r="Q8" i="8"/>
  <c r="R8" i="8"/>
  <c r="I6" i="24" s="1"/>
  <c r="S8" i="8"/>
  <c r="J6" i="24" s="1"/>
  <c r="Q9" i="8"/>
  <c r="R9" i="8"/>
  <c r="I7" i="24" s="1"/>
  <c r="S9" i="8"/>
  <c r="J7" i="24" s="1"/>
  <c r="Q10" i="8"/>
  <c r="R10" i="8"/>
  <c r="I8" i="24" s="1"/>
  <c r="S10" i="8"/>
  <c r="J8" i="24" s="1"/>
  <c r="Q11" i="8"/>
  <c r="R11" i="8"/>
  <c r="I9" i="24" s="1"/>
  <c r="S11" i="8"/>
  <c r="J9" i="24" s="1"/>
  <c r="S5" i="8"/>
  <c r="R5" i="8"/>
  <c r="Q5" i="8"/>
  <c r="P5" i="8"/>
  <c r="P6" i="8"/>
  <c r="H4" i="24" s="1"/>
  <c r="P7" i="8"/>
  <c r="P8" i="8"/>
  <c r="H6" i="24" s="1"/>
  <c r="P9" i="8"/>
  <c r="H7" i="24" s="1"/>
  <c r="P10" i="8"/>
  <c r="H8" i="24" s="1"/>
  <c r="P11" i="8"/>
  <c r="H9" i="24" s="1"/>
  <c r="I14" i="31"/>
  <c r="I13" i="31"/>
  <c r="W11" i="8" s="1"/>
  <c r="L9" i="24" s="1"/>
  <c r="I12" i="31"/>
  <c r="I11" i="31"/>
  <c r="I10" i="31"/>
  <c r="W10" i="8" s="1"/>
  <c r="L8" i="24" s="1"/>
  <c r="I9" i="31"/>
  <c r="W9" i="8" s="1"/>
  <c r="L7" i="24" s="1"/>
  <c r="I8" i="31"/>
  <c r="I7" i="31"/>
  <c r="W7" i="8" s="1"/>
  <c r="I6" i="31"/>
  <c r="W6" i="8" s="1"/>
  <c r="I5" i="31"/>
  <c r="W5" i="8" s="1"/>
  <c r="B3" i="24"/>
  <c r="I27" i="16"/>
  <c r="J27" i="16"/>
  <c r="L27" i="16" s="1"/>
  <c r="I46" i="4"/>
  <c r="J46" i="4"/>
  <c r="H46" i="4"/>
  <c r="C27" i="4"/>
  <c r="D27" i="4"/>
  <c r="B27" i="4"/>
  <c r="E44" i="28"/>
  <c r="D44" i="28"/>
  <c r="C44" i="28"/>
  <c r="B44" i="28"/>
  <c r="E46" i="28"/>
  <c r="D46" i="28"/>
  <c r="C46" i="28"/>
  <c r="B46" i="28"/>
  <c r="E48" i="28"/>
  <c r="D48" i="28"/>
  <c r="C48" i="28"/>
  <c r="B48" i="28"/>
  <c r="E50" i="28"/>
  <c r="D50" i="28"/>
  <c r="C50" i="28"/>
  <c r="B50" i="28"/>
  <c r="E52" i="28"/>
  <c r="D52" i="28"/>
  <c r="C52" i="28"/>
  <c r="B52" i="28"/>
  <c r="E54" i="28"/>
  <c r="D54" i="28"/>
  <c r="C54" i="28"/>
  <c r="B54" i="28"/>
  <c r="E56" i="28"/>
  <c r="D56" i="28"/>
  <c r="C56" i="28"/>
  <c r="B56" i="28"/>
  <c r="E58" i="28"/>
  <c r="D58" i="28"/>
  <c r="C58" i="28"/>
  <c r="B58" i="28"/>
  <c r="E60" i="28"/>
  <c r="D60" i="28"/>
  <c r="C60" i="28"/>
  <c r="B60" i="28"/>
  <c r="E62" i="28"/>
  <c r="D62" i="28"/>
  <c r="C62" i="28"/>
  <c r="B62" i="28"/>
  <c r="E64" i="28"/>
  <c r="D64" i="28"/>
  <c r="C64" i="28"/>
  <c r="B64" i="28"/>
  <c r="E66" i="28"/>
  <c r="D66" i="28"/>
  <c r="C66" i="28"/>
  <c r="B66" i="28"/>
  <c r="E68" i="28"/>
  <c r="D68" i="28"/>
  <c r="C68" i="28"/>
  <c r="B68" i="28"/>
  <c r="E70" i="28"/>
  <c r="D70" i="28"/>
  <c r="C70" i="28"/>
  <c r="B70" i="28"/>
  <c r="E72" i="28"/>
  <c r="D72" i="28"/>
  <c r="C72" i="28"/>
  <c r="B72" i="28"/>
  <c r="E74" i="28"/>
  <c r="D74" i="28"/>
  <c r="C74" i="28"/>
  <c r="B74" i="28"/>
  <c r="E76" i="28"/>
  <c r="D76" i="28"/>
  <c r="C76" i="28"/>
  <c r="B76" i="28"/>
  <c r="E78" i="28"/>
  <c r="D78" i="28"/>
  <c r="C78" i="28"/>
  <c r="B78" i="28"/>
  <c r="E80" i="28"/>
  <c r="D80" i="28"/>
  <c r="C80" i="28"/>
  <c r="B80" i="28"/>
  <c r="E82" i="28"/>
  <c r="D82" i="28"/>
  <c r="C82" i="28"/>
  <c r="B82" i="28"/>
  <c r="E84" i="28"/>
  <c r="D84" i="28"/>
  <c r="C84" i="28"/>
  <c r="B84" i="28"/>
  <c r="E86" i="28"/>
  <c r="D86" i="28"/>
  <c r="C86" i="28"/>
  <c r="B86" i="28"/>
  <c r="E106" i="28"/>
  <c r="D106" i="28"/>
  <c r="B106" i="28"/>
  <c r="E108" i="28"/>
  <c r="D108" i="28"/>
  <c r="B108" i="28"/>
  <c r="F110" i="28"/>
  <c r="E110" i="28"/>
  <c r="D110" i="28"/>
  <c r="B110" i="28"/>
  <c r="F112" i="28"/>
  <c r="E112" i="28"/>
  <c r="D112" i="28"/>
  <c r="B112" i="28"/>
  <c r="F114" i="28"/>
  <c r="E114" i="28"/>
  <c r="D114" i="28"/>
  <c r="B114" i="28"/>
  <c r="F116" i="28"/>
  <c r="E116" i="28"/>
  <c r="D116" i="28"/>
  <c r="B116" i="28"/>
  <c r="F118" i="28"/>
  <c r="E118" i="28"/>
  <c r="D118" i="28"/>
  <c r="B118" i="28"/>
  <c r="F120" i="28"/>
  <c r="E120" i="28"/>
  <c r="D120" i="28"/>
  <c r="B120" i="28"/>
  <c r="F122" i="28"/>
  <c r="E122" i="28"/>
  <c r="D122" i="28"/>
  <c r="B122" i="28"/>
  <c r="F124" i="28"/>
  <c r="E124" i="28"/>
  <c r="D124" i="28"/>
  <c r="B124" i="28"/>
  <c r="F126" i="28"/>
  <c r="E126" i="28"/>
  <c r="D126" i="28"/>
  <c r="B126" i="28"/>
  <c r="F128" i="28"/>
  <c r="E128" i="28"/>
  <c r="D128" i="28"/>
  <c r="B128" i="28"/>
  <c r="F130" i="28"/>
  <c r="E130" i="28"/>
  <c r="D130" i="28"/>
  <c r="B130" i="28"/>
  <c r="F132" i="28"/>
  <c r="E132" i="28"/>
  <c r="D132" i="28"/>
  <c r="B132" i="28"/>
  <c r="F134" i="28"/>
  <c r="E134" i="28"/>
  <c r="D134" i="28"/>
  <c r="B134" i="28"/>
  <c r="F136" i="28"/>
  <c r="E136" i="28"/>
  <c r="D136" i="28"/>
  <c r="B136" i="28"/>
  <c r="F138" i="28"/>
  <c r="E138" i="28"/>
  <c r="D138" i="28"/>
  <c r="B138" i="28"/>
  <c r="F140" i="28"/>
  <c r="E140" i="28"/>
  <c r="D140" i="28"/>
  <c r="B140" i="28"/>
  <c r="F142" i="28"/>
  <c r="E142" i="28"/>
  <c r="D142" i="28"/>
  <c r="B142" i="28"/>
  <c r="F144" i="28"/>
  <c r="E144" i="28"/>
  <c r="D144" i="28"/>
  <c r="B144" i="28"/>
  <c r="F146" i="28"/>
  <c r="E146" i="28"/>
  <c r="D146" i="28"/>
  <c r="B146" i="28"/>
  <c r="F148" i="28"/>
  <c r="E148" i="28"/>
  <c r="D148" i="28"/>
  <c r="B148" i="28"/>
  <c r="E169" i="28"/>
  <c r="D169" i="28"/>
  <c r="B169" i="28"/>
  <c r="E171" i="28"/>
  <c r="D171" i="28"/>
  <c r="B171" i="28"/>
  <c r="F173" i="28"/>
  <c r="E173" i="28"/>
  <c r="D173" i="28"/>
  <c r="B173" i="28"/>
  <c r="F175" i="28"/>
  <c r="E175" i="28"/>
  <c r="D175" i="28"/>
  <c r="B175" i="28"/>
  <c r="F177" i="28"/>
  <c r="E177" i="28"/>
  <c r="D177" i="28"/>
  <c r="B177" i="28"/>
  <c r="F179" i="28"/>
  <c r="E179" i="28"/>
  <c r="D179" i="28"/>
  <c r="B179" i="28"/>
  <c r="F181" i="28"/>
  <c r="E181" i="28"/>
  <c r="D181" i="28"/>
  <c r="B181" i="28"/>
  <c r="F183" i="28"/>
  <c r="E183" i="28"/>
  <c r="D183" i="28"/>
  <c r="B183" i="28"/>
  <c r="F185" i="28"/>
  <c r="E185" i="28"/>
  <c r="D185" i="28"/>
  <c r="B185" i="28"/>
  <c r="F187" i="28"/>
  <c r="E187" i="28"/>
  <c r="D187" i="28"/>
  <c r="B187" i="28"/>
  <c r="F189" i="28"/>
  <c r="E189" i="28"/>
  <c r="D189" i="28"/>
  <c r="B189" i="28"/>
  <c r="F191" i="28"/>
  <c r="E191" i="28"/>
  <c r="D191" i="28"/>
  <c r="B191" i="28"/>
  <c r="F193" i="28"/>
  <c r="E193" i="28"/>
  <c r="D193" i="28"/>
  <c r="B193" i="28"/>
  <c r="F195" i="28"/>
  <c r="E195" i="28"/>
  <c r="D195" i="28"/>
  <c r="B195" i="28"/>
  <c r="F197" i="28"/>
  <c r="E197" i="28"/>
  <c r="D197" i="28"/>
  <c r="B197" i="28"/>
  <c r="F199" i="28"/>
  <c r="E199" i="28"/>
  <c r="D199" i="28"/>
  <c r="B199" i="28"/>
  <c r="F201" i="28"/>
  <c r="E201" i="28"/>
  <c r="D201" i="28"/>
  <c r="B201" i="28"/>
  <c r="F203" i="28"/>
  <c r="E203" i="28"/>
  <c r="D203" i="28"/>
  <c r="B203" i="28"/>
  <c r="F205" i="28"/>
  <c r="E205" i="28"/>
  <c r="D205" i="28"/>
  <c r="B205" i="28"/>
  <c r="F207" i="28"/>
  <c r="E207" i="28"/>
  <c r="D207" i="28"/>
  <c r="B207" i="28"/>
  <c r="F209" i="28"/>
  <c r="E209" i="28"/>
  <c r="D209" i="28"/>
  <c r="B209" i="28"/>
  <c r="F211" i="28"/>
  <c r="E211" i="28"/>
  <c r="D211" i="28"/>
  <c r="B211" i="28"/>
  <c r="P231" i="28"/>
  <c r="O231" i="28" s="1"/>
  <c r="H231" i="28"/>
  <c r="I231" i="28" s="1"/>
  <c r="F231" i="28"/>
  <c r="G231" i="28" s="1"/>
  <c r="E231" i="28"/>
  <c r="D231" i="28"/>
  <c r="B231" i="28"/>
  <c r="H233" i="28"/>
  <c r="I233" i="28" s="1"/>
  <c r="F233" i="28"/>
  <c r="G233" i="28" s="1"/>
  <c r="E233" i="28"/>
  <c r="D233" i="28"/>
  <c r="B233" i="28"/>
  <c r="S235" i="28"/>
  <c r="R235" i="28"/>
  <c r="Q235" i="28"/>
  <c r="P235" i="28"/>
  <c r="O235" i="28" s="1"/>
  <c r="M235" i="28"/>
  <c r="H235" i="28"/>
  <c r="I235" i="28" s="1"/>
  <c r="F235" i="28"/>
  <c r="G235" i="28" s="1"/>
  <c r="E235" i="28"/>
  <c r="D235" i="28"/>
  <c r="B235" i="28"/>
  <c r="S237" i="28"/>
  <c r="R237" i="28"/>
  <c r="Q237" i="28"/>
  <c r="P237" i="28"/>
  <c r="O237" i="28" s="1"/>
  <c r="M237" i="28"/>
  <c r="H237" i="28"/>
  <c r="I237" i="28" s="1"/>
  <c r="F237" i="28"/>
  <c r="G237" i="28" s="1"/>
  <c r="E237" i="28"/>
  <c r="D237" i="28"/>
  <c r="B237" i="28"/>
  <c r="S239" i="28"/>
  <c r="R239" i="28"/>
  <c r="Q239" i="28"/>
  <c r="P239" i="28"/>
  <c r="O239" i="28" s="1"/>
  <c r="M239" i="28"/>
  <c r="H239" i="28"/>
  <c r="I239" i="28" s="1"/>
  <c r="F239" i="28"/>
  <c r="G239" i="28" s="1"/>
  <c r="E239" i="28"/>
  <c r="D239" i="28"/>
  <c r="B239" i="28"/>
  <c r="S241" i="28"/>
  <c r="R241" i="28"/>
  <c r="Q241" i="28"/>
  <c r="P241" i="28"/>
  <c r="O241" i="28" s="1"/>
  <c r="M241" i="28"/>
  <c r="H241" i="28"/>
  <c r="I241" i="28" s="1"/>
  <c r="F241" i="28"/>
  <c r="G241" i="28" s="1"/>
  <c r="E241" i="28"/>
  <c r="D241" i="28"/>
  <c r="B241" i="28"/>
  <c r="S243" i="28"/>
  <c r="R243" i="28"/>
  <c r="Q243" i="28"/>
  <c r="P243" i="28"/>
  <c r="O243" i="28" s="1"/>
  <c r="M243" i="28"/>
  <c r="H243" i="28"/>
  <c r="I243" i="28" s="1"/>
  <c r="F243" i="28"/>
  <c r="G243" i="28" s="1"/>
  <c r="E243" i="28"/>
  <c r="D243" i="28"/>
  <c r="B243" i="28"/>
  <c r="S245" i="28"/>
  <c r="R245" i="28"/>
  <c r="Q245" i="28"/>
  <c r="P245" i="28"/>
  <c r="O245" i="28" s="1"/>
  <c r="M245" i="28"/>
  <c r="H245" i="28"/>
  <c r="I245" i="28" s="1"/>
  <c r="F245" i="28"/>
  <c r="G245" i="28" s="1"/>
  <c r="E245" i="28"/>
  <c r="D245" i="28"/>
  <c r="B245" i="28"/>
  <c r="S247" i="28"/>
  <c r="R247" i="28"/>
  <c r="Q247" i="28"/>
  <c r="P247" i="28"/>
  <c r="O247" i="28" s="1"/>
  <c r="M247" i="28"/>
  <c r="H247" i="28"/>
  <c r="I247" i="28" s="1"/>
  <c r="F247" i="28"/>
  <c r="G247" i="28" s="1"/>
  <c r="E247" i="28"/>
  <c r="D247" i="28"/>
  <c r="B247" i="28"/>
  <c r="S249" i="28"/>
  <c r="R249" i="28"/>
  <c r="Q249" i="28"/>
  <c r="P249" i="28"/>
  <c r="O249" i="28" s="1"/>
  <c r="M249" i="28"/>
  <c r="H249" i="28"/>
  <c r="I249" i="28" s="1"/>
  <c r="F249" i="28"/>
  <c r="G249" i="28" s="1"/>
  <c r="E249" i="28"/>
  <c r="D249" i="28"/>
  <c r="B249" i="28"/>
  <c r="S251" i="28"/>
  <c r="R251" i="28"/>
  <c r="Q251" i="28"/>
  <c r="P251" i="28"/>
  <c r="O251" i="28" s="1"/>
  <c r="M251" i="28"/>
  <c r="H251" i="28"/>
  <c r="I251" i="28" s="1"/>
  <c r="F251" i="28"/>
  <c r="G251" i="28" s="1"/>
  <c r="E251" i="28"/>
  <c r="D251" i="28"/>
  <c r="B251" i="28"/>
  <c r="S253" i="28"/>
  <c r="R253" i="28"/>
  <c r="Q253" i="28"/>
  <c r="P253" i="28"/>
  <c r="O253" i="28" s="1"/>
  <c r="M253" i="28"/>
  <c r="H253" i="28"/>
  <c r="I253" i="28" s="1"/>
  <c r="F253" i="28"/>
  <c r="G253" i="28" s="1"/>
  <c r="E253" i="28"/>
  <c r="D253" i="28"/>
  <c r="B253" i="28"/>
  <c r="S255" i="28"/>
  <c r="R255" i="28"/>
  <c r="Q255" i="28"/>
  <c r="P255" i="28"/>
  <c r="O255" i="28" s="1"/>
  <c r="M255" i="28"/>
  <c r="H255" i="28"/>
  <c r="I255" i="28" s="1"/>
  <c r="F255" i="28"/>
  <c r="G255" i="28" s="1"/>
  <c r="E255" i="28"/>
  <c r="D255" i="28"/>
  <c r="B255" i="28"/>
  <c r="S257" i="28"/>
  <c r="R257" i="28"/>
  <c r="Q257" i="28"/>
  <c r="P257" i="28"/>
  <c r="O257" i="28" s="1"/>
  <c r="M257" i="28"/>
  <c r="H257" i="28"/>
  <c r="I257" i="28" s="1"/>
  <c r="F257" i="28"/>
  <c r="G257" i="28" s="1"/>
  <c r="E257" i="28"/>
  <c r="D257" i="28"/>
  <c r="B257" i="28"/>
  <c r="S259" i="28"/>
  <c r="R259" i="28"/>
  <c r="Q259" i="28"/>
  <c r="P259" i="28"/>
  <c r="O259" i="28" s="1"/>
  <c r="M259" i="28"/>
  <c r="H259" i="28"/>
  <c r="I259" i="28" s="1"/>
  <c r="F259" i="28"/>
  <c r="G259" i="28" s="1"/>
  <c r="E259" i="28"/>
  <c r="D259" i="28"/>
  <c r="B259" i="28"/>
  <c r="S261" i="28"/>
  <c r="R261" i="28"/>
  <c r="Q261" i="28"/>
  <c r="P261" i="28"/>
  <c r="O261" i="28" s="1"/>
  <c r="M261" i="28"/>
  <c r="H261" i="28"/>
  <c r="I261" i="28" s="1"/>
  <c r="F261" i="28"/>
  <c r="G261" i="28" s="1"/>
  <c r="E261" i="28"/>
  <c r="D261" i="28"/>
  <c r="B261" i="28"/>
  <c r="S263" i="28"/>
  <c r="R263" i="28"/>
  <c r="Q263" i="28"/>
  <c r="P263" i="28"/>
  <c r="O263" i="28" s="1"/>
  <c r="M263" i="28"/>
  <c r="H263" i="28"/>
  <c r="I263" i="28" s="1"/>
  <c r="F263" i="28"/>
  <c r="G263" i="28" s="1"/>
  <c r="E263" i="28"/>
  <c r="D263" i="28"/>
  <c r="B263" i="28"/>
  <c r="S265" i="28"/>
  <c r="R265" i="28"/>
  <c r="Q265" i="28"/>
  <c r="P265" i="28"/>
  <c r="O265" i="28" s="1"/>
  <c r="M265" i="28"/>
  <c r="H265" i="28"/>
  <c r="I265" i="28" s="1"/>
  <c r="F265" i="28"/>
  <c r="G265" i="28" s="1"/>
  <c r="E265" i="28"/>
  <c r="D265" i="28"/>
  <c r="B265" i="28"/>
  <c r="S267" i="28"/>
  <c r="R267" i="28"/>
  <c r="Q267" i="28"/>
  <c r="P267" i="28"/>
  <c r="O267" i="28" s="1"/>
  <c r="M267" i="28"/>
  <c r="H267" i="28"/>
  <c r="I267" i="28" s="1"/>
  <c r="F267" i="28"/>
  <c r="G267" i="28" s="1"/>
  <c r="E267" i="28"/>
  <c r="D267" i="28"/>
  <c r="B267" i="28"/>
  <c r="S269" i="28"/>
  <c r="R269" i="28"/>
  <c r="Q269" i="28"/>
  <c r="P269" i="28"/>
  <c r="O269" i="28" s="1"/>
  <c r="M269" i="28"/>
  <c r="H269" i="28"/>
  <c r="I269" i="28" s="1"/>
  <c r="F269" i="28"/>
  <c r="G269" i="28" s="1"/>
  <c r="E269" i="28"/>
  <c r="D269" i="28"/>
  <c r="B269" i="28"/>
  <c r="S271" i="28"/>
  <c r="R271" i="28"/>
  <c r="Q271" i="28"/>
  <c r="P271" i="28"/>
  <c r="O271" i="28" s="1"/>
  <c r="M271" i="28"/>
  <c r="H271" i="28"/>
  <c r="I271" i="28" s="1"/>
  <c r="F271" i="28"/>
  <c r="G271" i="28" s="1"/>
  <c r="E271" i="28"/>
  <c r="D271" i="28"/>
  <c r="B271" i="28"/>
  <c r="S273" i="28"/>
  <c r="R273" i="28"/>
  <c r="Q273" i="28"/>
  <c r="P273" i="28"/>
  <c r="O273" i="28" s="1"/>
  <c r="M273" i="28"/>
  <c r="H273" i="28"/>
  <c r="I273" i="28" s="1"/>
  <c r="F273" i="28"/>
  <c r="G273" i="28" s="1"/>
  <c r="E273" i="28"/>
  <c r="D273" i="28"/>
  <c r="B273" i="28"/>
  <c r="E45" i="28"/>
  <c r="D45" i="28"/>
  <c r="I294" i="28" s="1"/>
  <c r="C45" i="28"/>
  <c r="H294" i="28" s="1"/>
  <c r="B45" i="28"/>
  <c r="E49" i="28"/>
  <c r="D49" i="28"/>
  <c r="I296" i="28" s="1"/>
  <c r="C49" i="28"/>
  <c r="H296" i="28" s="1"/>
  <c r="B49" i="28"/>
  <c r="E53" i="28"/>
  <c r="D53" i="28"/>
  <c r="C53" i="28"/>
  <c r="B53" i="28"/>
  <c r="E57" i="28"/>
  <c r="D57" i="28"/>
  <c r="C57" i="28"/>
  <c r="B57" i="28"/>
  <c r="E61" i="28"/>
  <c r="D61" i="28"/>
  <c r="C61" i="28"/>
  <c r="B61" i="28"/>
  <c r="E65" i="28"/>
  <c r="D65" i="28"/>
  <c r="C65" i="28"/>
  <c r="B65" i="28"/>
  <c r="E69" i="28"/>
  <c r="D69" i="28"/>
  <c r="C69" i="28"/>
  <c r="B69" i="28"/>
  <c r="E73" i="28"/>
  <c r="D73" i="28"/>
  <c r="C73" i="28"/>
  <c r="B73" i="28"/>
  <c r="E77" i="28"/>
  <c r="D77" i="28"/>
  <c r="C77" i="28"/>
  <c r="B77" i="28"/>
  <c r="E81" i="28"/>
  <c r="D81" i="28"/>
  <c r="C81" i="28"/>
  <c r="B81" i="28"/>
  <c r="E85" i="28"/>
  <c r="D85" i="28"/>
  <c r="C85" i="28"/>
  <c r="B85" i="28"/>
  <c r="E107" i="28"/>
  <c r="D107" i="28"/>
  <c r="B107" i="28"/>
  <c r="F111" i="28"/>
  <c r="E111" i="28"/>
  <c r="D111" i="28"/>
  <c r="B111" i="28"/>
  <c r="F115" i="28"/>
  <c r="E115" i="28"/>
  <c r="D115" i="28"/>
  <c r="B115" i="28"/>
  <c r="F119" i="28"/>
  <c r="E119" i="28"/>
  <c r="D119" i="28"/>
  <c r="B119" i="28"/>
  <c r="F123" i="28"/>
  <c r="E123" i="28"/>
  <c r="D123" i="28"/>
  <c r="B123" i="28"/>
  <c r="F127" i="28"/>
  <c r="E127" i="28"/>
  <c r="D127" i="28"/>
  <c r="B127" i="28"/>
  <c r="F131" i="28"/>
  <c r="E131" i="28"/>
  <c r="D131" i="28"/>
  <c r="B131" i="28"/>
  <c r="F135" i="28"/>
  <c r="E135" i="28"/>
  <c r="D135" i="28"/>
  <c r="B135" i="28"/>
  <c r="F139" i="28"/>
  <c r="E139" i="28"/>
  <c r="D139" i="28"/>
  <c r="B139" i="28"/>
  <c r="F143" i="28"/>
  <c r="E143" i="28"/>
  <c r="D143" i="28"/>
  <c r="B143" i="28"/>
  <c r="F147" i="28"/>
  <c r="E147" i="28"/>
  <c r="D147" i="28"/>
  <c r="B147" i="28"/>
  <c r="E170" i="28"/>
  <c r="D170" i="28"/>
  <c r="B170" i="28"/>
  <c r="F174" i="28"/>
  <c r="E174" i="28"/>
  <c r="D174" i="28"/>
  <c r="B174" i="28"/>
  <c r="F178" i="28"/>
  <c r="E178" i="28"/>
  <c r="D178" i="28"/>
  <c r="B178" i="28"/>
  <c r="F182" i="28"/>
  <c r="E182" i="28"/>
  <c r="D182" i="28"/>
  <c r="B182" i="28"/>
  <c r="F186" i="28"/>
  <c r="E186" i="28"/>
  <c r="D186" i="28"/>
  <c r="B186" i="28"/>
  <c r="F190" i="28"/>
  <c r="E190" i="28"/>
  <c r="D190" i="28"/>
  <c r="B190" i="28"/>
  <c r="F194" i="28"/>
  <c r="E194" i="28"/>
  <c r="D194" i="28"/>
  <c r="B194" i="28"/>
  <c r="F198" i="28"/>
  <c r="E198" i="28"/>
  <c r="D198" i="28"/>
  <c r="B198" i="28"/>
  <c r="F202" i="28"/>
  <c r="E202" i="28"/>
  <c r="D202" i="28"/>
  <c r="B202" i="28"/>
  <c r="F206" i="28"/>
  <c r="E206" i="28"/>
  <c r="D206" i="28"/>
  <c r="B206" i="28"/>
  <c r="F210" i="28"/>
  <c r="E210" i="28"/>
  <c r="D210" i="28"/>
  <c r="B210" i="28"/>
  <c r="P232" i="28"/>
  <c r="O232" i="28" s="1"/>
  <c r="H232" i="28"/>
  <c r="I232" i="28" s="1"/>
  <c r="F232" i="28"/>
  <c r="G232" i="28" s="1"/>
  <c r="E232" i="28"/>
  <c r="J294" i="28" s="1"/>
  <c r="D232" i="28"/>
  <c r="K294" i="28" s="1"/>
  <c r="B232" i="28"/>
  <c r="B294" i="28" s="1"/>
  <c r="S236" i="28"/>
  <c r="E296" i="28" s="1"/>
  <c r="R236" i="28"/>
  <c r="D296" i="28" s="1"/>
  <c r="Q236" i="28"/>
  <c r="P236" i="28"/>
  <c r="O236" i="28" s="1"/>
  <c r="M236" i="28"/>
  <c r="H236" i="28"/>
  <c r="I236" i="28" s="1"/>
  <c r="F236" i="28"/>
  <c r="G236" i="28" s="1"/>
  <c r="E236" i="28"/>
  <c r="J296" i="28" s="1"/>
  <c r="D236" i="28"/>
  <c r="K296" i="28" s="1"/>
  <c r="B236" i="28"/>
  <c r="B296" i="28" s="1"/>
  <c r="S240" i="28"/>
  <c r="R240" i="28"/>
  <c r="Q240" i="28"/>
  <c r="P240" i="28"/>
  <c r="O240" i="28" s="1"/>
  <c r="M240" i="28"/>
  <c r="H240" i="28"/>
  <c r="I240" i="28" s="1"/>
  <c r="F240" i="28"/>
  <c r="G240" i="28" s="1"/>
  <c r="E240" i="28"/>
  <c r="D240" i="28"/>
  <c r="B240" i="28"/>
  <c r="S244" i="28"/>
  <c r="R244" i="28"/>
  <c r="Q244" i="28"/>
  <c r="P244" i="28"/>
  <c r="O244" i="28" s="1"/>
  <c r="M244" i="28"/>
  <c r="H244" i="28"/>
  <c r="I244" i="28" s="1"/>
  <c r="F244" i="28"/>
  <c r="G244" i="28" s="1"/>
  <c r="E244" i="28"/>
  <c r="D244" i="28"/>
  <c r="B244" i="28"/>
  <c r="S248" i="28"/>
  <c r="R248" i="28"/>
  <c r="Q248" i="28"/>
  <c r="P248" i="28"/>
  <c r="O248" i="28" s="1"/>
  <c r="M248" i="28"/>
  <c r="H248" i="28"/>
  <c r="I248" i="28" s="1"/>
  <c r="F248" i="28"/>
  <c r="G248" i="28" s="1"/>
  <c r="E248" i="28"/>
  <c r="D248" i="28"/>
  <c r="B248" i="28"/>
  <c r="S252" i="28"/>
  <c r="R252" i="28"/>
  <c r="Q252" i="28"/>
  <c r="P252" i="28"/>
  <c r="O252" i="28" s="1"/>
  <c r="M252" i="28"/>
  <c r="H252" i="28"/>
  <c r="I252" i="28" s="1"/>
  <c r="F252" i="28"/>
  <c r="G252" i="28" s="1"/>
  <c r="E252" i="28"/>
  <c r="D252" i="28"/>
  <c r="B252" i="28"/>
  <c r="S256" i="28"/>
  <c r="R256" i="28"/>
  <c r="Q256" i="28"/>
  <c r="P256" i="28"/>
  <c r="O256" i="28" s="1"/>
  <c r="M256" i="28"/>
  <c r="H256" i="28"/>
  <c r="I256" i="28" s="1"/>
  <c r="F256" i="28"/>
  <c r="G256" i="28" s="1"/>
  <c r="E256" i="28"/>
  <c r="D256" i="28"/>
  <c r="B256" i="28"/>
  <c r="S260" i="28"/>
  <c r="R260" i="28"/>
  <c r="Q260" i="28"/>
  <c r="P260" i="28"/>
  <c r="O260" i="28" s="1"/>
  <c r="M260" i="28"/>
  <c r="H260" i="28"/>
  <c r="I260" i="28" s="1"/>
  <c r="F260" i="28"/>
  <c r="G260" i="28" s="1"/>
  <c r="E260" i="28"/>
  <c r="D260" i="28"/>
  <c r="B260" i="28"/>
  <c r="S264" i="28"/>
  <c r="R264" i="28"/>
  <c r="Q264" i="28"/>
  <c r="P264" i="28"/>
  <c r="O264" i="28" s="1"/>
  <c r="M264" i="28"/>
  <c r="H264" i="28"/>
  <c r="I264" i="28" s="1"/>
  <c r="F264" i="28"/>
  <c r="G264" i="28" s="1"/>
  <c r="E264" i="28"/>
  <c r="D264" i="28"/>
  <c r="B264" i="28"/>
  <c r="S268" i="28"/>
  <c r="R268" i="28"/>
  <c r="Q268" i="28"/>
  <c r="P268" i="28"/>
  <c r="O268" i="28" s="1"/>
  <c r="M268" i="28"/>
  <c r="H268" i="28"/>
  <c r="I268" i="28" s="1"/>
  <c r="F268" i="28"/>
  <c r="G268" i="28" s="1"/>
  <c r="E268" i="28"/>
  <c r="D268" i="28"/>
  <c r="B268" i="28"/>
  <c r="S272" i="28"/>
  <c r="R272" i="28"/>
  <c r="Q272" i="28"/>
  <c r="P272" i="28"/>
  <c r="O272" i="28" s="1"/>
  <c r="M272" i="28"/>
  <c r="H272" i="28"/>
  <c r="I272" i="28" s="1"/>
  <c r="F272" i="28"/>
  <c r="G272" i="28" s="1"/>
  <c r="E272" i="28"/>
  <c r="D272" i="28"/>
  <c r="B272" i="28"/>
  <c r="E47" i="28"/>
  <c r="D47" i="28"/>
  <c r="I295" i="28" s="1"/>
  <c r="C47" i="28"/>
  <c r="H295" i="28" s="1"/>
  <c r="B47" i="28"/>
  <c r="E51" i="28"/>
  <c r="D51" i="28"/>
  <c r="C51" i="28"/>
  <c r="B51" i="28"/>
  <c r="E55" i="28"/>
  <c r="D55" i="28"/>
  <c r="C55" i="28"/>
  <c r="B55" i="28"/>
  <c r="E59" i="28"/>
  <c r="D59" i="28"/>
  <c r="C59" i="28"/>
  <c r="B59" i="28"/>
  <c r="E63" i="28"/>
  <c r="D63" i="28"/>
  <c r="C63" i="28"/>
  <c r="B63" i="28"/>
  <c r="E67" i="28"/>
  <c r="D67" i="28"/>
  <c r="C67" i="28"/>
  <c r="B67" i="28"/>
  <c r="E71" i="28"/>
  <c r="D71" i="28"/>
  <c r="C71" i="28"/>
  <c r="B71" i="28"/>
  <c r="E75" i="28"/>
  <c r="D75" i="28"/>
  <c r="C75" i="28"/>
  <c r="B75" i="28"/>
  <c r="E79" i="28"/>
  <c r="D79" i="28"/>
  <c r="C79" i="28"/>
  <c r="B79" i="28"/>
  <c r="E83" i="28"/>
  <c r="D83" i="28"/>
  <c r="C83" i="28"/>
  <c r="B83" i="28"/>
  <c r="F109" i="28"/>
  <c r="E109" i="28"/>
  <c r="D109" i="28"/>
  <c r="B109" i="28"/>
  <c r="F113" i="28"/>
  <c r="E113" i="28"/>
  <c r="D113" i="28"/>
  <c r="B113" i="28"/>
  <c r="F117" i="28"/>
  <c r="E117" i="28"/>
  <c r="D117" i="28"/>
  <c r="B117" i="28"/>
  <c r="F121" i="28"/>
  <c r="E121" i="28"/>
  <c r="D121" i="28"/>
  <c r="B121" i="28"/>
  <c r="F125" i="28"/>
  <c r="E125" i="28"/>
  <c r="D125" i="28"/>
  <c r="B125" i="28"/>
  <c r="F129" i="28"/>
  <c r="E129" i="28"/>
  <c r="D129" i="28"/>
  <c r="B129" i="28"/>
  <c r="F133" i="28"/>
  <c r="E133" i="28"/>
  <c r="D133" i="28"/>
  <c r="B133" i="28"/>
  <c r="F137" i="28"/>
  <c r="E137" i="28"/>
  <c r="D137" i="28"/>
  <c r="B137" i="28"/>
  <c r="F141" i="28"/>
  <c r="E141" i="28"/>
  <c r="D141" i="28"/>
  <c r="B141" i="28"/>
  <c r="F145" i="28"/>
  <c r="E145" i="28"/>
  <c r="D145" i="28"/>
  <c r="B145" i="28"/>
  <c r="F172" i="28"/>
  <c r="E172" i="28"/>
  <c r="D172" i="28"/>
  <c r="B172" i="28"/>
  <c r="F176" i="28"/>
  <c r="E176" i="28"/>
  <c r="D176" i="28"/>
  <c r="B176" i="28"/>
  <c r="F180" i="28"/>
  <c r="E180" i="28"/>
  <c r="D180" i="28"/>
  <c r="B180" i="28"/>
  <c r="F184" i="28"/>
  <c r="E184" i="28"/>
  <c r="D184" i="28"/>
  <c r="B184" i="28"/>
  <c r="F188" i="28"/>
  <c r="E188" i="28"/>
  <c r="D188" i="28"/>
  <c r="B188" i="28"/>
  <c r="F192" i="28"/>
  <c r="E192" i="28"/>
  <c r="D192" i="28"/>
  <c r="B192" i="28"/>
  <c r="F196" i="28"/>
  <c r="E196" i="28"/>
  <c r="D196" i="28"/>
  <c r="B196" i="28"/>
  <c r="F200" i="28"/>
  <c r="E200" i="28"/>
  <c r="D200" i="28"/>
  <c r="B200" i="28"/>
  <c r="F204" i="28"/>
  <c r="E204" i="28"/>
  <c r="D204" i="28"/>
  <c r="B204" i="28"/>
  <c r="F208" i="28"/>
  <c r="E208" i="28"/>
  <c r="D208" i="28"/>
  <c r="B208" i="28"/>
  <c r="S234" i="28"/>
  <c r="E295" i="28" s="1"/>
  <c r="R234" i="28"/>
  <c r="D295" i="28" s="1"/>
  <c r="Q234" i="28"/>
  <c r="P234" i="28"/>
  <c r="O234" i="28" s="1"/>
  <c r="M234" i="28"/>
  <c r="H234" i="28"/>
  <c r="I234" i="28" s="1"/>
  <c r="F234" i="28"/>
  <c r="G234" i="28" s="1"/>
  <c r="E234" i="28"/>
  <c r="J295" i="28" s="1"/>
  <c r="D234" i="28"/>
  <c r="K295" i="28" s="1"/>
  <c r="B234" i="28"/>
  <c r="B295" i="28" s="1"/>
  <c r="S238" i="28"/>
  <c r="R238" i="28"/>
  <c r="Q238" i="28"/>
  <c r="P238" i="28"/>
  <c r="O238" i="28" s="1"/>
  <c r="M238" i="28"/>
  <c r="H238" i="28"/>
  <c r="I238" i="28" s="1"/>
  <c r="F238" i="28"/>
  <c r="G238" i="28" s="1"/>
  <c r="E238" i="28"/>
  <c r="D238" i="28"/>
  <c r="B238" i="28"/>
  <c r="S242" i="28"/>
  <c r="R242" i="28"/>
  <c r="Q242" i="28"/>
  <c r="P242" i="28"/>
  <c r="O242" i="28" s="1"/>
  <c r="M242" i="28"/>
  <c r="H242" i="28"/>
  <c r="I242" i="28" s="1"/>
  <c r="F242" i="28"/>
  <c r="G242" i="28" s="1"/>
  <c r="E242" i="28"/>
  <c r="D242" i="28"/>
  <c r="B242" i="28"/>
  <c r="S246" i="28"/>
  <c r="R246" i="28"/>
  <c r="Q246" i="28"/>
  <c r="P246" i="28"/>
  <c r="O246" i="28" s="1"/>
  <c r="M246" i="28"/>
  <c r="H246" i="28"/>
  <c r="I246" i="28" s="1"/>
  <c r="F246" i="28"/>
  <c r="G246" i="28" s="1"/>
  <c r="E246" i="28"/>
  <c r="D246" i="28"/>
  <c r="B246" i="28"/>
  <c r="S250" i="28"/>
  <c r="R250" i="28"/>
  <c r="Q250" i="28"/>
  <c r="P250" i="28"/>
  <c r="O250" i="28" s="1"/>
  <c r="M250" i="28"/>
  <c r="H250" i="28"/>
  <c r="I250" i="28" s="1"/>
  <c r="F250" i="28"/>
  <c r="G250" i="28" s="1"/>
  <c r="E250" i="28"/>
  <c r="D250" i="28"/>
  <c r="B250" i="28"/>
  <c r="S254" i="28"/>
  <c r="R254" i="28"/>
  <c r="Q254" i="28"/>
  <c r="P254" i="28"/>
  <c r="O254" i="28" s="1"/>
  <c r="M254" i="28"/>
  <c r="H254" i="28"/>
  <c r="I254" i="28" s="1"/>
  <c r="F254" i="28"/>
  <c r="G254" i="28" s="1"/>
  <c r="E254" i="28"/>
  <c r="D254" i="28"/>
  <c r="B254" i="28"/>
  <c r="S258" i="28"/>
  <c r="R258" i="28"/>
  <c r="Q258" i="28"/>
  <c r="P258" i="28"/>
  <c r="O258" i="28" s="1"/>
  <c r="M258" i="28"/>
  <c r="H258" i="28"/>
  <c r="I258" i="28" s="1"/>
  <c r="F258" i="28"/>
  <c r="G258" i="28" s="1"/>
  <c r="E258" i="28"/>
  <c r="D258" i="28"/>
  <c r="B258" i="28"/>
  <c r="S262" i="28"/>
  <c r="R262" i="28"/>
  <c r="Q262" i="28"/>
  <c r="P262" i="28"/>
  <c r="O262" i="28" s="1"/>
  <c r="M262" i="28"/>
  <c r="H262" i="28"/>
  <c r="I262" i="28" s="1"/>
  <c r="F262" i="28"/>
  <c r="G262" i="28" s="1"/>
  <c r="E262" i="28"/>
  <c r="D262" i="28"/>
  <c r="B262" i="28"/>
  <c r="S266" i="28"/>
  <c r="R266" i="28"/>
  <c r="Q266" i="28"/>
  <c r="P266" i="28"/>
  <c r="O266" i="28" s="1"/>
  <c r="M266" i="28"/>
  <c r="H266" i="28"/>
  <c r="I266" i="28" s="1"/>
  <c r="F266" i="28"/>
  <c r="G266" i="28" s="1"/>
  <c r="E266" i="28"/>
  <c r="D266" i="28"/>
  <c r="B266" i="28"/>
  <c r="S270" i="28"/>
  <c r="R270" i="28"/>
  <c r="Q270" i="28"/>
  <c r="P270" i="28"/>
  <c r="O270" i="28" s="1"/>
  <c r="M270" i="28"/>
  <c r="H270" i="28"/>
  <c r="I270" i="28" s="1"/>
  <c r="F270" i="28"/>
  <c r="G270" i="28" s="1"/>
  <c r="E270" i="28"/>
  <c r="D270" i="28"/>
  <c r="B270" i="28"/>
  <c r="H1" i="8"/>
  <c r="I1" i="8" s="1"/>
  <c r="J1" i="8" s="1"/>
  <c r="K1" i="8" s="1"/>
  <c r="L1" i="8" s="1"/>
  <c r="L4" i="24" l="1"/>
  <c r="M232" i="28"/>
  <c r="P233" i="28"/>
  <c r="O233" i="28" s="1"/>
  <c r="H5" i="24"/>
  <c r="M231" i="28"/>
  <c r="M233" i="28"/>
  <c r="L5" i="24"/>
  <c r="C169" i="28"/>
  <c r="C171" i="28"/>
  <c r="T241" i="28"/>
  <c r="N237" i="28"/>
  <c r="J231" i="28"/>
  <c r="K231" i="28" s="1"/>
  <c r="C231" i="28"/>
  <c r="J235" i="28"/>
  <c r="K235" i="28" s="1"/>
  <c r="J233" i="28"/>
  <c r="K233" i="28" s="1"/>
  <c r="J237" i="28"/>
  <c r="K237" i="28" s="1"/>
  <c r="T235" i="28"/>
  <c r="N235" i="28"/>
  <c r="C233" i="28"/>
  <c r="T237" i="28"/>
  <c r="T239" i="28"/>
  <c r="J243" i="28"/>
  <c r="K243" i="28" s="1"/>
  <c r="J239" i="28"/>
  <c r="K239" i="28" s="1"/>
  <c r="N239" i="28"/>
  <c r="J241" i="28"/>
  <c r="K241" i="28" s="1"/>
  <c r="T243" i="28"/>
  <c r="N241" i="28"/>
  <c r="T245" i="28"/>
  <c r="N243" i="28"/>
  <c r="J245" i="28"/>
  <c r="K245" i="28" s="1"/>
  <c r="T247" i="28"/>
  <c r="N245" i="28"/>
  <c r="J247" i="28"/>
  <c r="K247" i="28" s="1"/>
  <c r="T249" i="28"/>
  <c r="N247" i="28"/>
  <c r="T251" i="28"/>
  <c r="J249" i="28"/>
  <c r="K249" i="28" s="1"/>
  <c r="T253" i="28"/>
  <c r="N251" i="28"/>
  <c r="J253" i="28"/>
  <c r="K253" i="28" s="1"/>
  <c r="N249" i="28"/>
  <c r="J251" i="28"/>
  <c r="K251" i="28" s="1"/>
  <c r="T255" i="28"/>
  <c r="N253" i="28"/>
  <c r="T261" i="28"/>
  <c r="N255" i="28"/>
  <c r="J255" i="28"/>
  <c r="K255" i="28" s="1"/>
  <c r="T257" i="28"/>
  <c r="T259" i="28"/>
  <c r="J257" i="28"/>
  <c r="K257" i="28" s="1"/>
  <c r="J261" i="28"/>
  <c r="K261" i="28" s="1"/>
  <c r="N257" i="28"/>
  <c r="J259" i="28"/>
  <c r="K259" i="28" s="1"/>
  <c r="T271" i="28"/>
  <c r="N259" i="28"/>
  <c r="J265" i="28"/>
  <c r="K265" i="28" s="1"/>
  <c r="T263" i="28"/>
  <c r="N261" i="28"/>
  <c r="J263" i="28"/>
  <c r="K263" i="28" s="1"/>
  <c r="N273" i="28"/>
  <c r="T265" i="28"/>
  <c r="N263" i="28"/>
  <c r="T269" i="28"/>
  <c r="J267" i="28"/>
  <c r="K267" i="28" s="1"/>
  <c r="N267" i="28"/>
  <c r="N265" i="28"/>
  <c r="T267" i="28"/>
  <c r="J269" i="28"/>
  <c r="K269" i="28" s="1"/>
  <c r="J271" i="28"/>
  <c r="K271" i="28" s="1"/>
  <c r="N271" i="28"/>
  <c r="N269" i="28"/>
  <c r="T273" i="28"/>
  <c r="J273" i="28"/>
  <c r="K273" i="28" s="1"/>
  <c r="C170" i="28"/>
  <c r="N240" i="28"/>
  <c r="N244" i="28"/>
  <c r="J232" i="28"/>
  <c r="K232" i="28" s="1"/>
  <c r="N236" i="28"/>
  <c r="C232" i="28"/>
  <c r="C294" i="28" s="1"/>
  <c r="J236" i="28"/>
  <c r="K236" i="28" s="1"/>
  <c r="T236" i="28"/>
  <c r="F296" i="28" s="1"/>
  <c r="T244" i="28"/>
  <c r="T240" i="28"/>
  <c r="N256" i="28"/>
  <c r="J240" i="28"/>
  <c r="K240" i="28" s="1"/>
  <c r="J244" i="28"/>
  <c r="K244" i="28" s="1"/>
  <c r="T248" i="28"/>
  <c r="J248" i="28"/>
  <c r="K248" i="28" s="1"/>
  <c r="N252" i="28"/>
  <c r="T252" i="28"/>
  <c r="N248" i="28"/>
  <c r="J252" i="28"/>
  <c r="K252" i="28" s="1"/>
  <c r="N264" i="28"/>
  <c r="T256" i="28"/>
  <c r="J256" i="28"/>
  <c r="K256" i="28" s="1"/>
  <c r="N268" i="28"/>
  <c r="T260" i="28"/>
  <c r="J260" i="28"/>
  <c r="K260" i="28" s="1"/>
  <c r="N272" i="28"/>
  <c r="T264" i="28"/>
  <c r="N260" i="28"/>
  <c r="T268" i="28"/>
  <c r="J264" i="28"/>
  <c r="K264" i="28" s="1"/>
  <c r="J268" i="28"/>
  <c r="K268" i="28" s="1"/>
  <c r="T272" i="28"/>
  <c r="J272" i="28"/>
  <c r="K272" i="28" s="1"/>
  <c r="J234" i="28"/>
  <c r="K234" i="28" s="1"/>
  <c r="T242" i="28"/>
  <c r="N234" i="28"/>
  <c r="T234" i="28"/>
  <c r="F295" i="28" s="1"/>
  <c r="T238" i="28"/>
  <c r="N238" i="28"/>
  <c r="T246" i="28"/>
  <c r="J238" i="28"/>
  <c r="K238" i="28" s="1"/>
  <c r="T250" i="28"/>
  <c r="N242" i="28"/>
  <c r="J242" i="28"/>
  <c r="K242" i="28" s="1"/>
  <c r="N246" i="28"/>
  <c r="T254" i="28"/>
  <c r="T258" i="28"/>
  <c r="J246" i="28"/>
  <c r="K246" i="28" s="1"/>
  <c r="N250" i="28"/>
  <c r="N254" i="28"/>
  <c r="J250" i="28"/>
  <c r="K250" i="28" s="1"/>
  <c r="T262" i="28"/>
  <c r="J254" i="28"/>
  <c r="K254" i="28" s="1"/>
  <c r="N258" i="28"/>
  <c r="T266" i="28"/>
  <c r="J258" i="28"/>
  <c r="K258" i="28" s="1"/>
  <c r="N262" i="28"/>
  <c r="J262" i="28"/>
  <c r="K262" i="28" s="1"/>
  <c r="N266" i="28"/>
  <c r="J266" i="28"/>
  <c r="K266" i="28" s="1"/>
  <c r="J270" i="28"/>
  <c r="K270" i="28" s="1"/>
  <c r="N270" i="28"/>
  <c r="T270" i="28"/>
  <c r="M1" i="8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I29" i="16"/>
  <c r="J29" i="16"/>
  <c r="L29" i="16" s="1"/>
  <c r="I30" i="16"/>
  <c r="J30" i="16"/>
  <c r="L30" i="16" s="1"/>
  <c r="I32" i="16"/>
  <c r="J32" i="16"/>
  <c r="L32" i="16" s="1"/>
  <c r="I33" i="16"/>
  <c r="J33" i="16"/>
  <c r="L33" i="16" s="1"/>
  <c r="I34" i="16"/>
  <c r="K34" i="16" s="1"/>
  <c r="J34" i="16"/>
  <c r="L34" i="16" s="1"/>
  <c r="F33" i="16"/>
  <c r="E33" i="16"/>
  <c r="D33" i="16"/>
  <c r="F32" i="16"/>
  <c r="E32" i="16"/>
  <c r="D32" i="16"/>
  <c r="K32" i="16" s="1"/>
  <c r="F31" i="16"/>
  <c r="E31" i="16"/>
  <c r="D31" i="16"/>
  <c r="F30" i="16"/>
  <c r="E30" i="16"/>
  <c r="D30" i="16"/>
  <c r="F29" i="16"/>
  <c r="E29" i="16"/>
  <c r="D29" i="16"/>
  <c r="K29" i="16" s="1"/>
  <c r="F28" i="16"/>
  <c r="E28" i="16"/>
  <c r="D28" i="16"/>
  <c r="D27" i="16"/>
  <c r="K27" i="16" s="1"/>
  <c r="V8" i="8"/>
  <c r="U8" i="8"/>
  <c r="T8" i="8"/>
  <c r="V7" i="8"/>
  <c r="K5" i="24" s="1"/>
  <c r="U7" i="8"/>
  <c r="T7" i="8"/>
  <c r="V6" i="8"/>
  <c r="U6" i="8"/>
  <c r="T6" i="8"/>
  <c r="D7" i="16"/>
  <c r="D8" i="16"/>
  <c r="D9" i="16"/>
  <c r="D10" i="16"/>
  <c r="D11" i="16"/>
  <c r="D12" i="16"/>
  <c r="D13" i="16"/>
  <c r="D6" i="16"/>
  <c r="E7" i="16"/>
  <c r="G7" i="16" s="1"/>
  <c r="F7" i="16"/>
  <c r="H7" i="16" s="1"/>
  <c r="E8" i="16"/>
  <c r="G8" i="16" s="1"/>
  <c r="F8" i="16"/>
  <c r="H8" i="16" s="1"/>
  <c r="E9" i="16"/>
  <c r="G9" i="16" s="1"/>
  <c r="F9" i="16"/>
  <c r="E10" i="16"/>
  <c r="G10" i="16" s="1"/>
  <c r="F10" i="16"/>
  <c r="H10" i="16" s="1"/>
  <c r="E11" i="16"/>
  <c r="G11" i="16" s="1"/>
  <c r="F11" i="16"/>
  <c r="H11" i="16" s="1"/>
  <c r="E12" i="16"/>
  <c r="I12" i="16" s="1"/>
  <c r="F12" i="16"/>
  <c r="H12" i="16" s="1"/>
  <c r="E13" i="16"/>
  <c r="G13" i="16" s="1"/>
  <c r="F13" i="16"/>
  <c r="H13" i="16" s="1"/>
  <c r="AN8" i="8" l="1"/>
  <c r="Y6" i="24" s="1"/>
  <c r="K6" i="24"/>
  <c r="Q231" i="28"/>
  <c r="K4" i="24"/>
  <c r="AN7" i="8"/>
  <c r="Y5" i="24" s="1"/>
  <c r="Q233" i="28"/>
  <c r="AN6" i="8"/>
  <c r="Y4" i="24" s="1"/>
  <c r="Q232" i="28"/>
  <c r="F6" i="16"/>
  <c r="H6" i="16" s="1"/>
  <c r="E27" i="16"/>
  <c r="F27" i="16"/>
  <c r="E6" i="16"/>
  <c r="G6" i="16" s="1"/>
  <c r="X6" i="8"/>
  <c r="G12" i="16"/>
  <c r="J12" i="16" s="1"/>
  <c r="L12" i="16" s="1"/>
  <c r="K33" i="16"/>
  <c r="K12" i="16"/>
  <c r="H9" i="16"/>
  <c r="J9" i="16" s="1"/>
  <c r="L9" i="16" s="1"/>
  <c r="K30" i="16"/>
  <c r="J13" i="16"/>
  <c r="L13" i="16" s="1"/>
  <c r="I13" i="16"/>
  <c r="K13" i="16" s="1"/>
  <c r="J11" i="16"/>
  <c r="L11" i="16" s="1"/>
  <c r="I9" i="16"/>
  <c r="K9" i="16" s="1"/>
  <c r="I8" i="16"/>
  <c r="K8" i="16" s="1"/>
  <c r="J8" i="16"/>
  <c r="L8" i="16" s="1"/>
  <c r="I11" i="16"/>
  <c r="K11" i="16" s="1"/>
  <c r="X8" i="8"/>
  <c r="M6" i="24" s="1"/>
  <c r="X7" i="8"/>
  <c r="R6" i="1"/>
  <c r="R7" i="1"/>
  <c r="I2" i="30"/>
  <c r="J2" i="30"/>
  <c r="K2" i="30"/>
  <c r="L2" i="30"/>
  <c r="N2" i="30"/>
  <c r="I3" i="30"/>
  <c r="J3" i="30"/>
  <c r="K3" i="30"/>
  <c r="L3" i="30"/>
  <c r="N3" i="30"/>
  <c r="O3" i="30"/>
  <c r="P3" i="30"/>
  <c r="I4" i="30"/>
  <c r="J4" i="30"/>
  <c r="K4" i="30"/>
  <c r="L4" i="30"/>
  <c r="N4" i="30"/>
  <c r="O4" i="30"/>
  <c r="P4" i="30"/>
  <c r="I5" i="30"/>
  <c r="J5" i="30"/>
  <c r="K5" i="30"/>
  <c r="L5" i="30"/>
  <c r="N5" i="30"/>
  <c r="O5" i="30"/>
  <c r="P5" i="30"/>
  <c r="I6" i="30"/>
  <c r="J6" i="30"/>
  <c r="K6" i="30"/>
  <c r="L6" i="30"/>
  <c r="N6" i="30"/>
  <c r="O6" i="30"/>
  <c r="P6" i="30"/>
  <c r="I7" i="30"/>
  <c r="J7" i="30"/>
  <c r="K7" i="30"/>
  <c r="L7" i="30"/>
  <c r="N7" i="30"/>
  <c r="O7" i="30"/>
  <c r="P7" i="30"/>
  <c r="I8" i="30"/>
  <c r="J8" i="30"/>
  <c r="K8" i="30"/>
  <c r="L8" i="30"/>
  <c r="N8" i="30"/>
  <c r="O8" i="30"/>
  <c r="P8" i="30"/>
  <c r="I9" i="30"/>
  <c r="J9" i="30"/>
  <c r="K9" i="30"/>
  <c r="L9" i="30"/>
  <c r="N9" i="30"/>
  <c r="O9" i="30"/>
  <c r="P9" i="30"/>
  <c r="I10" i="30"/>
  <c r="J10" i="30"/>
  <c r="K10" i="30"/>
  <c r="L10" i="30"/>
  <c r="N10" i="30"/>
  <c r="O10" i="30"/>
  <c r="P10" i="30"/>
  <c r="I11" i="30"/>
  <c r="J11" i="30"/>
  <c r="K11" i="30"/>
  <c r="L11" i="30"/>
  <c r="N11" i="30"/>
  <c r="O11" i="30"/>
  <c r="P11" i="30"/>
  <c r="I12" i="30"/>
  <c r="J12" i="30"/>
  <c r="K12" i="30"/>
  <c r="L12" i="30"/>
  <c r="N12" i="30"/>
  <c r="O12" i="30"/>
  <c r="P12" i="30"/>
  <c r="H3" i="30"/>
  <c r="H4" i="30"/>
  <c r="H5" i="30"/>
  <c r="H6" i="30"/>
  <c r="H7" i="30"/>
  <c r="H8" i="30"/>
  <c r="H9" i="30"/>
  <c r="H10" i="30"/>
  <c r="H11" i="30"/>
  <c r="H12" i="30"/>
  <c r="H2" i="30"/>
  <c r="B3" i="30"/>
  <c r="B4" i="30"/>
  <c r="B5" i="30"/>
  <c r="B6" i="30"/>
  <c r="B7" i="30"/>
  <c r="B8" i="30"/>
  <c r="B9" i="30"/>
  <c r="B10" i="30"/>
  <c r="B11" i="30"/>
  <c r="B12" i="30"/>
  <c r="B2" i="30"/>
  <c r="E12" i="30"/>
  <c r="D12" i="30"/>
  <c r="C12" i="30"/>
  <c r="E11" i="30"/>
  <c r="D11" i="30"/>
  <c r="C11" i="30"/>
  <c r="E10" i="30"/>
  <c r="D10" i="30"/>
  <c r="C10" i="30"/>
  <c r="E9" i="30"/>
  <c r="D9" i="30"/>
  <c r="C9" i="30"/>
  <c r="E8" i="30"/>
  <c r="D8" i="30"/>
  <c r="C8" i="30"/>
  <c r="E7" i="30"/>
  <c r="D7" i="30"/>
  <c r="C7" i="30"/>
  <c r="E6" i="30"/>
  <c r="D6" i="30"/>
  <c r="C6" i="30"/>
  <c r="E5" i="30"/>
  <c r="D5" i="30"/>
  <c r="C5" i="30"/>
  <c r="E4" i="30"/>
  <c r="D4" i="30"/>
  <c r="C4" i="30"/>
  <c r="E3" i="30"/>
  <c r="D3" i="30"/>
  <c r="C3" i="30"/>
  <c r="E2" i="30"/>
  <c r="D2" i="30"/>
  <c r="C2" i="30"/>
  <c r="H31" i="22"/>
  <c r="C32" i="1"/>
  <c r="J2" i="1"/>
  <c r="G2" i="1"/>
  <c r="G27" i="1" s="1" a="1"/>
  <c r="G27" i="1" s="1"/>
  <c r="E28" i="21" s="1"/>
  <c r="D2" i="1"/>
  <c r="D27" i="1" s="1" a="1"/>
  <c r="D27" i="1" s="1"/>
  <c r="D28" i="21" s="1"/>
  <c r="C2" i="1"/>
  <c r="C27" i="1" s="1" a="1"/>
  <c r="C27" i="1" s="1"/>
  <c r="C28" i="21" s="1"/>
  <c r="D5" i="11"/>
  <c r="C5" i="11"/>
  <c r="L28" i="1"/>
  <c r="J28" i="1"/>
  <c r="L25" i="1"/>
  <c r="J25" i="1"/>
  <c r="K19" i="1"/>
  <c r="K25" i="1" s="1"/>
  <c r="K28" i="1" s="1"/>
  <c r="J30" i="1" s="1"/>
  <c r="L19" i="1"/>
  <c r="J19" i="1"/>
  <c r="R231" i="28" l="1"/>
  <c r="M4" i="24"/>
  <c r="R233" i="28"/>
  <c r="M5" i="24"/>
  <c r="F169" i="28"/>
  <c r="F106" i="28"/>
  <c r="F108" i="28"/>
  <c r="F171" i="28"/>
  <c r="R232" i="28"/>
  <c r="D294" i="28" s="1"/>
  <c r="F170" i="28"/>
  <c r="F107" i="28"/>
  <c r="E13" i="30"/>
  <c r="O21" i="16"/>
  <c r="D8" i="29"/>
  <c r="C27" i="29" a="1"/>
  <c r="C27" i="29" s="1"/>
  <c r="J27" i="29" a="1"/>
  <c r="J27" i="29" s="1"/>
  <c r="I27" i="29" a="1"/>
  <c r="I27" i="29" s="1"/>
  <c r="C7" i="1" l="1"/>
  <c r="I30" i="29"/>
  <c r="I3" i="24"/>
  <c r="G3" i="24"/>
  <c r="E3" i="24"/>
  <c r="C3" i="24"/>
  <c r="E6" i="23"/>
  <c r="D4" i="23"/>
  <c r="C4" i="23"/>
  <c r="E105" i="28" l="1"/>
  <c r="D105" i="28"/>
  <c r="B105" i="28"/>
  <c r="N40" i="22"/>
  <c r="O40" i="22"/>
  <c r="N41" i="22"/>
  <c r="O41" i="22"/>
  <c r="N42" i="22"/>
  <c r="O42" i="22"/>
  <c r="M41" i="22"/>
  <c r="M42" i="22"/>
  <c r="M43" i="22"/>
  <c r="M40" i="22"/>
  <c r="N32" i="22"/>
  <c r="N33" i="22"/>
  <c r="N34" i="22"/>
  <c r="O34" i="22"/>
  <c r="N37" i="22"/>
  <c r="M34" i="22"/>
  <c r="M35" i="22"/>
  <c r="M36" i="22"/>
  <c r="I39" i="22"/>
  <c r="J39" i="22"/>
  <c r="I40" i="22"/>
  <c r="J40" i="22"/>
  <c r="I41" i="22"/>
  <c r="J41" i="22"/>
  <c r="H40" i="22"/>
  <c r="H41" i="22"/>
  <c r="H42" i="22"/>
  <c r="H39" i="22"/>
  <c r="I32" i="22"/>
  <c r="I33" i="22"/>
  <c r="I36" i="22"/>
  <c r="H34" i="22"/>
  <c r="H35" i="22"/>
  <c r="B43" i="28"/>
  <c r="C87" i="28"/>
  <c r="H370" i="28"/>
  <c r="H371" i="28"/>
  <c r="H372" i="28"/>
  <c r="H373" i="28"/>
  <c r="H374" i="28"/>
  <c r="H375" i="28"/>
  <c r="H376" i="28"/>
  <c r="H377" i="28"/>
  <c r="H369" i="28"/>
  <c r="O385" i="28"/>
  <c r="N385" i="28"/>
  <c r="M385" i="28"/>
  <c r="L385" i="28"/>
  <c r="F369" i="28"/>
  <c r="H301" i="28" l="1"/>
  <c r="H297" i="28"/>
  <c r="H309" i="28"/>
  <c r="H305" i="28"/>
  <c r="H317" i="28"/>
  <c r="H313" i="28"/>
  <c r="H325" i="28"/>
  <c r="H321" i="28"/>
  <c r="H333" i="28"/>
  <c r="H329" i="28"/>
  <c r="H385" i="28"/>
  <c r="E370" i="28" l="1" a="1"/>
  <c r="E370" i="28" s="1"/>
  <c r="E371" i="28" a="1"/>
  <c r="E371" i="28" s="1"/>
  <c r="E372" i="28" a="1"/>
  <c r="E372" i="28" s="1"/>
  <c r="E373" i="28" a="1"/>
  <c r="E373" i="28" s="1"/>
  <c r="E374" i="28" a="1"/>
  <c r="E374" i="28" s="1"/>
  <c r="E375" i="28" a="1"/>
  <c r="E375" i="28" s="1"/>
  <c r="E376" i="28" a="1"/>
  <c r="E376" i="28" s="1"/>
  <c r="E377" i="28" a="1"/>
  <c r="E377" i="28" s="1"/>
  <c r="E369" i="28" a="1"/>
  <c r="E369" i="28" s="1"/>
  <c r="E396" i="28" l="1"/>
  <c r="C396" i="28"/>
  <c r="C394" i="28"/>
  <c r="D396" i="28"/>
  <c r="F394" i="28"/>
  <c r="E394" i="28"/>
  <c r="D394" i="28"/>
  <c r="D392" i="28"/>
  <c r="F392" i="28"/>
  <c r="E392" i="28"/>
  <c r="F396" i="28"/>
  <c r="C392" i="28"/>
  <c r="B17" i="3"/>
  <c r="Q370" i="28"/>
  <c r="Q371" i="28"/>
  <c r="Q372" i="28"/>
  <c r="T372" i="28" s="1"/>
  <c r="Q373" i="28"/>
  <c r="T373" i="28" s="1"/>
  <c r="Q374" i="28"/>
  <c r="D388" i="28" s="1"/>
  <c r="Q375" i="28"/>
  <c r="Q376" i="28"/>
  <c r="Q377" i="28"/>
  <c r="E391" i="28"/>
  <c r="Q369" i="28"/>
  <c r="J370" i="28"/>
  <c r="J371" i="28"/>
  <c r="J372" i="28"/>
  <c r="J373" i="28"/>
  <c r="C388" i="28"/>
  <c r="J374" i="28"/>
  <c r="C397" i="28"/>
  <c r="J375" i="28"/>
  <c r="J376" i="28"/>
  <c r="J377" i="28"/>
  <c r="J369" i="28"/>
  <c r="C370" i="28"/>
  <c r="D370" i="28"/>
  <c r="F370" i="28"/>
  <c r="G370" i="28" s="1"/>
  <c r="C371" i="28"/>
  <c r="D371" i="28"/>
  <c r="F371" i="28"/>
  <c r="G371" i="28" s="1"/>
  <c r="C372" i="28"/>
  <c r="D372" i="28"/>
  <c r="F372" i="28"/>
  <c r="G372" i="28" s="1"/>
  <c r="C373" i="28"/>
  <c r="D373" i="28"/>
  <c r="F373" i="28"/>
  <c r="G373" i="28" s="1"/>
  <c r="C374" i="28"/>
  <c r="D374" i="28"/>
  <c r="F374" i="28"/>
  <c r="G374" i="28" s="1"/>
  <c r="C375" i="28"/>
  <c r="D375" i="28"/>
  <c r="F375" i="28"/>
  <c r="G375" i="28" s="1"/>
  <c r="C376" i="28"/>
  <c r="D376" i="28"/>
  <c r="F376" i="28"/>
  <c r="G376" i="28" s="1"/>
  <c r="C377" i="28"/>
  <c r="D377" i="28"/>
  <c r="F377" i="28"/>
  <c r="G377" i="28" s="1"/>
  <c r="G369" i="28"/>
  <c r="D369" i="28"/>
  <c r="C369" i="28"/>
  <c r="P274" i="28"/>
  <c r="O274" i="28" s="1"/>
  <c r="P275" i="28"/>
  <c r="O275" i="28" s="1"/>
  <c r="P276" i="28"/>
  <c r="O276" i="28" s="1"/>
  <c r="P277" i="28"/>
  <c r="O277" i="28" s="1"/>
  <c r="P278" i="28"/>
  <c r="O278" i="28" s="1"/>
  <c r="P279" i="28"/>
  <c r="O279" i="28" s="1"/>
  <c r="P280" i="28"/>
  <c r="O280" i="28" s="1"/>
  <c r="P281" i="28"/>
  <c r="O281" i="28" s="1"/>
  <c r="P230" i="28"/>
  <c r="O230" i="28" s="1"/>
  <c r="M274" i="28"/>
  <c r="M275" i="28"/>
  <c r="M276" i="28"/>
  <c r="M277" i="28"/>
  <c r="M278" i="28"/>
  <c r="M279" i="28"/>
  <c r="M280" i="28"/>
  <c r="M281" i="28"/>
  <c r="M230" i="28"/>
  <c r="H274" i="28"/>
  <c r="I274" i="28" s="1"/>
  <c r="H275" i="28"/>
  <c r="I275" i="28" s="1"/>
  <c r="H276" i="28"/>
  <c r="I276" i="28" s="1"/>
  <c r="H277" i="28"/>
  <c r="I277" i="28" s="1"/>
  <c r="H278" i="28"/>
  <c r="I278" i="28" s="1"/>
  <c r="H279" i="28"/>
  <c r="I279" i="28" s="1"/>
  <c r="H280" i="28"/>
  <c r="I280" i="28" s="1"/>
  <c r="H281" i="28"/>
  <c r="I281" i="28" s="1"/>
  <c r="F274" i="28"/>
  <c r="G274" i="28" s="1"/>
  <c r="F275" i="28"/>
  <c r="G275" i="28" s="1"/>
  <c r="F276" i="28"/>
  <c r="G276" i="28" s="1"/>
  <c r="F277" i="28"/>
  <c r="G277" i="28" s="1"/>
  <c r="F278" i="28"/>
  <c r="G278" i="28" s="1"/>
  <c r="F279" i="28"/>
  <c r="G279" i="28" s="1"/>
  <c r="F280" i="28"/>
  <c r="G280" i="28" s="1"/>
  <c r="F281" i="28"/>
  <c r="G281" i="28" s="1"/>
  <c r="H230" i="28"/>
  <c r="I230" i="28" s="1"/>
  <c r="F230" i="28"/>
  <c r="G230" i="28" s="1"/>
  <c r="D274" i="28"/>
  <c r="E274" i="28"/>
  <c r="D275" i="28"/>
  <c r="K298" i="28" s="1"/>
  <c r="E275" i="28"/>
  <c r="J298" i="28" s="1"/>
  <c r="D276" i="28"/>
  <c r="K300" i="28" s="1"/>
  <c r="E276" i="28"/>
  <c r="J300" i="28" s="1"/>
  <c r="D277" i="28"/>
  <c r="K340" i="28" s="1"/>
  <c r="E277" i="28"/>
  <c r="J340" i="28" s="1"/>
  <c r="D278" i="28"/>
  <c r="K341" i="28" s="1"/>
  <c r="E278" i="28"/>
  <c r="J341" i="28" s="1"/>
  <c r="D279" i="28"/>
  <c r="K342" i="28" s="1"/>
  <c r="E279" i="28"/>
  <c r="J342" i="28" s="1"/>
  <c r="D280" i="28"/>
  <c r="K343" i="28" s="1"/>
  <c r="E280" i="28"/>
  <c r="J343" i="28" s="1"/>
  <c r="D281" i="28"/>
  <c r="K344" i="28" s="1"/>
  <c r="E281" i="28"/>
  <c r="J344" i="28" s="1"/>
  <c r="E230" i="28"/>
  <c r="J293" i="28" s="1"/>
  <c r="D230" i="28"/>
  <c r="K293" i="28" s="1"/>
  <c r="B274" i="28"/>
  <c r="B275" i="28"/>
  <c r="B298" i="28" s="1"/>
  <c r="B276" i="28"/>
  <c r="B300" i="28" s="1"/>
  <c r="B277" i="28"/>
  <c r="B340" i="28" s="1"/>
  <c r="B278" i="28"/>
  <c r="B341" i="28" s="1"/>
  <c r="B279" i="28"/>
  <c r="B342" i="28" s="1"/>
  <c r="B280" i="28"/>
  <c r="B343" i="28" s="1"/>
  <c r="B281" i="28"/>
  <c r="B344" i="28" s="1"/>
  <c r="B230" i="28"/>
  <c r="B293" i="28" s="1"/>
  <c r="B306" i="28" l="1"/>
  <c r="B302" i="28"/>
  <c r="K306" i="28"/>
  <c r="K302" i="28"/>
  <c r="J306" i="28"/>
  <c r="J302" i="28"/>
  <c r="J308" i="28"/>
  <c r="J304" i="28"/>
  <c r="K308" i="28"/>
  <c r="K304" i="28"/>
  <c r="B308" i="28"/>
  <c r="B304" i="28"/>
  <c r="B314" i="28"/>
  <c r="B310" i="28"/>
  <c r="K314" i="28"/>
  <c r="K310" i="28"/>
  <c r="J314" i="28"/>
  <c r="J310" i="28"/>
  <c r="B316" i="28"/>
  <c r="B312" i="28"/>
  <c r="J316" i="28"/>
  <c r="J312" i="28"/>
  <c r="K316" i="28"/>
  <c r="K312" i="28"/>
  <c r="B322" i="28"/>
  <c r="B318" i="28"/>
  <c r="J322" i="28"/>
  <c r="J318" i="28"/>
  <c r="K322" i="28"/>
  <c r="K318" i="28"/>
  <c r="J324" i="28"/>
  <c r="J320" i="28"/>
  <c r="B324" i="28"/>
  <c r="B320" i="28"/>
  <c r="K324" i="28"/>
  <c r="K320" i="28"/>
  <c r="B330" i="28"/>
  <c r="B326" i="28"/>
  <c r="J330" i="28"/>
  <c r="J326" i="28"/>
  <c r="K330" i="28"/>
  <c r="K326" i="28"/>
  <c r="B332" i="28"/>
  <c r="B328" i="28"/>
  <c r="J332" i="28"/>
  <c r="J328" i="28"/>
  <c r="K332" i="28"/>
  <c r="K328" i="28"/>
  <c r="B299" i="28"/>
  <c r="B334" i="28"/>
  <c r="J299" i="28"/>
  <c r="J334" i="28"/>
  <c r="K299" i="28"/>
  <c r="K334" i="28"/>
  <c r="J339" i="28"/>
  <c r="J336" i="28"/>
  <c r="K339" i="28"/>
  <c r="K336" i="28"/>
  <c r="B339" i="28"/>
  <c r="B336" i="28"/>
  <c r="B307" i="28"/>
  <c r="B303" i="28"/>
  <c r="J307" i="28"/>
  <c r="J303" i="28"/>
  <c r="K307" i="28"/>
  <c r="K303" i="28"/>
  <c r="B315" i="28"/>
  <c r="B311" i="28"/>
  <c r="J315" i="28"/>
  <c r="J311" i="28"/>
  <c r="K315" i="28"/>
  <c r="K311" i="28"/>
  <c r="B323" i="28"/>
  <c r="B319" i="28"/>
  <c r="J323" i="28"/>
  <c r="J319" i="28"/>
  <c r="K323" i="28"/>
  <c r="K319" i="28"/>
  <c r="K331" i="28"/>
  <c r="K327" i="28"/>
  <c r="J331" i="28"/>
  <c r="J327" i="28"/>
  <c r="B331" i="28"/>
  <c r="B327" i="28"/>
  <c r="B338" i="28"/>
  <c r="B335" i="28"/>
  <c r="J338" i="28"/>
  <c r="J335" i="28"/>
  <c r="K338" i="28"/>
  <c r="K335" i="28"/>
  <c r="J301" i="28"/>
  <c r="J297" i="28"/>
  <c r="B301" i="28"/>
  <c r="B297" i="28"/>
  <c r="K301" i="28"/>
  <c r="K297" i="28"/>
  <c r="B309" i="28"/>
  <c r="B305" i="28"/>
  <c r="K309" i="28"/>
  <c r="K305" i="28"/>
  <c r="J309" i="28"/>
  <c r="J305" i="28"/>
  <c r="J317" i="28"/>
  <c r="J313" i="28"/>
  <c r="B317" i="28"/>
  <c r="B313" i="28"/>
  <c r="K317" i="28"/>
  <c r="K313" i="28"/>
  <c r="J325" i="28"/>
  <c r="J321" i="28"/>
  <c r="B325" i="28"/>
  <c r="B321" i="28"/>
  <c r="K325" i="28"/>
  <c r="K321" i="28"/>
  <c r="B333" i="28"/>
  <c r="B329" i="28"/>
  <c r="J333" i="28"/>
  <c r="J329" i="28"/>
  <c r="K333" i="28"/>
  <c r="K329" i="28"/>
  <c r="B337" i="28"/>
  <c r="K337" i="28"/>
  <c r="J337" i="28"/>
  <c r="Q385" i="28"/>
  <c r="C391" i="28"/>
  <c r="D391" i="28"/>
  <c r="T371" i="28"/>
  <c r="D395" i="28"/>
  <c r="T370" i="28"/>
  <c r="D393" i="28"/>
  <c r="T375" i="28"/>
  <c r="D397" i="28"/>
  <c r="C393" i="28"/>
  <c r="U372" i="28"/>
  <c r="U371" i="28"/>
  <c r="C395" i="28"/>
  <c r="U375" i="28"/>
  <c r="U369" i="28"/>
  <c r="U377" i="28"/>
  <c r="U373" i="28"/>
  <c r="T377" i="28"/>
  <c r="U376" i="28"/>
  <c r="T376" i="28"/>
  <c r="U374" i="28"/>
  <c r="U370" i="28"/>
  <c r="T374" i="28"/>
  <c r="T369" i="28"/>
  <c r="O289" i="28"/>
  <c r="J279" i="28"/>
  <c r="K279" i="28" s="1"/>
  <c r="J230" i="28"/>
  <c r="K230" i="28" s="1"/>
  <c r="J277" i="28"/>
  <c r="K277" i="28" s="1"/>
  <c r="J274" i="28"/>
  <c r="K274" i="28" s="1"/>
  <c r="J281" i="28"/>
  <c r="K281" i="28" s="1"/>
  <c r="J278" i="28"/>
  <c r="K278" i="28" s="1"/>
  <c r="J280" i="28"/>
  <c r="K280" i="28" s="1"/>
  <c r="J275" i="28"/>
  <c r="K275" i="28" s="1"/>
  <c r="J276" i="28"/>
  <c r="K276" i="28" s="1"/>
  <c r="T385" i="28" l="1"/>
  <c r="U385" i="28"/>
  <c r="D389" i="28"/>
  <c r="C389" i="28"/>
  <c r="D390" i="28"/>
  <c r="C390" i="28"/>
  <c r="K289" i="28"/>
  <c r="P289" i="28" l="1"/>
  <c r="M289" i="28"/>
  <c r="E352" i="28" l="1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5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168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16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B224" i="28"/>
  <c r="B225" i="28"/>
  <c r="B222" i="28"/>
  <c r="B223" i="28"/>
  <c r="B212" i="28"/>
  <c r="B213" i="28"/>
  <c r="B214" i="28"/>
  <c r="B215" i="28"/>
  <c r="B216" i="28"/>
  <c r="B217" i="28"/>
  <c r="B218" i="28"/>
  <c r="B219" i="28"/>
  <c r="B220" i="28"/>
  <c r="B221" i="28"/>
  <c r="B16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C103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43" i="28"/>
  <c r="D87" i="28"/>
  <c r="D88" i="28"/>
  <c r="I298" i="28" s="1"/>
  <c r="D89" i="28"/>
  <c r="I300" i="28" s="1"/>
  <c r="D90" i="28"/>
  <c r="I340" i="28" s="1"/>
  <c r="D91" i="28"/>
  <c r="I341" i="28" s="1"/>
  <c r="D92" i="28"/>
  <c r="I342" i="28" s="1"/>
  <c r="D93" i="28"/>
  <c r="I343" i="28" s="1"/>
  <c r="D94" i="28"/>
  <c r="I344" i="28" s="1"/>
  <c r="D95" i="28"/>
  <c r="D96" i="28"/>
  <c r="D97" i="28"/>
  <c r="D98" i="28"/>
  <c r="D99" i="28"/>
  <c r="D100" i="28"/>
  <c r="D43" i="28"/>
  <c r="I293" i="28" s="1"/>
  <c r="H337" i="28"/>
  <c r="C88" i="28"/>
  <c r="C89" i="28"/>
  <c r="C90" i="28"/>
  <c r="C91" i="28"/>
  <c r="H341" i="28" s="1"/>
  <c r="C92" i="28"/>
  <c r="H342" i="28" s="1"/>
  <c r="C93" i="28"/>
  <c r="C94" i="28"/>
  <c r="C95" i="28"/>
  <c r="C96" i="28"/>
  <c r="C97" i="28"/>
  <c r="C98" i="28"/>
  <c r="C99" i="28"/>
  <c r="C100" i="28"/>
  <c r="C43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F17" i="28"/>
  <c r="G17" i="28" s="1"/>
  <c r="F26" i="28"/>
  <c r="F30" i="28"/>
  <c r="F33" i="28"/>
  <c r="F14" i="28"/>
  <c r="F10" i="28" s="1"/>
  <c r="C106" i="28" l="1"/>
  <c r="C112" i="28"/>
  <c r="C110" i="28"/>
  <c r="C108" i="28"/>
  <c r="C116" i="28"/>
  <c r="C114" i="28"/>
  <c r="C118" i="28"/>
  <c r="C120" i="28"/>
  <c r="C124" i="28"/>
  <c r="C126" i="28"/>
  <c r="C122" i="28"/>
  <c r="C128" i="28"/>
  <c r="C130" i="28"/>
  <c r="C136" i="28"/>
  <c r="C132" i="28"/>
  <c r="C138" i="28"/>
  <c r="C134" i="28"/>
  <c r="C140" i="28"/>
  <c r="C142" i="28"/>
  <c r="C144" i="28"/>
  <c r="C146" i="28"/>
  <c r="H340" i="28"/>
  <c r="C148" i="28"/>
  <c r="C177" i="28"/>
  <c r="C173" i="28"/>
  <c r="C175" i="28"/>
  <c r="C179" i="28"/>
  <c r="C185" i="28"/>
  <c r="C181" i="28"/>
  <c r="C183" i="28"/>
  <c r="C187" i="28"/>
  <c r="C193" i="28"/>
  <c r="C189" i="28"/>
  <c r="C195" i="28"/>
  <c r="C191" i="28"/>
  <c r="C201" i="28"/>
  <c r="C197" i="28"/>
  <c r="C203" i="28"/>
  <c r="C199" i="28"/>
  <c r="C209" i="28"/>
  <c r="C205" i="28"/>
  <c r="C207" i="28"/>
  <c r="C211" i="28"/>
  <c r="C239" i="28"/>
  <c r="C235" i="28"/>
  <c r="C241" i="28"/>
  <c r="C237" i="28"/>
  <c r="C247" i="28"/>
  <c r="C243" i="28"/>
  <c r="C245" i="28"/>
  <c r="C249" i="28"/>
  <c r="C255" i="28"/>
  <c r="C251" i="28"/>
  <c r="C253" i="28"/>
  <c r="C257" i="28"/>
  <c r="C263" i="28"/>
  <c r="C259" i="28"/>
  <c r="C261" i="28"/>
  <c r="C265" i="28"/>
  <c r="C271" i="28"/>
  <c r="C267" i="28"/>
  <c r="C269" i="28"/>
  <c r="C273" i="28"/>
  <c r="H302" i="28"/>
  <c r="H298" i="28"/>
  <c r="H304" i="28"/>
  <c r="H300" i="28"/>
  <c r="I306" i="28"/>
  <c r="I302" i="28"/>
  <c r="I308" i="28"/>
  <c r="I304" i="28"/>
  <c r="H310" i="28"/>
  <c r="H306" i="28"/>
  <c r="H312" i="28"/>
  <c r="H308" i="28"/>
  <c r="I314" i="28"/>
  <c r="I310" i="28"/>
  <c r="I316" i="28"/>
  <c r="I312" i="28"/>
  <c r="H318" i="28"/>
  <c r="H314" i="28"/>
  <c r="H320" i="28"/>
  <c r="H316" i="28"/>
  <c r="I322" i="28"/>
  <c r="I318" i="28"/>
  <c r="I324" i="28"/>
  <c r="I320" i="28"/>
  <c r="H326" i="28"/>
  <c r="H322" i="28"/>
  <c r="H328" i="28"/>
  <c r="H324" i="28"/>
  <c r="I330" i="28"/>
  <c r="I326" i="28"/>
  <c r="I332" i="28"/>
  <c r="I328" i="28"/>
  <c r="H334" i="28"/>
  <c r="H330" i="28"/>
  <c r="H336" i="28"/>
  <c r="H332" i="28"/>
  <c r="I299" i="28"/>
  <c r="I334" i="28"/>
  <c r="I339" i="28"/>
  <c r="I336" i="28"/>
  <c r="C107" i="28"/>
  <c r="C115" i="28"/>
  <c r="C111" i="28"/>
  <c r="C119" i="28"/>
  <c r="C123" i="28"/>
  <c r="C127" i="28"/>
  <c r="C131" i="28"/>
  <c r="C135" i="28"/>
  <c r="C139" i="28"/>
  <c r="C143" i="28"/>
  <c r="C147" i="28"/>
  <c r="C178" i="28"/>
  <c r="C174" i="28"/>
  <c r="C186" i="28"/>
  <c r="C182" i="28"/>
  <c r="C194" i="28"/>
  <c r="C190" i="28"/>
  <c r="C202" i="28"/>
  <c r="C198" i="28"/>
  <c r="C210" i="28"/>
  <c r="C206" i="28"/>
  <c r="C240" i="28"/>
  <c r="C236" i="28"/>
  <c r="C296" i="28" s="1"/>
  <c r="C248" i="28"/>
  <c r="C244" i="28"/>
  <c r="C256" i="28"/>
  <c r="C252" i="28"/>
  <c r="C264" i="28"/>
  <c r="C260" i="28"/>
  <c r="C272" i="28"/>
  <c r="C268" i="28"/>
  <c r="H303" i="28"/>
  <c r="H299" i="28"/>
  <c r="I307" i="28"/>
  <c r="I303" i="28"/>
  <c r="H311" i="28"/>
  <c r="H307" i="28"/>
  <c r="I315" i="28"/>
  <c r="I311" i="28"/>
  <c r="H319" i="28"/>
  <c r="H315" i="28"/>
  <c r="I323" i="28"/>
  <c r="I319" i="28"/>
  <c r="H327" i="28"/>
  <c r="H323" i="28"/>
  <c r="I331" i="28"/>
  <c r="I327" i="28"/>
  <c r="H335" i="28"/>
  <c r="H331" i="28"/>
  <c r="I338" i="28"/>
  <c r="I335" i="28"/>
  <c r="C113" i="28"/>
  <c r="C109" i="28"/>
  <c r="C121" i="28"/>
  <c r="C117" i="28"/>
  <c r="C129" i="28"/>
  <c r="C125" i="28"/>
  <c r="C137" i="28"/>
  <c r="C133" i="28"/>
  <c r="C145" i="28"/>
  <c r="C141" i="28"/>
  <c r="C176" i="28"/>
  <c r="C172" i="28"/>
  <c r="C184" i="28"/>
  <c r="C180" i="28"/>
  <c r="C192" i="28"/>
  <c r="C188" i="28"/>
  <c r="C200" i="28"/>
  <c r="C196" i="28"/>
  <c r="C208" i="28"/>
  <c r="C204" i="28"/>
  <c r="C238" i="28"/>
  <c r="C234" i="28"/>
  <c r="C295" i="28" s="1"/>
  <c r="C246" i="28"/>
  <c r="C242" i="28"/>
  <c r="C254" i="28"/>
  <c r="C250" i="28"/>
  <c r="C262" i="28"/>
  <c r="C258" i="28"/>
  <c r="C270" i="28"/>
  <c r="C266" i="28"/>
  <c r="I301" i="28"/>
  <c r="I297" i="28"/>
  <c r="I309" i="28"/>
  <c r="I305" i="28"/>
  <c r="I317" i="28"/>
  <c r="I313" i="28"/>
  <c r="I325" i="28"/>
  <c r="I321" i="28"/>
  <c r="I333" i="28"/>
  <c r="I329" i="28"/>
  <c r="C105" i="28"/>
  <c r="H338" i="28"/>
  <c r="I337" i="28"/>
  <c r="C222" i="28"/>
  <c r="H339" i="28"/>
  <c r="C151" i="28"/>
  <c r="H293" i="28"/>
  <c r="C168" i="28"/>
  <c r="C281" i="28"/>
  <c r="C344" i="28" s="1"/>
  <c r="H344" i="28"/>
  <c r="C280" i="28"/>
  <c r="C343" i="28" s="1"/>
  <c r="H343" i="28"/>
  <c r="C278" i="28"/>
  <c r="C341" i="28" s="1"/>
  <c r="C277" i="28"/>
  <c r="C340" i="28" s="1"/>
  <c r="C217" i="28"/>
  <c r="C279" i="28"/>
  <c r="C342" i="28" s="1"/>
  <c r="C230" i="28"/>
  <c r="C293" i="28" s="1"/>
  <c r="C276" i="28"/>
  <c r="C300" i="28" s="1"/>
  <c r="C275" i="28"/>
  <c r="C298" i="28" s="1"/>
  <c r="C274" i="28"/>
  <c r="C216" i="28"/>
  <c r="C215" i="28"/>
  <c r="C214" i="28"/>
  <c r="C162" i="28"/>
  <c r="C225" i="28"/>
  <c r="C221" i="28"/>
  <c r="C161" i="28"/>
  <c r="C224" i="28"/>
  <c r="C160" i="28"/>
  <c r="C223" i="28"/>
  <c r="C220" i="28"/>
  <c r="C150" i="28"/>
  <c r="C213" i="28"/>
  <c r="C149" i="28"/>
  <c r="C212" i="28"/>
  <c r="C156" i="28"/>
  <c r="C219" i="28"/>
  <c r="C218" i="28"/>
  <c r="C154" i="28"/>
  <c r="C159" i="28"/>
  <c r="C158" i="28"/>
  <c r="C157" i="28"/>
  <c r="C155" i="28"/>
  <c r="C153" i="28"/>
  <c r="C152" i="28"/>
  <c r="E226" i="28"/>
  <c r="E163" i="28"/>
  <c r="F24" i="28"/>
  <c r="G24" i="28" s="1"/>
  <c r="F12" i="28"/>
  <c r="G10" i="28" s="1"/>
  <c r="C306" i="28" l="1"/>
  <c r="C302" i="28"/>
  <c r="C308" i="28"/>
  <c r="C304" i="28"/>
  <c r="C314" i="28"/>
  <c r="C310" i="28"/>
  <c r="C316" i="28"/>
  <c r="C312" i="28"/>
  <c r="C322" i="28"/>
  <c r="C318" i="28"/>
  <c r="C324" i="28"/>
  <c r="C320" i="28"/>
  <c r="C330" i="28"/>
  <c r="C326" i="28"/>
  <c r="C332" i="28"/>
  <c r="C328" i="28"/>
  <c r="C299" i="28"/>
  <c r="C334" i="28"/>
  <c r="C339" i="28"/>
  <c r="C336" i="28"/>
  <c r="C307" i="28"/>
  <c r="C303" i="28"/>
  <c r="C315" i="28"/>
  <c r="C311" i="28"/>
  <c r="C323" i="28"/>
  <c r="C319" i="28"/>
  <c r="C331" i="28"/>
  <c r="C327" i="28"/>
  <c r="C338" i="28"/>
  <c r="C335" i="28"/>
  <c r="C301" i="28"/>
  <c r="C297" i="28"/>
  <c r="C309" i="28"/>
  <c r="C305" i="28"/>
  <c r="C317" i="28"/>
  <c r="C313" i="28"/>
  <c r="C325" i="28"/>
  <c r="C321" i="28"/>
  <c r="C333" i="28"/>
  <c r="C329" i="28"/>
  <c r="C337" i="28"/>
  <c r="K2" i="19"/>
  <c r="AD36" i="20" l="1"/>
  <c r="S36" i="20"/>
  <c r="Q279" i="28" l="1"/>
  <c r="Q280" i="28"/>
  <c r="F218" i="28"/>
  <c r="F155" i="28"/>
  <c r="AD38" i="20"/>
  <c r="AD37" i="20"/>
  <c r="AD35" i="20"/>
  <c r="AD34" i="20"/>
  <c r="AD33" i="20"/>
  <c r="AD32" i="20"/>
  <c r="AD31" i="20"/>
  <c r="AD30" i="20"/>
  <c r="S38" i="20"/>
  <c r="S37" i="20"/>
  <c r="S35" i="20"/>
  <c r="S34" i="20"/>
  <c r="S33" i="20"/>
  <c r="S32" i="20"/>
  <c r="S31" i="20"/>
  <c r="S30" i="20"/>
  <c r="W22" i="20"/>
  <c r="W23" i="20"/>
  <c r="W24" i="20"/>
  <c r="D26" i="26"/>
  <c r="E26" i="26"/>
  <c r="F26" i="26"/>
  <c r="G26" i="26"/>
  <c r="H26" i="26"/>
  <c r="I26" i="26"/>
  <c r="D6" i="26"/>
  <c r="E6" i="26"/>
  <c r="F6" i="26"/>
  <c r="G6" i="26"/>
  <c r="H6" i="26"/>
  <c r="I6" i="26"/>
  <c r="D7" i="26"/>
  <c r="E7" i="26"/>
  <c r="F7" i="26"/>
  <c r="G7" i="26"/>
  <c r="H7" i="26"/>
  <c r="I7" i="26"/>
  <c r="D8" i="26"/>
  <c r="E8" i="26"/>
  <c r="F8" i="26"/>
  <c r="G8" i="26"/>
  <c r="H8" i="26"/>
  <c r="I8" i="26"/>
  <c r="D9" i="26"/>
  <c r="E9" i="26"/>
  <c r="F9" i="26"/>
  <c r="G9" i="26"/>
  <c r="H9" i="26"/>
  <c r="I9" i="26"/>
  <c r="D10" i="26"/>
  <c r="E10" i="26"/>
  <c r="F10" i="26"/>
  <c r="G10" i="26"/>
  <c r="H10" i="26"/>
  <c r="I10" i="26"/>
  <c r="D11" i="26"/>
  <c r="E11" i="26"/>
  <c r="F11" i="26"/>
  <c r="G11" i="26"/>
  <c r="H11" i="26"/>
  <c r="I11" i="26"/>
  <c r="D12" i="26"/>
  <c r="E12" i="26"/>
  <c r="F12" i="26"/>
  <c r="G12" i="26"/>
  <c r="H12" i="26"/>
  <c r="I12" i="26"/>
  <c r="D13" i="26"/>
  <c r="E13" i="26"/>
  <c r="F13" i="26"/>
  <c r="G13" i="26"/>
  <c r="H13" i="26"/>
  <c r="I13" i="26"/>
  <c r="D14" i="26"/>
  <c r="E14" i="26"/>
  <c r="F14" i="26"/>
  <c r="G14" i="26"/>
  <c r="H14" i="26"/>
  <c r="I14" i="26"/>
  <c r="D15" i="26"/>
  <c r="E15" i="26"/>
  <c r="F15" i="26"/>
  <c r="G15" i="26"/>
  <c r="H15" i="26"/>
  <c r="I15" i="26"/>
  <c r="D16" i="26"/>
  <c r="E16" i="26"/>
  <c r="F16" i="26"/>
  <c r="G16" i="26"/>
  <c r="H16" i="26"/>
  <c r="I16" i="26"/>
  <c r="D17" i="26"/>
  <c r="E17" i="26"/>
  <c r="F17" i="26"/>
  <c r="G17" i="26"/>
  <c r="H17" i="26"/>
  <c r="I17" i="26"/>
  <c r="D18" i="26"/>
  <c r="E18" i="26"/>
  <c r="F18" i="26"/>
  <c r="G18" i="26"/>
  <c r="H18" i="26"/>
  <c r="I18" i="26"/>
  <c r="D19" i="26"/>
  <c r="E19" i="26"/>
  <c r="F19" i="26"/>
  <c r="G19" i="26"/>
  <c r="H19" i="26"/>
  <c r="I19" i="26"/>
  <c r="D20" i="26"/>
  <c r="E20" i="26"/>
  <c r="F20" i="26"/>
  <c r="G20" i="26"/>
  <c r="H20" i="26"/>
  <c r="I20" i="26"/>
  <c r="D21" i="26"/>
  <c r="E21" i="26"/>
  <c r="F21" i="26"/>
  <c r="G21" i="26"/>
  <c r="H21" i="26"/>
  <c r="I21" i="26"/>
  <c r="D22" i="26"/>
  <c r="E22" i="26"/>
  <c r="F22" i="26"/>
  <c r="G22" i="26"/>
  <c r="H22" i="26"/>
  <c r="I22" i="26"/>
  <c r="D23" i="26"/>
  <c r="E23" i="26"/>
  <c r="F23" i="26"/>
  <c r="G23" i="26"/>
  <c r="H23" i="26"/>
  <c r="I23" i="26"/>
  <c r="D24" i="26"/>
  <c r="E24" i="26"/>
  <c r="F24" i="26"/>
  <c r="G24" i="26"/>
  <c r="H24" i="26"/>
  <c r="I24" i="26"/>
  <c r="D25" i="26"/>
  <c r="E25" i="26"/>
  <c r="F25" i="26"/>
  <c r="G25" i="26"/>
  <c r="H25" i="26"/>
  <c r="I2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I5" i="26"/>
  <c r="H5" i="26"/>
  <c r="G5" i="26"/>
  <c r="F5" i="26"/>
  <c r="E5" i="26"/>
  <c r="D5" i="26"/>
  <c r="B5" i="26"/>
  <c r="M3" i="25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M2" i="25"/>
  <c r="K2" i="25"/>
  <c r="I2" i="25"/>
  <c r="H2" i="25"/>
  <c r="G2" i="25"/>
  <c r="F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" i="25"/>
  <c r="D3" i="25"/>
  <c r="D4" i="25"/>
  <c r="D5" i="25"/>
  <c r="D6" i="25"/>
  <c r="D7" i="25"/>
  <c r="D8" i="25"/>
  <c r="D9" i="25"/>
  <c r="D10" i="25"/>
  <c r="D11" i="25"/>
  <c r="D12" i="25"/>
  <c r="D13" i="25"/>
  <c r="M25" i="25" s="1"/>
  <c r="D14" i="25"/>
  <c r="D15" i="25"/>
  <c r="D16" i="25"/>
  <c r="D17" i="25"/>
  <c r="D18" i="25"/>
  <c r="D19" i="25"/>
  <c r="D20" i="25"/>
  <c r="D21" i="25"/>
  <c r="D22" i="25"/>
  <c r="D2" i="25"/>
  <c r="M26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" i="25"/>
  <c r="I25" i="25"/>
  <c r="U12" i="24"/>
  <c r="U13" i="24"/>
  <c r="U14" i="24"/>
  <c r="U3" i="24"/>
  <c r="Q12" i="24"/>
  <c r="Q13" i="24"/>
  <c r="Q14" i="24"/>
  <c r="Q3" i="24"/>
  <c r="Q15" i="24" s="1"/>
  <c r="L12" i="24"/>
  <c r="L13" i="24"/>
  <c r="L14" i="24"/>
  <c r="L3" i="24"/>
  <c r="J12" i="24"/>
  <c r="J13" i="24"/>
  <c r="J14" i="24"/>
  <c r="I12" i="24"/>
  <c r="I13" i="24"/>
  <c r="I14" i="24"/>
  <c r="H12" i="24"/>
  <c r="H13" i="24"/>
  <c r="H14" i="24"/>
  <c r="J3" i="24"/>
  <c r="H3" i="24"/>
  <c r="C12" i="24"/>
  <c r="D12" i="24"/>
  <c r="E12" i="24"/>
  <c r="F12" i="24"/>
  <c r="G12" i="24"/>
  <c r="C13" i="24"/>
  <c r="D13" i="24"/>
  <c r="E13" i="24"/>
  <c r="F13" i="24"/>
  <c r="G13" i="24"/>
  <c r="C14" i="24"/>
  <c r="D14" i="24"/>
  <c r="E14" i="24"/>
  <c r="F14" i="24"/>
  <c r="G14" i="24"/>
  <c r="F3" i="24"/>
  <c r="D3" i="24"/>
  <c r="B12" i="24"/>
  <c r="B13" i="24"/>
  <c r="B14" i="24"/>
  <c r="S279" i="28" l="1"/>
  <c r="N279" i="28" s="1"/>
  <c r="S280" i="28"/>
  <c r="E343" i="28" s="1"/>
  <c r="R279" i="28"/>
  <c r="D342" i="28" s="1"/>
  <c r="R280" i="28"/>
  <c r="D343" i="28" s="1"/>
  <c r="E27" i="26"/>
  <c r="H27" i="26"/>
  <c r="I27" i="26"/>
  <c r="C27" i="26"/>
  <c r="I23" i="25"/>
  <c r="H23" i="25"/>
  <c r="K25" i="25"/>
  <c r="K23" i="25"/>
  <c r="E342" i="28"/>
  <c r="D27" i="26"/>
  <c r="B27" i="26"/>
  <c r="F217" i="28"/>
  <c r="F154" i="28"/>
  <c r="S39" i="20"/>
  <c r="U36" i="20" s="1"/>
  <c r="AD39" i="20"/>
  <c r="AF36" i="20" s="1"/>
  <c r="G27" i="26"/>
  <c r="F27" i="26"/>
  <c r="M23" i="25"/>
  <c r="K26" i="25"/>
  <c r="I27" i="25"/>
  <c r="I26" i="25"/>
  <c r="AG15" i="24"/>
  <c r="V15" i="24"/>
  <c r="Y2" i="24"/>
  <c r="U2" i="24"/>
  <c r="AF2" i="24" s="1"/>
  <c r="Q2" i="24"/>
  <c r="AB2" i="24" s="1"/>
  <c r="O24" i="6"/>
  <c r="G5" i="23"/>
  <c r="G6" i="23"/>
  <c r="G7" i="23"/>
  <c r="G8" i="23"/>
  <c r="G9" i="23"/>
  <c r="G10" i="23"/>
  <c r="G4" i="23"/>
  <c r="F5" i="23"/>
  <c r="F6" i="23"/>
  <c r="F7" i="23"/>
  <c r="F8" i="23"/>
  <c r="F9" i="23"/>
  <c r="F10" i="23"/>
  <c r="F4" i="23"/>
  <c r="E5" i="23"/>
  <c r="E7" i="23"/>
  <c r="E8" i="23"/>
  <c r="E9" i="23"/>
  <c r="E10" i="23"/>
  <c r="E4" i="23"/>
  <c r="D5" i="23"/>
  <c r="D6" i="23"/>
  <c r="D7" i="23"/>
  <c r="D8" i="23"/>
  <c r="D9" i="23"/>
  <c r="D10" i="23"/>
  <c r="C5" i="23"/>
  <c r="C6" i="23"/>
  <c r="C7" i="23"/>
  <c r="C8" i="23"/>
  <c r="C9" i="23"/>
  <c r="C10" i="23"/>
  <c r="Q3" i="23"/>
  <c r="M3" i="23"/>
  <c r="I3" i="23"/>
  <c r="T279" i="28" l="1"/>
  <c r="F342" i="28" s="1"/>
  <c r="T280" i="28"/>
  <c r="F343" i="28" s="1"/>
  <c r="N280" i="28"/>
  <c r="U38" i="20"/>
  <c r="U35" i="20"/>
  <c r="U32" i="20"/>
  <c r="U31" i="20"/>
  <c r="AF33" i="20"/>
  <c r="AF31" i="20"/>
  <c r="U34" i="20"/>
  <c r="U33" i="20"/>
  <c r="U37" i="20"/>
  <c r="AF35" i="20"/>
  <c r="AF38" i="20"/>
  <c r="U30" i="20"/>
  <c r="AF37" i="20"/>
  <c r="AF32" i="20"/>
  <c r="AF34" i="20"/>
  <c r="AF30" i="20"/>
  <c r="I13" i="23"/>
  <c r="C4" i="22"/>
  <c r="AF6" i="20"/>
  <c r="V6" i="20"/>
  <c r="AN4" i="8"/>
  <c r="AF22" i="20"/>
  <c r="AF24" i="20"/>
  <c r="D6" i="22" l="1"/>
  <c r="D7" i="22"/>
  <c r="D8" i="22"/>
  <c r="D11" i="22"/>
  <c r="D16" i="22"/>
  <c r="D17" i="22"/>
  <c r="D18" i="22"/>
  <c r="C9" i="22"/>
  <c r="C10" i="22"/>
  <c r="C12" i="22"/>
  <c r="C13" i="22"/>
  <c r="C14" i="22"/>
  <c r="D5" i="22"/>
  <c r="E21" i="22"/>
  <c r="E23" i="22"/>
  <c r="E22" i="22"/>
  <c r="E23" i="21"/>
  <c r="E24" i="21"/>
  <c r="E22" i="21"/>
  <c r="E8" i="21"/>
  <c r="E12" i="21"/>
  <c r="E13" i="21"/>
  <c r="E14" i="21"/>
  <c r="E15" i="21"/>
  <c r="E17" i="21"/>
  <c r="E18" i="21"/>
  <c r="E19" i="21"/>
  <c r="D23" i="21"/>
  <c r="D24" i="21"/>
  <c r="D22" i="21"/>
  <c r="D8" i="21"/>
  <c r="D9" i="21"/>
  <c r="D12" i="21"/>
  <c r="D13" i="21"/>
  <c r="D14" i="21"/>
  <c r="D15" i="21"/>
  <c r="D17" i="21"/>
  <c r="D18" i="21"/>
  <c r="D19" i="21"/>
  <c r="C23" i="21"/>
  <c r="C24" i="21"/>
  <c r="C22" i="21"/>
  <c r="AI22" i="20" l="1"/>
  <c r="AI23" i="20"/>
  <c r="AI24" i="20"/>
  <c r="AH22" i="20"/>
  <c r="AH23" i="20"/>
  <c r="AH24" i="20"/>
  <c r="AI6" i="20"/>
  <c r="AG22" i="20"/>
  <c r="AG24" i="20"/>
  <c r="AG6" i="20"/>
  <c r="AC8" i="20"/>
  <c r="AD8" i="20"/>
  <c r="AE8" i="20"/>
  <c r="AC9" i="20"/>
  <c r="AD9" i="20"/>
  <c r="AE9" i="20"/>
  <c r="AC10" i="20"/>
  <c r="AD10" i="20"/>
  <c r="AE10" i="20"/>
  <c r="AC11" i="20"/>
  <c r="AD11" i="20"/>
  <c r="AE11" i="20"/>
  <c r="AC12" i="20"/>
  <c r="AD12" i="20"/>
  <c r="AE12" i="20"/>
  <c r="AC13" i="20"/>
  <c r="AD13" i="20"/>
  <c r="AE13" i="20"/>
  <c r="AC14" i="20"/>
  <c r="AD14" i="20"/>
  <c r="AE14" i="20"/>
  <c r="AC15" i="20"/>
  <c r="AD15" i="20"/>
  <c r="AE15" i="20"/>
  <c r="AC16" i="20"/>
  <c r="AD16" i="20"/>
  <c r="AE16" i="20"/>
  <c r="AC17" i="20"/>
  <c r="AD17" i="20"/>
  <c r="AE17" i="20"/>
  <c r="AC18" i="20"/>
  <c r="AD18" i="20"/>
  <c r="AE18" i="20"/>
  <c r="AC19" i="20"/>
  <c r="AD19" i="20"/>
  <c r="AE19" i="20"/>
  <c r="AC20" i="20"/>
  <c r="AD20" i="20"/>
  <c r="AE20" i="20"/>
  <c r="AC21" i="20"/>
  <c r="AD21" i="20"/>
  <c r="AE21" i="20"/>
  <c r="AC22" i="20"/>
  <c r="AD22" i="20"/>
  <c r="AE22" i="20"/>
  <c r="AC23" i="20"/>
  <c r="AD23" i="20"/>
  <c r="AE23" i="20"/>
  <c r="AC24" i="20"/>
  <c r="AD24" i="20"/>
  <c r="AE24" i="20"/>
  <c r="AD7" i="20"/>
  <c r="AE7" i="20"/>
  <c r="AC7" i="20"/>
  <c r="Y22" i="20"/>
  <c r="Y23" i="20"/>
  <c r="Y24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2" i="20"/>
  <c r="X23" i="20"/>
  <c r="X24" i="20"/>
  <c r="X7" i="20"/>
  <c r="Y6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2" i="20"/>
  <c r="V23" i="20"/>
  <c r="V24" i="20"/>
  <c r="V7" i="20"/>
  <c r="W6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7" i="20"/>
  <c r="R8" i="20"/>
  <c r="S8" i="20"/>
  <c r="T8" i="20"/>
  <c r="R9" i="20"/>
  <c r="S9" i="20"/>
  <c r="T9" i="20"/>
  <c r="R10" i="20"/>
  <c r="S10" i="20"/>
  <c r="T10" i="20"/>
  <c r="R11" i="20"/>
  <c r="S11" i="20"/>
  <c r="T11" i="20"/>
  <c r="R12" i="20"/>
  <c r="S12" i="20"/>
  <c r="T12" i="20"/>
  <c r="R13" i="20"/>
  <c r="S13" i="20"/>
  <c r="T13" i="20"/>
  <c r="R14" i="20"/>
  <c r="S14" i="20"/>
  <c r="T14" i="20"/>
  <c r="R15" i="20"/>
  <c r="S15" i="20"/>
  <c r="T15" i="20"/>
  <c r="R16" i="20"/>
  <c r="S16" i="20"/>
  <c r="T16" i="20"/>
  <c r="R17" i="20"/>
  <c r="S17" i="20"/>
  <c r="T17" i="20"/>
  <c r="R18" i="20"/>
  <c r="S18" i="20"/>
  <c r="T18" i="20"/>
  <c r="R19" i="20"/>
  <c r="S19" i="20"/>
  <c r="T19" i="20"/>
  <c r="R20" i="20"/>
  <c r="S20" i="20"/>
  <c r="T20" i="20"/>
  <c r="R21" i="20"/>
  <c r="S21" i="20"/>
  <c r="T21" i="20"/>
  <c r="R22" i="20"/>
  <c r="S22" i="20"/>
  <c r="T22" i="20"/>
  <c r="R23" i="20"/>
  <c r="S23" i="20"/>
  <c r="T23" i="20"/>
  <c r="R24" i="20"/>
  <c r="S24" i="20"/>
  <c r="T24" i="20"/>
  <c r="S7" i="20"/>
  <c r="T7" i="20"/>
  <c r="R7" i="20"/>
  <c r="AJ22" i="20" l="1"/>
  <c r="AJ24" i="20"/>
  <c r="Z22" i="20"/>
  <c r="Z24" i="20"/>
  <c r="Z23" i="20"/>
  <c r="M12" i="24"/>
  <c r="V5" i="10"/>
  <c r="V6" i="10"/>
  <c r="J6" i="26" s="1"/>
  <c r="X6" i="10"/>
  <c r="L6" i="26" s="1"/>
  <c r="Z6" i="10"/>
  <c r="N6" i="26" s="1"/>
  <c r="AB6" i="10"/>
  <c r="P6" i="26" s="1"/>
  <c r="V7" i="10"/>
  <c r="J7" i="26" s="1"/>
  <c r="X7" i="10"/>
  <c r="L7" i="26" s="1"/>
  <c r="Z7" i="10"/>
  <c r="N7" i="26" s="1"/>
  <c r="AB7" i="10"/>
  <c r="P7" i="26" s="1"/>
  <c r="V8" i="10"/>
  <c r="J8" i="26" s="1"/>
  <c r="X8" i="10"/>
  <c r="L8" i="26" s="1"/>
  <c r="Z8" i="10"/>
  <c r="N8" i="26" s="1"/>
  <c r="AB8" i="10"/>
  <c r="P8" i="26" s="1"/>
  <c r="V9" i="10"/>
  <c r="J9" i="26" s="1"/>
  <c r="X9" i="10"/>
  <c r="L9" i="26" s="1"/>
  <c r="Z9" i="10"/>
  <c r="N9" i="26" s="1"/>
  <c r="AB9" i="10"/>
  <c r="P9" i="26" s="1"/>
  <c r="V10" i="10"/>
  <c r="J10" i="26" s="1"/>
  <c r="X10" i="10"/>
  <c r="L10" i="26" s="1"/>
  <c r="Z10" i="10"/>
  <c r="N10" i="26" s="1"/>
  <c r="AB10" i="10"/>
  <c r="P10" i="26" s="1"/>
  <c r="V11" i="10"/>
  <c r="J11" i="26" s="1"/>
  <c r="X11" i="10"/>
  <c r="L11" i="26" s="1"/>
  <c r="Z11" i="10"/>
  <c r="N11" i="26" s="1"/>
  <c r="AB11" i="10"/>
  <c r="P11" i="26" s="1"/>
  <c r="V12" i="10"/>
  <c r="J12" i="26" s="1"/>
  <c r="X12" i="10"/>
  <c r="L12" i="26" s="1"/>
  <c r="Z12" i="10"/>
  <c r="N12" i="26" s="1"/>
  <c r="AB12" i="10"/>
  <c r="P12" i="26" s="1"/>
  <c r="V13" i="10"/>
  <c r="J13" i="26" s="1"/>
  <c r="X13" i="10"/>
  <c r="L13" i="26" s="1"/>
  <c r="Z13" i="10"/>
  <c r="N13" i="26" s="1"/>
  <c r="AB13" i="10"/>
  <c r="P13" i="26" s="1"/>
  <c r="V14" i="10"/>
  <c r="J14" i="26" s="1"/>
  <c r="X14" i="10"/>
  <c r="L14" i="26" s="1"/>
  <c r="Z14" i="10"/>
  <c r="N14" i="26" s="1"/>
  <c r="AB14" i="10"/>
  <c r="P14" i="26" s="1"/>
  <c r="V15" i="10"/>
  <c r="J15" i="26" s="1"/>
  <c r="X15" i="10"/>
  <c r="L15" i="26" s="1"/>
  <c r="Z15" i="10"/>
  <c r="N15" i="26" s="1"/>
  <c r="AB15" i="10"/>
  <c r="P15" i="26" s="1"/>
  <c r="V16" i="10"/>
  <c r="J16" i="26" s="1"/>
  <c r="X16" i="10"/>
  <c r="L16" i="26" s="1"/>
  <c r="Z16" i="10"/>
  <c r="N16" i="26" s="1"/>
  <c r="AB16" i="10"/>
  <c r="P16" i="26" s="1"/>
  <c r="V17" i="10"/>
  <c r="J17" i="26" s="1"/>
  <c r="X17" i="10"/>
  <c r="L17" i="26" s="1"/>
  <c r="Z17" i="10"/>
  <c r="N17" i="26" s="1"/>
  <c r="AB17" i="10"/>
  <c r="P17" i="26" s="1"/>
  <c r="V18" i="10"/>
  <c r="J18" i="26" s="1"/>
  <c r="X18" i="10"/>
  <c r="L18" i="26" s="1"/>
  <c r="Z18" i="10"/>
  <c r="N18" i="26" s="1"/>
  <c r="AB18" i="10"/>
  <c r="P18" i="26" s="1"/>
  <c r="V19" i="10"/>
  <c r="J19" i="26" s="1"/>
  <c r="X19" i="10"/>
  <c r="L19" i="26" s="1"/>
  <c r="Z19" i="10"/>
  <c r="N19" i="26" s="1"/>
  <c r="AB19" i="10"/>
  <c r="P19" i="26" s="1"/>
  <c r="V20" i="10"/>
  <c r="J20" i="26" s="1"/>
  <c r="X20" i="10"/>
  <c r="L20" i="26" s="1"/>
  <c r="Z20" i="10"/>
  <c r="N20" i="26" s="1"/>
  <c r="AB20" i="10"/>
  <c r="P20" i="26" s="1"/>
  <c r="V21" i="10"/>
  <c r="J21" i="26" s="1"/>
  <c r="X21" i="10"/>
  <c r="L21" i="26" s="1"/>
  <c r="Z21" i="10"/>
  <c r="N21" i="26" s="1"/>
  <c r="AB21" i="10"/>
  <c r="P21" i="26" s="1"/>
  <c r="V22" i="10"/>
  <c r="J22" i="26" s="1"/>
  <c r="X22" i="10"/>
  <c r="L22" i="26" s="1"/>
  <c r="Z22" i="10"/>
  <c r="N22" i="26" s="1"/>
  <c r="AB22" i="10"/>
  <c r="P22" i="26" s="1"/>
  <c r="V23" i="10"/>
  <c r="J23" i="26" s="1"/>
  <c r="X23" i="10"/>
  <c r="L23" i="26" s="1"/>
  <c r="Z23" i="10"/>
  <c r="N23" i="26" s="1"/>
  <c r="AB23" i="10"/>
  <c r="P23" i="26" s="1"/>
  <c r="V24" i="10"/>
  <c r="J24" i="26" s="1"/>
  <c r="X24" i="10"/>
  <c r="L24" i="26" s="1"/>
  <c r="Z24" i="10"/>
  <c r="N24" i="26" s="1"/>
  <c r="AB24" i="10"/>
  <c r="P24" i="26" s="1"/>
  <c r="V25" i="10"/>
  <c r="J25" i="26" s="1"/>
  <c r="X25" i="10"/>
  <c r="L25" i="26" s="1"/>
  <c r="Z25" i="10"/>
  <c r="N25" i="26" s="1"/>
  <c r="AB25" i="10"/>
  <c r="P25" i="26" s="1"/>
  <c r="V26" i="10"/>
  <c r="J26" i="26" s="1"/>
  <c r="X26" i="10"/>
  <c r="L26" i="26" s="1"/>
  <c r="Z26" i="10"/>
  <c r="N26" i="26" s="1"/>
  <c r="AB26" i="10"/>
  <c r="P26" i="26" s="1"/>
  <c r="AB5" i="10"/>
  <c r="P5" i="26" s="1"/>
  <c r="Z5" i="10"/>
  <c r="N5" i="26" s="1"/>
  <c r="X5" i="10"/>
  <c r="L5" i="26" s="1"/>
  <c r="H13" i="2"/>
  <c r="C24" i="29" s="1"/>
  <c r="I13" i="2"/>
  <c r="D24" i="29" s="1"/>
  <c r="J13" i="2"/>
  <c r="C44" i="1"/>
  <c r="M13" i="2" l="1"/>
  <c r="L27" i="26"/>
  <c r="P27" i="26"/>
  <c r="P34" i="26" s="1"/>
  <c r="J5" i="26"/>
  <c r="J27" i="26" s="1"/>
  <c r="J34" i="26" s="1"/>
  <c r="N27" i="26"/>
  <c r="S12" i="24"/>
  <c r="W17" i="20"/>
  <c r="W18" i="20"/>
  <c r="W12" i="24"/>
  <c r="K12" i="24"/>
  <c r="AM12" i="24"/>
  <c r="Y17" i="20"/>
  <c r="AK12" i="24"/>
  <c r="Y18" i="20"/>
  <c r="H14" i="2"/>
  <c r="AJ12" i="24"/>
  <c r="AL12" i="24"/>
  <c r="B5" i="10"/>
  <c r="G2" i="2"/>
  <c r="J14" i="2"/>
  <c r="G24" i="1" s="1"/>
  <c r="D68" i="11" s="1"/>
  <c r="I14" i="2"/>
  <c r="D24" i="1" s="1"/>
  <c r="C10" i="2"/>
  <c r="C9" i="2"/>
  <c r="E15" i="15"/>
  <c r="E14" i="15"/>
  <c r="E8" i="15"/>
  <c r="E7" i="15"/>
  <c r="E6" i="15"/>
  <c r="E5" i="15"/>
  <c r="E4" i="15"/>
  <c r="E3" i="15"/>
  <c r="O44" i="4" l="1"/>
  <c r="N43" i="22" s="1"/>
  <c r="E25" i="21"/>
  <c r="F223" i="28"/>
  <c r="F160" i="28"/>
  <c r="F161" i="28"/>
  <c r="F224" i="28"/>
  <c r="I43" i="4"/>
  <c r="I42" i="22" s="1"/>
  <c r="D25" i="21"/>
  <c r="AF17" i="20"/>
  <c r="AF18" i="20"/>
  <c r="Y12" i="24"/>
  <c r="AH12" i="24"/>
  <c r="AF12" i="24"/>
  <c r="AB12" i="24"/>
  <c r="AH18" i="20"/>
  <c r="Z18" i="20"/>
  <c r="AH17" i="20"/>
  <c r="Z17" i="20"/>
  <c r="C24" i="1"/>
  <c r="C24" i="4" l="1"/>
  <c r="D24" i="22" s="1"/>
  <c r="E24" i="22" s="1"/>
  <c r="C25" i="21"/>
  <c r="AI17" i="20"/>
  <c r="AI18" i="20"/>
  <c r="AD12" i="24"/>
  <c r="AG17" i="20" l="1"/>
  <c r="AJ17" i="20" s="1"/>
  <c r="AG18" i="20"/>
  <c r="AJ18" i="20" s="1"/>
  <c r="Z12" i="24"/>
  <c r="N38" i="4"/>
  <c r="M37" i="22" s="1"/>
  <c r="P44" i="4"/>
  <c r="O43" i="22" s="1"/>
  <c r="P43" i="4"/>
  <c r="P42" i="4"/>
  <c r="P41" i="4"/>
  <c r="J43" i="4"/>
  <c r="J42" i="22" s="1"/>
  <c r="J42" i="4"/>
  <c r="J41" i="4"/>
  <c r="J40" i="4"/>
  <c r="D21" i="4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E6" i="10"/>
  <c r="AE5" i="10"/>
  <c r="C7" i="13"/>
  <c r="C6" i="13"/>
  <c r="C5" i="13"/>
  <c r="C4" i="13"/>
  <c r="C3" i="13"/>
  <c r="D161" i="11"/>
  <c r="D160" i="11"/>
  <c r="D141" i="11"/>
  <c r="D140" i="11"/>
  <c r="D139" i="11"/>
  <c r="D138" i="11"/>
  <c r="D67" i="11"/>
  <c r="D58" i="11"/>
  <c r="D57" i="11"/>
  <c r="D56" i="11"/>
  <c r="D94" i="11"/>
  <c r="D69" i="11"/>
  <c r="D59" i="11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6" i="12"/>
  <c r="A7" i="12"/>
  <c r="A8" i="12"/>
  <c r="A9" i="12"/>
  <c r="A10" i="12"/>
  <c r="A11" i="12"/>
  <c r="A12" i="12"/>
  <c r="A13" i="12"/>
  <c r="A14" i="12"/>
  <c r="A15" i="12"/>
  <c r="A5" i="12"/>
  <c r="J39" i="12"/>
  <c r="J38" i="12"/>
  <c r="I25" i="12"/>
  <c r="G26" i="12"/>
  <c r="M3" i="30" s="1"/>
  <c r="G27" i="12"/>
  <c r="M4" i="30" s="1"/>
  <c r="G28" i="12"/>
  <c r="M5" i="30" s="1"/>
  <c r="G29" i="12"/>
  <c r="M6" i="30" s="1"/>
  <c r="G30" i="12"/>
  <c r="M7" i="30" s="1"/>
  <c r="G31" i="12"/>
  <c r="M8" i="30" s="1"/>
  <c r="G32" i="12"/>
  <c r="M9" i="30" s="1"/>
  <c r="G33" i="12"/>
  <c r="M10" i="30" s="1"/>
  <c r="G34" i="12"/>
  <c r="M11" i="30" s="1"/>
  <c r="G35" i="12"/>
  <c r="M12" i="30" s="1"/>
  <c r="G25" i="12"/>
  <c r="M2" i="30" s="1"/>
  <c r="L16" i="12"/>
  <c r="K16" i="12"/>
  <c r="AD5" i="10"/>
  <c r="D2" i="13"/>
  <c r="C2" i="13"/>
  <c r="B15" i="4" l="1"/>
  <c r="C12" i="29"/>
  <c r="F15" i="30"/>
  <c r="J25" i="12"/>
  <c r="O2" i="30"/>
  <c r="F16" i="30"/>
  <c r="C12" i="1"/>
  <c r="C13" i="21" s="1"/>
  <c r="H37" i="4"/>
  <c r="H36" i="22" s="1"/>
  <c r="C12" i="4"/>
  <c r="D12" i="22" s="1"/>
  <c r="J40" i="12"/>
  <c r="J41" i="12" l="1"/>
  <c r="C14" i="1" s="1"/>
  <c r="C15" i="21" s="1"/>
  <c r="F17" i="30"/>
  <c r="J36" i="12"/>
  <c r="P2" i="30"/>
  <c r="D38" i="11"/>
  <c r="E12" i="22"/>
  <c r="U11" i="8"/>
  <c r="U10" i="8"/>
  <c r="U9" i="8"/>
  <c r="U5" i="8"/>
  <c r="T5" i="8"/>
  <c r="AB27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M14" i="24"/>
  <c r="M13" i="24"/>
  <c r="Z27" i="10"/>
  <c r="G15" i="1" s="1"/>
  <c r="E16" i="21" s="1"/>
  <c r="X27" i="10"/>
  <c r="D15" i="29" s="1"/>
  <c r="V27" i="10"/>
  <c r="C15" i="4" s="1"/>
  <c r="D15" i="22" s="1"/>
  <c r="T27" i="10"/>
  <c r="C14" i="4" l="1"/>
  <c r="D14" i="22" s="1"/>
  <c r="E14" i="22" s="1"/>
  <c r="C14" i="29"/>
  <c r="F18" i="30"/>
  <c r="D40" i="11"/>
  <c r="D15" i="1"/>
  <c r="D16" i="21" s="1"/>
  <c r="S13" i="24"/>
  <c r="S14" i="24"/>
  <c r="W20" i="20"/>
  <c r="W19" i="20"/>
  <c r="K14" i="24"/>
  <c r="K13" i="24"/>
  <c r="AM14" i="24"/>
  <c r="W14" i="24"/>
  <c r="AM13" i="24"/>
  <c r="W13" i="24"/>
  <c r="Y20" i="20"/>
  <c r="Y19" i="20"/>
  <c r="AK13" i="24"/>
  <c r="B16" i="4"/>
  <c r="B17" i="4"/>
  <c r="B18" i="4"/>
  <c r="V32" i="10"/>
  <c r="C18" i="29" s="1"/>
  <c r="C29" i="2"/>
  <c r="AB29" i="10"/>
  <c r="AB31" i="10"/>
  <c r="C36" i="1" s="1"/>
  <c r="D158" i="11" s="1"/>
  <c r="AJ14" i="24"/>
  <c r="AK14" i="24"/>
  <c r="AL14" i="24"/>
  <c r="AJ13" i="24"/>
  <c r="AL13" i="24"/>
  <c r="V31" i="10"/>
  <c r="C16" i="29" s="1"/>
  <c r="V29" i="10"/>
  <c r="C15" i="29" s="1"/>
  <c r="V30" i="10"/>
  <c r="C17" i="29" s="1"/>
  <c r="N16" i="29" l="1"/>
  <c r="O16" i="29" s="1"/>
  <c r="N17" i="29"/>
  <c r="O17" i="29" s="1"/>
  <c r="F225" i="28"/>
  <c r="F162" i="28"/>
  <c r="C17" i="1"/>
  <c r="C18" i="21" s="1"/>
  <c r="C15" i="1"/>
  <c r="C16" i="21" s="1"/>
  <c r="C16" i="1"/>
  <c r="C17" i="21" s="1"/>
  <c r="C18" i="1"/>
  <c r="C19" i="21" s="1"/>
  <c r="D135" i="11"/>
  <c r="C17" i="22"/>
  <c r="C16" i="22"/>
  <c r="C15" i="22"/>
  <c r="C18" i="22"/>
  <c r="AH14" i="24"/>
  <c r="AF14" i="24"/>
  <c r="AF19" i="20"/>
  <c r="Y13" i="24"/>
  <c r="AF20" i="20"/>
  <c r="Y14" i="24"/>
  <c r="AH19" i="20"/>
  <c r="AB13" i="24"/>
  <c r="AH13" i="24"/>
  <c r="AF13" i="24"/>
  <c r="AH20" i="20"/>
  <c r="AB14" i="24"/>
  <c r="Z20" i="20"/>
  <c r="Z19" i="20"/>
  <c r="AB34" i="10"/>
  <c r="C35" i="1"/>
  <c r="V34" i="10"/>
  <c r="Q17" i="1" l="1"/>
  <c r="R17" i="1" s="1"/>
  <c r="D45" i="11"/>
  <c r="Q16" i="1"/>
  <c r="R16" i="1" s="1"/>
  <c r="D46" i="11"/>
  <c r="D47" i="11"/>
  <c r="D44" i="11"/>
  <c r="Z13" i="24"/>
  <c r="E16" i="22"/>
  <c r="E18" i="22"/>
  <c r="E15" i="22"/>
  <c r="E17" i="22"/>
  <c r="Z14" i="24"/>
  <c r="AI20" i="20"/>
  <c r="AD14" i="24"/>
  <c r="AI19" i="20"/>
  <c r="AD13" i="24"/>
  <c r="C37" i="1"/>
  <c r="D156" i="11"/>
  <c r="D157" i="11"/>
  <c r="D50" i="11" l="1"/>
  <c r="D51" i="11" s="1"/>
  <c r="D48" i="11"/>
  <c r="AG19" i="20"/>
  <c r="AJ19" i="20" s="1"/>
  <c r="AG20" i="20"/>
  <c r="AJ20" i="20" s="1"/>
  <c r="C42" i="1"/>
  <c r="C45" i="1" s="1"/>
  <c r="D159" i="11"/>
  <c r="D162" i="11" s="1"/>
  <c r="D163" i="11" s="1"/>
  <c r="D164" i="11" s="1"/>
  <c r="D166" i="11" l="1"/>
  <c r="E164" i="11"/>
  <c r="O26" i="9" l="1"/>
  <c r="T29" i="9"/>
  <c r="O37" i="4" s="1"/>
  <c r="N36" i="22" s="1"/>
  <c r="T28" i="9"/>
  <c r="G9" i="1" s="1"/>
  <c r="E10" i="21" s="1"/>
  <c r="R29" i="9"/>
  <c r="D10" i="29" s="1"/>
  <c r="D19" i="29" s="1"/>
  <c r="D25" i="29" s="1"/>
  <c r="D28" i="29" s="1"/>
  <c r="R28" i="9"/>
  <c r="P30" i="9"/>
  <c r="C13" i="29" s="1"/>
  <c r="P29" i="9"/>
  <c r="C10" i="29" s="1"/>
  <c r="P28" i="9"/>
  <c r="T26" i="9"/>
  <c r="R26" i="9"/>
  <c r="P26" i="9"/>
  <c r="B5" i="9"/>
  <c r="C28" i="2" s="1"/>
  <c r="C9" i="1" l="1"/>
  <c r="C10" i="21" s="1"/>
  <c r="C9" i="4"/>
  <c r="D9" i="22" s="1"/>
  <c r="C10" i="4"/>
  <c r="D10" i="22" s="1"/>
  <c r="E10" i="22" s="1"/>
  <c r="C10" i="1"/>
  <c r="C11" i="21" s="1"/>
  <c r="C13" i="1"/>
  <c r="C14" i="21" s="1"/>
  <c r="I35" i="4"/>
  <c r="D9" i="1"/>
  <c r="D10" i="21" s="1"/>
  <c r="D10" i="1"/>
  <c r="D11" i="21" s="1"/>
  <c r="P33" i="9"/>
  <c r="T33" i="9"/>
  <c r="O36" i="4"/>
  <c r="N35" i="22" s="1"/>
  <c r="G10" i="1"/>
  <c r="R33" i="9"/>
  <c r="I36" i="4"/>
  <c r="D35" i="11"/>
  <c r="C13" i="4"/>
  <c r="D13" i="22" s="1"/>
  <c r="E13" i="22" s="1"/>
  <c r="N11" i="6"/>
  <c r="R376" i="28" s="1"/>
  <c r="O11" i="6"/>
  <c r="S11" i="6"/>
  <c r="T11" i="6"/>
  <c r="X11" i="6"/>
  <c r="Y11" i="6"/>
  <c r="N12" i="6"/>
  <c r="R377" i="28" s="1"/>
  <c r="O12" i="6"/>
  <c r="S12" i="6"/>
  <c r="T12" i="6"/>
  <c r="X12" i="6"/>
  <c r="Y12" i="6"/>
  <c r="N13" i="6"/>
  <c r="O13" i="6"/>
  <c r="S13" i="6"/>
  <c r="T13" i="6"/>
  <c r="X13" i="6"/>
  <c r="Y13" i="6"/>
  <c r="N14" i="6"/>
  <c r="O14" i="6"/>
  <c r="S14" i="6"/>
  <c r="T14" i="6"/>
  <c r="X14" i="6"/>
  <c r="Y14" i="6"/>
  <c r="N15" i="6"/>
  <c r="O15" i="6"/>
  <c r="S15" i="6"/>
  <c r="T15" i="6"/>
  <c r="X15" i="6"/>
  <c r="Y15" i="6"/>
  <c r="N16" i="6"/>
  <c r="O16" i="6"/>
  <c r="S16" i="6"/>
  <c r="T16" i="6"/>
  <c r="X16" i="6"/>
  <c r="Y16" i="6"/>
  <c r="N17" i="6"/>
  <c r="O17" i="6"/>
  <c r="S17" i="6"/>
  <c r="T17" i="6"/>
  <c r="X17" i="6"/>
  <c r="Y17" i="6"/>
  <c r="N18" i="6"/>
  <c r="O18" i="6"/>
  <c r="S18" i="6"/>
  <c r="T18" i="6"/>
  <c r="X18" i="6"/>
  <c r="Y18" i="6"/>
  <c r="N19" i="6"/>
  <c r="O19" i="6"/>
  <c r="S19" i="6"/>
  <c r="T19" i="6"/>
  <c r="X19" i="6"/>
  <c r="Y19" i="6"/>
  <c r="N20" i="6"/>
  <c r="O20" i="6"/>
  <c r="S20" i="6"/>
  <c r="T20" i="6"/>
  <c r="X20" i="6"/>
  <c r="Y20" i="6"/>
  <c r="N21" i="6"/>
  <c r="O21" i="6"/>
  <c r="S21" i="6"/>
  <c r="T21" i="6"/>
  <c r="X21" i="6"/>
  <c r="Y21" i="6"/>
  <c r="AI4" i="8"/>
  <c r="AV4" i="8" s="1"/>
  <c r="AD4" i="8"/>
  <c r="Y3" i="6"/>
  <c r="Y4" i="8"/>
  <c r="T3" i="6"/>
  <c r="O3" i="6"/>
  <c r="P38" i="4"/>
  <c r="P37" i="4"/>
  <c r="O36" i="22" s="1"/>
  <c r="P35" i="4"/>
  <c r="J37" i="4"/>
  <c r="P22" i="6"/>
  <c r="AK11" i="8"/>
  <c r="W9" i="24" s="1"/>
  <c r="AF11" i="8"/>
  <c r="S9" i="24" s="1"/>
  <c r="AA11" i="8"/>
  <c r="V11" i="8"/>
  <c r="T11" i="8"/>
  <c r="O11" i="8"/>
  <c r="AK10" i="8"/>
  <c r="W8" i="24" s="1"/>
  <c r="AF10" i="8"/>
  <c r="S8" i="24" s="1"/>
  <c r="AA10" i="8"/>
  <c r="V10" i="8"/>
  <c r="T10" i="8"/>
  <c r="O10" i="8"/>
  <c r="AK9" i="8"/>
  <c r="W7" i="24" s="1"/>
  <c r="AF9" i="8"/>
  <c r="S7" i="24" s="1"/>
  <c r="AA9" i="8"/>
  <c r="V9" i="8"/>
  <c r="T9" i="8"/>
  <c r="O9" i="8"/>
  <c r="AK8" i="8"/>
  <c r="W6" i="24" s="1"/>
  <c r="AF8" i="8"/>
  <c r="S6" i="24" s="1"/>
  <c r="AA8" i="8"/>
  <c r="O8" i="8"/>
  <c r="AK7" i="8"/>
  <c r="W5" i="24" s="1"/>
  <c r="AF7" i="8"/>
  <c r="S5" i="24" s="1"/>
  <c r="AA7" i="8"/>
  <c r="O7" i="8"/>
  <c r="AK6" i="8"/>
  <c r="W4" i="24" s="1"/>
  <c r="AF6" i="8"/>
  <c r="S4" i="24" s="1"/>
  <c r="AA6" i="8"/>
  <c r="O6" i="8"/>
  <c r="V5" i="8"/>
  <c r="AN10" i="8" l="1"/>
  <c r="Y8" i="24" s="1"/>
  <c r="K8" i="24"/>
  <c r="AN11" i="8"/>
  <c r="K9" i="24"/>
  <c r="AN9" i="8"/>
  <c r="Y7" i="24" s="1"/>
  <c r="K7" i="24"/>
  <c r="F29" i="2"/>
  <c r="O37" i="22"/>
  <c r="J35" i="4"/>
  <c r="J34" i="22" s="1"/>
  <c r="I34" i="22"/>
  <c r="J36" i="4"/>
  <c r="J35" i="22" s="1"/>
  <c r="I35" i="22"/>
  <c r="K3" i="24"/>
  <c r="AN5" i="8"/>
  <c r="F105" i="28" s="1"/>
  <c r="E29" i="2"/>
  <c r="J36" i="22"/>
  <c r="Q230" i="28"/>
  <c r="Q275" i="28"/>
  <c r="X11" i="8"/>
  <c r="M9" i="24" s="1"/>
  <c r="Q281" i="28"/>
  <c r="Q274" i="28"/>
  <c r="X9" i="8"/>
  <c r="M7" i="24" s="1"/>
  <c r="Q277" i="28"/>
  <c r="X10" i="8"/>
  <c r="M8" i="24" s="1"/>
  <c r="Q278" i="28"/>
  <c r="Q276" i="28"/>
  <c r="D36" i="11"/>
  <c r="F364" i="28"/>
  <c r="F362" i="28"/>
  <c r="F360" i="28"/>
  <c r="F358" i="28"/>
  <c r="E388" i="28"/>
  <c r="E393" i="28"/>
  <c r="D134" i="11"/>
  <c r="F365" i="28"/>
  <c r="F363" i="28"/>
  <c r="F361" i="28"/>
  <c r="F359" i="28"/>
  <c r="E397" i="28"/>
  <c r="E395" i="28"/>
  <c r="D133" i="11"/>
  <c r="D39" i="11"/>
  <c r="W15" i="20"/>
  <c r="W14" i="20"/>
  <c r="W11" i="20"/>
  <c r="W13" i="20"/>
  <c r="W12" i="20"/>
  <c r="W10" i="20"/>
  <c r="W9" i="20"/>
  <c r="W8" i="20"/>
  <c r="W16" i="20"/>
  <c r="BC6" i="8"/>
  <c r="AM4" i="24" s="1"/>
  <c r="AL10" i="8"/>
  <c r="AL9" i="8"/>
  <c r="BC7" i="8"/>
  <c r="AM5" i="24" s="1"/>
  <c r="BC11" i="8"/>
  <c r="AM9" i="24" s="1"/>
  <c r="AL8" i="8"/>
  <c r="Q20" i="6"/>
  <c r="V17" i="6"/>
  <c r="V13" i="6"/>
  <c r="AA19" i="6"/>
  <c r="AA15" i="6"/>
  <c r="Q13" i="6"/>
  <c r="AA20" i="6"/>
  <c r="V19" i="6"/>
  <c r="Q18" i="6"/>
  <c r="AA16" i="6"/>
  <c r="V15" i="6"/>
  <c r="Q14" i="6"/>
  <c r="AA12" i="6"/>
  <c r="V11" i="6"/>
  <c r="AA18" i="6"/>
  <c r="AA14" i="6"/>
  <c r="Q12" i="6"/>
  <c r="S377" i="28" s="1"/>
  <c r="V18" i="6"/>
  <c r="V14" i="6"/>
  <c r="AA11" i="6"/>
  <c r="V21" i="6"/>
  <c r="Q16" i="6"/>
  <c r="Q21" i="6"/>
  <c r="Q17" i="6"/>
  <c r="AA21" i="6"/>
  <c r="V20" i="6"/>
  <c r="Q19" i="6"/>
  <c r="AA17" i="6"/>
  <c r="V16" i="6"/>
  <c r="Q15" i="6"/>
  <c r="AA13" i="6"/>
  <c r="V12" i="6"/>
  <c r="Q11" i="6"/>
  <c r="S376" i="28" s="1"/>
  <c r="D65" i="11"/>
  <c r="E11" i="21"/>
  <c r="BB6" i="8"/>
  <c r="AL4" i="24" s="1"/>
  <c r="Y8" i="20"/>
  <c r="Y15" i="20"/>
  <c r="BA9" i="8"/>
  <c r="AK7" i="24" s="1"/>
  <c r="AG10" i="8"/>
  <c r="Y12" i="20"/>
  <c r="BA10" i="8"/>
  <c r="AK8" i="24" s="1"/>
  <c r="AG11" i="8"/>
  <c r="Y13" i="20"/>
  <c r="Y16" i="20"/>
  <c r="Y14" i="20"/>
  <c r="AB8" i="8"/>
  <c r="AG9" i="8"/>
  <c r="Y11" i="20"/>
  <c r="BA7" i="8"/>
  <c r="AK5" i="24" s="1"/>
  <c r="AG8" i="8"/>
  <c r="Y10" i="20"/>
  <c r="BA6" i="8"/>
  <c r="AK4" i="24" s="1"/>
  <c r="AG7" i="8"/>
  <c r="Y9" i="20"/>
  <c r="AR4" i="8"/>
  <c r="AH6" i="20" s="1"/>
  <c r="X6" i="20"/>
  <c r="E9" i="22"/>
  <c r="D19" i="22"/>
  <c r="D25" i="22" s="1"/>
  <c r="AV7" i="8"/>
  <c r="AF5" i="24" s="1"/>
  <c r="AR7" i="8"/>
  <c r="AV6" i="8"/>
  <c r="AF4" i="24" s="1"/>
  <c r="AR6" i="8"/>
  <c r="AB4" i="24" s="1"/>
  <c r="AR9" i="8"/>
  <c r="AB7" i="24" s="1"/>
  <c r="AV9" i="8"/>
  <c r="AF7" i="24" s="1"/>
  <c r="AR11" i="8"/>
  <c r="AB9" i="24" s="1"/>
  <c r="AV11" i="8"/>
  <c r="AF9" i="24" s="1"/>
  <c r="AV8" i="8"/>
  <c r="AF6" i="24" s="1"/>
  <c r="AR8" i="8"/>
  <c r="AV10" i="8"/>
  <c r="AF8" i="24" s="1"/>
  <c r="AR10" i="8"/>
  <c r="AB8" i="24" s="1"/>
  <c r="AE37" i="20"/>
  <c r="AR5" i="8"/>
  <c r="AV5" i="8"/>
  <c r="AF3" i="24" s="1"/>
  <c r="C19" i="4"/>
  <c r="C25" i="4" s="1"/>
  <c r="C28" i="4" s="1"/>
  <c r="P36" i="4"/>
  <c r="O39" i="4"/>
  <c r="I38" i="4"/>
  <c r="I44" i="4" s="1"/>
  <c r="B17" i="6"/>
  <c r="E28" i="2"/>
  <c r="B20" i="6"/>
  <c r="B14" i="6"/>
  <c r="B12" i="6"/>
  <c r="B21" i="6"/>
  <c r="B19" i="6"/>
  <c r="B15" i="6"/>
  <c r="B13" i="6"/>
  <c r="B11" i="6"/>
  <c r="B16" i="6"/>
  <c r="B18" i="6"/>
  <c r="AZ11" i="8"/>
  <c r="AJ9" i="24" s="1"/>
  <c r="BA11" i="8"/>
  <c r="AK9" i="24" s="1"/>
  <c r="BB7" i="8"/>
  <c r="AL5" i="24" s="1"/>
  <c r="BC9" i="8"/>
  <c r="AM7" i="24" s="1"/>
  <c r="AL7" i="8"/>
  <c r="BC8" i="8"/>
  <c r="AM6" i="24" s="1"/>
  <c r="AB11" i="8"/>
  <c r="AG6" i="8"/>
  <c r="BC10" i="8"/>
  <c r="AM8" i="24" s="1"/>
  <c r="BB11" i="8"/>
  <c r="AL9" i="24" s="1"/>
  <c r="AL6" i="8"/>
  <c r="AZ9" i="8"/>
  <c r="AJ7" i="24" s="1"/>
  <c r="BB10" i="8"/>
  <c r="AL8" i="24" s="1"/>
  <c r="AB9" i="8"/>
  <c r="AL11" i="8"/>
  <c r="AZ8" i="8"/>
  <c r="AJ6" i="24" s="1"/>
  <c r="BB9" i="8"/>
  <c r="AL7" i="24" s="1"/>
  <c r="BA8" i="8"/>
  <c r="AK6" i="24" s="1"/>
  <c r="AZ10" i="8"/>
  <c r="AJ8" i="24" s="1"/>
  <c r="AZ7" i="8"/>
  <c r="BB8" i="8"/>
  <c r="AL6" i="24" s="1"/>
  <c r="AB7" i="8"/>
  <c r="AZ6" i="8"/>
  <c r="AB6" i="8"/>
  <c r="AB10" i="8"/>
  <c r="AW12" i="8"/>
  <c r="AS12" i="8"/>
  <c r="AO12" i="8"/>
  <c r="Y12" i="8"/>
  <c r="Z12" i="8"/>
  <c r="AD12" i="8"/>
  <c r="AE12" i="8"/>
  <c r="AI12" i="8"/>
  <c r="U10" i="24" s="1"/>
  <c r="U15" i="24" s="1"/>
  <c r="AJ12" i="8"/>
  <c r="AK5" i="8"/>
  <c r="W3" i="24" s="1"/>
  <c r="AA5" i="8"/>
  <c r="AF5" i="8"/>
  <c r="X5" i="8"/>
  <c r="M3" i="24" s="1"/>
  <c r="O5" i="8"/>
  <c r="E7" i="28" s="1"/>
  <c r="F5" i="28" s="1"/>
  <c r="G5" i="28" s="1"/>
  <c r="Z22" i="6"/>
  <c r="U22" i="6"/>
  <c r="AI14" i="6"/>
  <c r="AE36" i="20" l="1"/>
  <c r="Y9" i="24"/>
  <c r="T36" i="20"/>
  <c r="S233" i="28"/>
  <c r="N233" i="28" s="1"/>
  <c r="AJ5" i="24"/>
  <c r="S231" i="28"/>
  <c r="N231" i="28" s="1"/>
  <c r="AJ4" i="24"/>
  <c r="AE31" i="20"/>
  <c r="AB6" i="24"/>
  <c r="AE32" i="20"/>
  <c r="AB5" i="24"/>
  <c r="X21" i="20"/>
  <c r="Q10" i="24"/>
  <c r="V21" i="20"/>
  <c r="T233" i="28"/>
  <c r="AE30" i="20"/>
  <c r="S232" i="28"/>
  <c r="E294" i="28" s="1"/>
  <c r="O45" i="4"/>
  <c r="N44" i="22" s="1"/>
  <c r="N38" i="22"/>
  <c r="I37" i="22"/>
  <c r="F28" i="2"/>
  <c r="O35" i="22"/>
  <c r="F168" i="28"/>
  <c r="I47" i="4"/>
  <c r="I43" i="22"/>
  <c r="I46" i="22" s="1"/>
  <c r="S277" i="28"/>
  <c r="S278" i="28"/>
  <c r="S274" i="28"/>
  <c r="R274" i="28"/>
  <c r="R281" i="28"/>
  <c r="D344" i="28" s="1"/>
  <c r="R276" i="28"/>
  <c r="D300" i="28" s="1"/>
  <c r="S276" i="28"/>
  <c r="R278" i="28"/>
  <c r="D341" i="28" s="1"/>
  <c r="R275" i="28"/>
  <c r="D298" i="28" s="1"/>
  <c r="R230" i="28"/>
  <c r="S275" i="28"/>
  <c r="S281" i="28"/>
  <c r="Q289" i="28"/>
  <c r="R277" i="28"/>
  <c r="D340" i="28" s="1"/>
  <c r="E390" i="28"/>
  <c r="E389" i="28" s="1"/>
  <c r="T34" i="20"/>
  <c r="F153" i="28"/>
  <c r="F216" i="28"/>
  <c r="G363" i="28"/>
  <c r="T35" i="20"/>
  <c r="F156" i="28"/>
  <c r="F219" i="28"/>
  <c r="G362" i="28"/>
  <c r="T37" i="20"/>
  <c r="F220" i="28"/>
  <c r="F157" i="28"/>
  <c r="F393" i="28"/>
  <c r="T38" i="20"/>
  <c r="F221" i="28"/>
  <c r="F158" i="28"/>
  <c r="T30" i="20"/>
  <c r="F212" i="28"/>
  <c r="F149" i="28"/>
  <c r="F159" i="28"/>
  <c r="F222" i="28"/>
  <c r="T31" i="20"/>
  <c r="F214" i="28"/>
  <c r="F151" i="28"/>
  <c r="G361" i="28"/>
  <c r="F213" i="28"/>
  <c r="F150" i="28"/>
  <c r="G364" i="28"/>
  <c r="G358" i="28"/>
  <c r="F388" i="28"/>
  <c r="T33" i="20"/>
  <c r="F215" i="28"/>
  <c r="F152" i="28"/>
  <c r="G359" i="28"/>
  <c r="F397" i="28"/>
  <c r="G365" i="28"/>
  <c r="G360" i="28"/>
  <c r="T32" i="20"/>
  <c r="AE38" i="20"/>
  <c r="AE35" i="20"/>
  <c r="AE34" i="20"/>
  <c r="AE33" i="20"/>
  <c r="AB3" i="24"/>
  <c r="W7" i="20"/>
  <c r="Y3" i="24"/>
  <c r="AF13" i="20"/>
  <c r="AF14" i="20"/>
  <c r="AF10" i="20"/>
  <c r="AX8" i="8"/>
  <c r="AH6" i="24" s="1"/>
  <c r="AF8" i="20"/>
  <c r="AH10" i="20"/>
  <c r="AF16" i="20"/>
  <c r="Y7" i="20"/>
  <c r="S3" i="24"/>
  <c r="S15" i="24" s="1"/>
  <c r="AF9" i="20"/>
  <c r="AX11" i="8"/>
  <c r="AH9" i="24" s="1"/>
  <c r="AH8" i="20"/>
  <c r="AF15" i="20"/>
  <c r="AX10" i="8"/>
  <c r="AH8" i="24" s="1"/>
  <c r="AX6" i="8"/>
  <c r="AH4" i="24" s="1"/>
  <c r="AX7" i="8"/>
  <c r="AH5" i="24" s="1"/>
  <c r="AF11" i="20"/>
  <c r="W15" i="24"/>
  <c r="AF12" i="20"/>
  <c r="AH14" i="20"/>
  <c r="AX9" i="8"/>
  <c r="AH7" i="24" s="1"/>
  <c r="AH9" i="20"/>
  <c r="C16" i="6"/>
  <c r="C21" i="6"/>
  <c r="C13" i="6"/>
  <c r="C17" i="6"/>
  <c r="C12" i="6"/>
  <c r="C14" i="6"/>
  <c r="C18" i="6"/>
  <c r="C20" i="6"/>
  <c r="C15" i="6"/>
  <c r="C11" i="6"/>
  <c r="C19" i="6"/>
  <c r="AF7" i="20"/>
  <c r="AN12" i="8"/>
  <c r="Y10" i="24" s="1"/>
  <c r="Z13" i="20"/>
  <c r="Z16" i="20"/>
  <c r="B10" i="8"/>
  <c r="B9" i="8"/>
  <c r="AT7" i="8"/>
  <c r="AD5" i="24" s="1"/>
  <c r="Z10" i="20"/>
  <c r="B8" i="8"/>
  <c r="AT6" i="8"/>
  <c r="AD4" i="24" s="1"/>
  <c r="Z9" i="20"/>
  <c r="Z11" i="20"/>
  <c r="AT8" i="8"/>
  <c r="AD6" i="24" s="1"/>
  <c r="Z8" i="20"/>
  <c r="Z12" i="20"/>
  <c r="AT11" i="8"/>
  <c r="AD9" i="24" s="1"/>
  <c r="AH13" i="20"/>
  <c r="AT9" i="8"/>
  <c r="AD7" i="24" s="1"/>
  <c r="AH11" i="20"/>
  <c r="Z15" i="20"/>
  <c r="AH16" i="20"/>
  <c r="AT5" i="8"/>
  <c r="AH7" i="20"/>
  <c r="AH15" i="20"/>
  <c r="AT10" i="8"/>
  <c r="AD8" i="24" s="1"/>
  <c r="AH12" i="20"/>
  <c r="Z14" i="20"/>
  <c r="AN14" i="8"/>
  <c r="B7" i="8"/>
  <c r="B11" i="8"/>
  <c r="AK12" i="8"/>
  <c r="W10" i="24" s="1"/>
  <c r="BC5" i="8"/>
  <c r="AL5" i="8"/>
  <c r="AV12" i="8"/>
  <c r="AF12" i="8"/>
  <c r="AG5" i="8"/>
  <c r="BB5" i="8"/>
  <c r="B6" i="8"/>
  <c r="AX5" i="8"/>
  <c r="AA12" i="8"/>
  <c r="AZ5" i="8"/>
  <c r="S230" i="28" s="1"/>
  <c r="BA5" i="8"/>
  <c r="AB5" i="8"/>
  <c r="AR12" i="8"/>
  <c r="AB10" i="24" s="1"/>
  <c r="AB15" i="24" l="1"/>
  <c r="T231" i="28"/>
  <c r="Y21" i="20"/>
  <c r="S10" i="24"/>
  <c r="N34" i="4"/>
  <c r="M33" i="22" s="1"/>
  <c r="AF10" i="24"/>
  <c r="AF15" i="24" s="1"/>
  <c r="W21" i="20"/>
  <c r="O48" i="4"/>
  <c r="N47" i="22" s="1"/>
  <c r="E302" i="28"/>
  <c r="E298" i="28"/>
  <c r="E304" i="28"/>
  <c r="E300" i="28"/>
  <c r="D306" i="28"/>
  <c r="D302" i="28"/>
  <c r="D308" i="28"/>
  <c r="D304" i="28"/>
  <c r="E310" i="28"/>
  <c r="E306" i="28"/>
  <c r="E312" i="28"/>
  <c r="E308" i="28"/>
  <c r="D314" i="28"/>
  <c r="D310" i="28"/>
  <c r="D316" i="28"/>
  <c r="D312" i="28"/>
  <c r="E318" i="28"/>
  <c r="E314" i="28"/>
  <c r="E320" i="28"/>
  <c r="E316" i="28"/>
  <c r="D322" i="28"/>
  <c r="D318" i="28"/>
  <c r="D324" i="28"/>
  <c r="D320" i="28"/>
  <c r="E326" i="28"/>
  <c r="E322" i="28"/>
  <c r="E328" i="28"/>
  <c r="E324" i="28"/>
  <c r="D330" i="28"/>
  <c r="D326" i="28"/>
  <c r="D332" i="28"/>
  <c r="D328" i="28"/>
  <c r="E334" i="28"/>
  <c r="E330" i="28"/>
  <c r="E336" i="28"/>
  <c r="E332" i="28"/>
  <c r="D299" i="28"/>
  <c r="D334" i="28"/>
  <c r="D339" i="28"/>
  <c r="D336" i="28"/>
  <c r="T232" i="28"/>
  <c r="F294" i="28" s="1"/>
  <c r="N232" i="28"/>
  <c r="E303" i="28"/>
  <c r="E299" i="28"/>
  <c r="D307" i="28"/>
  <c r="D303" i="28"/>
  <c r="E311" i="28"/>
  <c r="E307" i="28"/>
  <c r="D315" i="28"/>
  <c r="D311" i="28"/>
  <c r="E319" i="28"/>
  <c r="E315" i="28"/>
  <c r="D323" i="28"/>
  <c r="D319" i="28"/>
  <c r="E327" i="28"/>
  <c r="E323" i="28"/>
  <c r="D331" i="28"/>
  <c r="D327" i="28"/>
  <c r="E335" i="28"/>
  <c r="E331" i="28"/>
  <c r="D338" i="28"/>
  <c r="D335" i="28"/>
  <c r="E301" i="28"/>
  <c r="E297" i="28"/>
  <c r="D301" i="28"/>
  <c r="D297" i="28"/>
  <c r="E309" i="28"/>
  <c r="E305" i="28"/>
  <c r="D309" i="28"/>
  <c r="D305" i="28"/>
  <c r="E317" i="28"/>
  <c r="E313" i="28"/>
  <c r="D317" i="28"/>
  <c r="D313" i="28"/>
  <c r="E325" i="28"/>
  <c r="E321" i="28"/>
  <c r="D325" i="28"/>
  <c r="D321" i="28"/>
  <c r="E333" i="28"/>
  <c r="E329" i="28"/>
  <c r="D333" i="28"/>
  <c r="D329" i="28"/>
  <c r="D337" i="28"/>
  <c r="E344" i="28"/>
  <c r="N281" i="28"/>
  <c r="T281" i="28"/>
  <c r="F344" i="28" s="1"/>
  <c r="E339" i="28"/>
  <c r="N276" i="28"/>
  <c r="T276" i="28"/>
  <c r="F300" i="28" s="1"/>
  <c r="E338" i="28"/>
  <c r="N275" i="28"/>
  <c r="T275" i="28"/>
  <c r="F298" i="28" s="1"/>
  <c r="E337" i="28"/>
  <c r="N274" i="28"/>
  <c r="T274" i="28"/>
  <c r="D293" i="28"/>
  <c r="R289" i="28"/>
  <c r="E341" i="28"/>
  <c r="N278" i="28"/>
  <c r="T278" i="28"/>
  <c r="F341" i="28" s="1"/>
  <c r="B5" i="8"/>
  <c r="E340" i="28"/>
  <c r="T277" i="28"/>
  <c r="F340" i="28" s="1"/>
  <c r="N277" i="28"/>
  <c r="E293" i="28"/>
  <c r="N230" i="28"/>
  <c r="T230" i="28"/>
  <c r="S289" i="28"/>
  <c r="F395" i="28"/>
  <c r="F226" i="28"/>
  <c r="F163" i="28"/>
  <c r="T39" i="20"/>
  <c r="AE39" i="20"/>
  <c r="AP7" i="8"/>
  <c r="Z5" i="24" s="1"/>
  <c r="AP11" i="8"/>
  <c r="AP6" i="8"/>
  <c r="Z4" i="24" s="1"/>
  <c r="AP9" i="8"/>
  <c r="Z7" i="24" s="1"/>
  <c r="AP8" i="8"/>
  <c r="Z6" i="24" s="1"/>
  <c r="W25" i="20"/>
  <c r="AF21" i="20"/>
  <c r="AP10" i="8"/>
  <c r="Z8" i="24" s="1"/>
  <c r="Z7" i="20"/>
  <c r="Y15" i="24"/>
  <c r="BA12" i="8"/>
  <c r="AK3" i="24"/>
  <c r="AK15" i="24" s="1"/>
  <c r="AI7" i="20"/>
  <c r="AD3" i="24"/>
  <c r="AD15" i="24" s="1"/>
  <c r="AI14" i="20"/>
  <c r="AI10" i="20"/>
  <c r="AX12" i="8"/>
  <c r="AH3" i="24"/>
  <c r="AI12" i="20"/>
  <c r="BC12" i="8"/>
  <c r="AM3" i="24"/>
  <c r="AM15" i="24" s="1"/>
  <c r="AI15" i="20"/>
  <c r="AI11" i="20"/>
  <c r="AI8" i="20"/>
  <c r="AZ12" i="8"/>
  <c r="AJ10" i="24" s="1"/>
  <c r="AJ3" i="24"/>
  <c r="AJ15" i="24" s="1"/>
  <c r="AI16" i="20"/>
  <c r="AI9" i="20"/>
  <c r="BB12" i="8"/>
  <c r="AL3" i="24"/>
  <c r="AL15" i="24" s="1"/>
  <c r="AI13" i="20"/>
  <c r="AF23" i="20"/>
  <c r="Y17" i="24"/>
  <c r="AN4" i="6"/>
  <c r="AO4" i="6" s="1"/>
  <c r="H34" i="4"/>
  <c r="AH21" i="20"/>
  <c r="AH25" i="20" s="1"/>
  <c r="AT12" i="8"/>
  <c r="AP14" i="8"/>
  <c r="P34" i="4"/>
  <c r="O33" i="22" s="1"/>
  <c r="AH7" i="6"/>
  <c r="AN7" i="6"/>
  <c r="AO7" i="6" s="1"/>
  <c r="AH10" i="6"/>
  <c r="AN10" i="6"/>
  <c r="AO10" i="6" s="1"/>
  <c r="AN16" i="8"/>
  <c r="B7" i="4"/>
  <c r="AH4" i="6"/>
  <c r="AG13" i="20" l="1"/>
  <c r="Z9" i="24"/>
  <c r="AH5" i="6"/>
  <c r="AK10" i="24"/>
  <c r="G6" i="1"/>
  <c r="E7" i="21" s="1"/>
  <c r="AH10" i="24"/>
  <c r="AH15" i="24" s="1"/>
  <c r="AH11" i="6"/>
  <c r="AI10" i="6" s="1"/>
  <c r="AM10" i="24"/>
  <c r="D6" i="1"/>
  <c r="D7" i="21" s="1"/>
  <c r="AD10" i="24"/>
  <c r="AH8" i="6"/>
  <c r="AI7" i="6" s="1"/>
  <c r="AL10" i="24"/>
  <c r="J31" i="16"/>
  <c r="L31" i="16" s="1"/>
  <c r="I31" i="16"/>
  <c r="K31" i="16" s="1"/>
  <c r="J10" i="16"/>
  <c r="L10" i="16" s="1"/>
  <c r="I10" i="16"/>
  <c r="K10" i="16" s="1"/>
  <c r="I28" i="16"/>
  <c r="J28" i="16"/>
  <c r="J7" i="16"/>
  <c r="L7" i="16" s="1"/>
  <c r="I7" i="16"/>
  <c r="K7" i="16" s="1"/>
  <c r="F306" i="28"/>
  <c r="F302" i="28"/>
  <c r="F308" i="28"/>
  <c r="F304" i="28"/>
  <c r="F314" i="28"/>
  <c r="F310" i="28"/>
  <c r="F316" i="28"/>
  <c r="F312" i="28"/>
  <c r="F322" i="28"/>
  <c r="F318" i="28"/>
  <c r="F324" i="28"/>
  <c r="F320" i="28"/>
  <c r="F330" i="28"/>
  <c r="F326" i="28"/>
  <c r="F332" i="28"/>
  <c r="F328" i="28"/>
  <c r="F299" i="28"/>
  <c r="F334" i="28"/>
  <c r="F339" i="28"/>
  <c r="F336" i="28"/>
  <c r="F307" i="28"/>
  <c r="F303" i="28"/>
  <c r="F315" i="28"/>
  <c r="F311" i="28"/>
  <c r="F323" i="28"/>
  <c r="F319" i="28"/>
  <c r="F331" i="28"/>
  <c r="F327" i="28"/>
  <c r="F338" i="28"/>
  <c r="F335" i="28"/>
  <c r="F301" i="28"/>
  <c r="F297" i="28"/>
  <c r="F309" i="28"/>
  <c r="F305" i="28"/>
  <c r="F317" i="28"/>
  <c r="F313" i="28"/>
  <c r="F325" i="28"/>
  <c r="F321" i="28"/>
  <c r="F333" i="28"/>
  <c r="F329" i="28"/>
  <c r="C8" i="21"/>
  <c r="C7" i="29"/>
  <c r="F337" i="28"/>
  <c r="J34" i="4"/>
  <c r="J33" i="22" s="1"/>
  <c r="H33" i="22"/>
  <c r="AA7" i="20"/>
  <c r="E345" i="28"/>
  <c r="F293" i="28"/>
  <c r="T289" i="28"/>
  <c r="AG16" i="20"/>
  <c r="AJ16" i="20" s="1"/>
  <c r="C11" i="8"/>
  <c r="C7" i="8"/>
  <c r="AG9" i="20"/>
  <c r="AJ9" i="20" s="1"/>
  <c r="AG10" i="20"/>
  <c r="AJ10" i="20" s="1"/>
  <c r="AG8" i="20"/>
  <c r="AJ8" i="20" s="1"/>
  <c r="C6" i="8"/>
  <c r="AG14" i="20"/>
  <c r="AJ14" i="20" s="1"/>
  <c r="AP5" i="8"/>
  <c r="AG11" i="20"/>
  <c r="AJ11" i="20" s="1"/>
  <c r="C8" i="8"/>
  <c r="C9" i="8"/>
  <c r="C7" i="22"/>
  <c r="C10" i="8"/>
  <c r="AG15" i="20"/>
  <c r="AJ15" i="20" s="1"/>
  <c r="AG12" i="20"/>
  <c r="AJ12" i="20" s="1"/>
  <c r="AJ13" i="20"/>
  <c r="AI4" i="6"/>
  <c r="G8" i="1"/>
  <c r="F27" i="2" s="1"/>
  <c r="Z17" i="24"/>
  <c r="B6" i="4"/>
  <c r="Y19" i="24"/>
  <c r="Z21" i="20"/>
  <c r="D132" i="11"/>
  <c r="AI21" i="20"/>
  <c r="AI25" i="20" s="1"/>
  <c r="AG23" i="20"/>
  <c r="AJ23" i="20" s="1"/>
  <c r="F26" i="2"/>
  <c r="N4" i="6" l="1"/>
  <c r="N10" i="6"/>
  <c r="N5" i="6"/>
  <c r="N6" i="6"/>
  <c r="N7" i="6"/>
  <c r="N8" i="6"/>
  <c r="N9" i="6"/>
  <c r="S4" i="6"/>
  <c r="T4" i="6" s="1"/>
  <c r="M4" i="23" s="1"/>
  <c r="S7" i="6"/>
  <c r="S6" i="6"/>
  <c r="S8" i="6"/>
  <c r="S10" i="6"/>
  <c r="S5" i="6"/>
  <c r="S9" i="6"/>
  <c r="X4" i="6"/>
  <c r="P4" i="23" s="1"/>
  <c r="X9" i="6"/>
  <c r="X6" i="6"/>
  <c r="X7" i="6"/>
  <c r="X8" i="6"/>
  <c r="X5" i="6"/>
  <c r="X10" i="6"/>
  <c r="L28" i="16"/>
  <c r="L35" i="16" s="1"/>
  <c r="J35" i="16"/>
  <c r="K28" i="16"/>
  <c r="K35" i="16" s="1"/>
  <c r="I35" i="16"/>
  <c r="I6" i="16"/>
  <c r="K6" i="16" s="1"/>
  <c r="J6" i="16"/>
  <c r="L6" i="16" s="1"/>
  <c r="C5" i="8"/>
  <c r="C26" i="2" s="1"/>
  <c r="D32" i="11"/>
  <c r="E26" i="2"/>
  <c r="F345" i="28"/>
  <c r="L4" i="23"/>
  <c r="Y4" i="6"/>
  <c r="Q4" i="23" s="1"/>
  <c r="AG7" i="20"/>
  <c r="AJ7" i="20" s="1"/>
  <c r="Z3" i="24"/>
  <c r="AP12" i="8"/>
  <c r="AA23" i="20"/>
  <c r="AA14" i="20"/>
  <c r="AA22" i="20"/>
  <c r="AA15" i="20"/>
  <c r="AA24" i="20"/>
  <c r="AA8" i="20"/>
  <c r="AA16" i="20"/>
  <c r="AA18" i="20"/>
  <c r="AA19" i="20"/>
  <c r="AA21" i="20"/>
  <c r="AA9" i="20"/>
  <c r="AA17" i="20"/>
  <c r="AA10" i="20"/>
  <c r="AA11" i="20"/>
  <c r="AA13" i="20"/>
  <c r="AA12" i="20"/>
  <c r="AA20" i="20"/>
  <c r="E7" i="22"/>
  <c r="C6" i="22"/>
  <c r="C11" i="22"/>
  <c r="B4" i="6"/>
  <c r="E9" i="21"/>
  <c r="R372" i="28" l="1"/>
  <c r="O7" i="6"/>
  <c r="H7" i="23"/>
  <c r="F354" i="28"/>
  <c r="R370" i="28"/>
  <c r="O5" i="6"/>
  <c r="F352" i="28"/>
  <c r="H5" i="23"/>
  <c r="R374" i="28"/>
  <c r="O9" i="6"/>
  <c r="F356" i="28"/>
  <c r="H9" i="23"/>
  <c r="R373" i="28"/>
  <c r="O8" i="6"/>
  <c r="H8" i="23"/>
  <c r="F355" i="28"/>
  <c r="R371" i="28"/>
  <c r="O6" i="6"/>
  <c r="H6" i="23"/>
  <c r="F353" i="28"/>
  <c r="R375" i="28"/>
  <c r="O10" i="6"/>
  <c r="F357" i="28"/>
  <c r="H10" i="23"/>
  <c r="O4" i="6"/>
  <c r="R369" i="28"/>
  <c r="H4" i="23"/>
  <c r="F351" i="28"/>
  <c r="L8" i="23"/>
  <c r="T8" i="6"/>
  <c r="L9" i="23"/>
  <c r="T9" i="6"/>
  <c r="L6" i="23"/>
  <c r="T6" i="6"/>
  <c r="L5" i="23"/>
  <c r="T5" i="6"/>
  <c r="L7" i="23"/>
  <c r="T7" i="6"/>
  <c r="L10" i="23"/>
  <c r="T10" i="6"/>
  <c r="P10" i="23"/>
  <c r="Y10" i="6"/>
  <c r="B10" i="6"/>
  <c r="P8" i="23"/>
  <c r="Y8" i="6"/>
  <c r="B8" i="6"/>
  <c r="P6" i="23"/>
  <c r="B6" i="6"/>
  <c r="Y6" i="6"/>
  <c r="P5" i="23"/>
  <c r="Y5" i="6"/>
  <c r="B5" i="6"/>
  <c r="P7" i="23"/>
  <c r="Y7" i="6"/>
  <c r="B7" i="6"/>
  <c r="P9" i="23"/>
  <c r="Y9" i="6"/>
  <c r="B9" i="6"/>
  <c r="C6" i="1"/>
  <c r="Z10" i="24"/>
  <c r="Z15" i="24" s="1"/>
  <c r="AG21" i="20"/>
  <c r="AJ21" i="20" s="1"/>
  <c r="AJ25" i="20" s="1"/>
  <c r="I14" i="16"/>
  <c r="K14" i="16"/>
  <c r="L14" i="16"/>
  <c r="J14" i="16"/>
  <c r="V4" i="6"/>
  <c r="AA4" i="6"/>
  <c r="AP16" i="8"/>
  <c r="AA25" i="20"/>
  <c r="E6" i="22"/>
  <c r="Q9" i="6" l="1"/>
  <c r="I9" i="23"/>
  <c r="Q10" i="6"/>
  <c r="I10" i="23"/>
  <c r="Q6" i="6"/>
  <c r="I6" i="23"/>
  <c r="Q5" i="6"/>
  <c r="I5" i="23"/>
  <c r="R385" i="28"/>
  <c r="I8" i="23"/>
  <c r="Q8" i="6"/>
  <c r="Q7" i="6"/>
  <c r="I7" i="23"/>
  <c r="I4" i="23"/>
  <c r="Q4" i="6"/>
  <c r="O22" i="6"/>
  <c r="O26" i="6" s="1"/>
  <c r="B5" i="4" s="1"/>
  <c r="V6" i="6"/>
  <c r="N6" i="23" s="1"/>
  <c r="M6" i="23"/>
  <c r="V7" i="6"/>
  <c r="N7" i="23" s="1"/>
  <c r="M7" i="23"/>
  <c r="V10" i="6"/>
  <c r="N10" i="23" s="1"/>
  <c r="M10" i="23"/>
  <c r="M5" i="23"/>
  <c r="V5" i="6"/>
  <c r="N5" i="23" s="1"/>
  <c r="T22" i="6"/>
  <c r="V9" i="6"/>
  <c r="N9" i="23" s="1"/>
  <c r="M9" i="23"/>
  <c r="V8" i="6"/>
  <c r="N8" i="23" s="1"/>
  <c r="M8" i="23"/>
  <c r="AA8" i="6"/>
  <c r="Q8" i="23"/>
  <c r="Q5" i="23"/>
  <c r="AA5" i="6"/>
  <c r="AA7" i="6"/>
  <c r="Q7" i="23"/>
  <c r="Y22" i="6"/>
  <c r="AA10" i="6"/>
  <c r="Q10" i="23"/>
  <c r="AA9" i="6"/>
  <c r="Q9" i="23"/>
  <c r="AA6" i="6"/>
  <c r="Q6" i="23"/>
  <c r="AG25" i="20"/>
  <c r="O22" i="16"/>
  <c r="P21" i="16" s="1"/>
  <c r="C6" i="29"/>
  <c r="D29" i="11"/>
  <c r="R4" i="23"/>
  <c r="G5" i="1"/>
  <c r="E6" i="21" s="1"/>
  <c r="E20" i="21" s="1"/>
  <c r="E26" i="21" s="1"/>
  <c r="E29" i="21" s="1"/>
  <c r="N4" i="23"/>
  <c r="F391" i="28"/>
  <c r="F390" i="28" s="1"/>
  <c r="F389" i="28" s="1"/>
  <c r="C4" i="6"/>
  <c r="Z19" i="24"/>
  <c r="I15" i="23"/>
  <c r="S372" i="28" l="1"/>
  <c r="J7" i="23"/>
  <c r="G354" i="28"/>
  <c r="S371" i="28"/>
  <c r="J6" i="23"/>
  <c r="G353" i="28"/>
  <c r="S373" i="28"/>
  <c r="J8" i="23"/>
  <c r="G355" i="28"/>
  <c r="S370" i="28"/>
  <c r="J5" i="23"/>
  <c r="G352" i="28"/>
  <c r="D5" i="4"/>
  <c r="B8" i="4"/>
  <c r="S369" i="28"/>
  <c r="J4" i="23"/>
  <c r="G351" i="28"/>
  <c r="Q22" i="6"/>
  <c r="S375" i="28"/>
  <c r="J10" i="23"/>
  <c r="G357" i="28"/>
  <c r="I11" i="23"/>
  <c r="S374" i="28"/>
  <c r="J9" i="23"/>
  <c r="G356" i="28"/>
  <c r="N11" i="23"/>
  <c r="V22" i="6"/>
  <c r="M11" i="23"/>
  <c r="R10" i="23"/>
  <c r="C10" i="6"/>
  <c r="R6" i="23"/>
  <c r="C6" i="6"/>
  <c r="AA22" i="6"/>
  <c r="N33" i="4" s="1"/>
  <c r="N39" i="4" s="1"/>
  <c r="Q11" i="23"/>
  <c r="R7" i="23"/>
  <c r="R11" i="23" s="1"/>
  <c r="C7" i="6"/>
  <c r="R5" i="23"/>
  <c r="C5" i="6"/>
  <c r="R9" i="23"/>
  <c r="C9" i="6"/>
  <c r="R8" i="23"/>
  <c r="C8" i="6"/>
  <c r="G19" i="1"/>
  <c r="D64" i="11" s="1"/>
  <c r="D66" i="11" s="1"/>
  <c r="E66" i="11" s="1"/>
  <c r="C7" i="21"/>
  <c r="C5" i="22"/>
  <c r="D24" i="4"/>
  <c r="D23" i="4"/>
  <c r="D22" i="4"/>
  <c r="D18" i="4"/>
  <c r="D17" i="4"/>
  <c r="D16" i="4"/>
  <c r="D15" i="4"/>
  <c r="D14" i="4"/>
  <c r="D13" i="4"/>
  <c r="D12" i="4"/>
  <c r="D10" i="4"/>
  <c r="D9" i="4"/>
  <c r="D7" i="4"/>
  <c r="D6" i="4"/>
  <c r="J11" i="23" l="1"/>
  <c r="S385" i="28"/>
  <c r="C25" i="2"/>
  <c r="D5" i="1"/>
  <c r="H33" i="4"/>
  <c r="P33" i="4"/>
  <c r="O32" i="22" s="1"/>
  <c r="M32" i="22"/>
  <c r="G25" i="1"/>
  <c r="G28" i="1" s="1"/>
  <c r="D70" i="11"/>
  <c r="D87" i="11" s="1"/>
  <c r="D89" i="11" s="1"/>
  <c r="D91" i="11" s="1"/>
  <c r="N45" i="4"/>
  <c r="M38" i="22"/>
  <c r="P39" i="4"/>
  <c r="B19" i="4"/>
  <c r="C8" i="22"/>
  <c r="D29" i="2"/>
  <c r="D28" i="2"/>
  <c r="D26" i="2"/>
  <c r="C1" i="2"/>
  <c r="D1" i="2"/>
  <c r="F25" i="2" l="1"/>
  <c r="D19" i="1"/>
  <c r="D25" i="1" s="1"/>
  <c r="D28" i="1" s="1"/>
  <c r="D131" i="11"/>
  <c r="D136" i="11" s="1"/>
  <c r="D6" i="21"/>
  <c r="D20" i="21" s="1"/>
  <c r="D26" i="21" s="1"/>
  <c r="D29" i="21" s="1"/>
  <c r="J33" i="4"/>
  <c r="H32" i="22"/>
  <c r="H37" i="22" s="1"/>
  <c r="H38" i="4"/>
  <c r="H44" i="4" s="1"/>
  <c r="H43" i="22" s="1"/>
  <c r="H46" i="22" s="1"/>
  <c r="E70" i="11"/>
  <c r="P45" i="4"/>
  <c r="O38" i="22"/>
  <c r="N48" i="4"/>
  <c r="M47" i="22" s="1"/>
  <c r="M44" i="22"/>
  <c r="B25" i="4"/>
  <c r="Q26" i="6"/>
  <c r="C5" i="1" s="1"/>
  <c r="C8" i="1" s="1"/>
  <c r="Q24" i="6"/>
  <c r="E11" i="22"/>
  <c r="C19" i="22"/>
  <c r="E25" i="2" l="1"/>
  <c r="J38" i="4"/>
  <c r="J44" i="4" s="1"/>
  <c r="J32" i="22"/>
  <c r="J37" i="22" s="1"/>
  <c r="H47" i="4"/>
  <c r="D137" i="11"/>
  <c r="D142" i="11" s="1"/>
  <c r="E136" i="11"/>
  <c r="C11" i="1"/>
  <c r="D37" i="11" s="1"/>
  <c r="C11" i="29"/>
  <c r="C5" i="29"/>
  <c r="P48" i="4"/>
  <c r="O47" i="22" s="1"/>
  <c r="O44" i="22"/>
  <c r="J13" i="23"/>
  <c r="D11" i="4"/>
  <c r="J15" i="23"/>
  <c r="E5" i="22"/>
  <c r="C25" i="22"/>
  <c r="B28" i="4"/>
  <c r="D146" i="11" l="1"/>
  <c r="E142" i="11"/>
  <c r="J43" i="22"/>
  <c r="J46" i="22" s="1"/>
  <c r="J47" i="4"/>
  <c r="C12" i="21"/>
  <c r="D27" i="11"/>
  <c r="C8" i="29"/>
  <c r="N18" i="29" s="1"/>
  <c r="C6" i="21"/>
  <c r="Q18" i="1"/>
  <c r="C19" i="1" s="1"/>
  <c r="J6" i="28" s="1"/>
  <c r="K6" i="28" s="1"/>
  <c r="F15" i="28" s="1"/>
  <c r="G15" i="28" s="1"/>
  <c r="D34" i="11"/>
  <c r="D41" i="11"/>
  <c r="C9" i="21"/>
  <c r="D33" i="11"/>
  <c r="D25" i="2"/>
  <c r="E146" i="11" l="1"/>
  <c r="D148" i="11"/>
  <c r="C19" i="29"/>
  <c r="C25" i="29" s="1"/>
  <c r="C28" i="29" s="1"/>
  <c r="C30" i="29" s="1"/>
  <c r="O18" i="29"/>
  <c r="R18" i="1"/>
  <c r="C20" i="21"/>
  <c r="C26" i="21" s="1"/>
  <c r="C29" i="21" s="1"/>
  <c r="D49" i="11"/>
  <c r="D52" i="11" s="1"/>
  <c r="E52" i="11" s="1"/>
  <c r="L6" i="28"/>
  <c r="L2" i="19"/>
  <c r="M2" i="19" s="1"/>
  <c r="E41" i="11"/>
  <c r="C25" i="1"/>
  <c r="C28" i="1" s="1"/>
  <c r="D8" i="4"/>
  <c r="C30" i="1" l="1"/>
  <c r="F13" i="2" s="1"/>
  <c r="E13" i="2"/>
  <c r="D13" i="2"/>
  <c r="D55" i="11"/>
  <c r="D60" i="11" s="1"/>
  <c r="E8" i="22"/>
  <c r="E19" i="22" s="1"/>
  <c r="E25" i="22" s="1"/>
  <c r="D27" i="2"/>
  <c r="D19" i="4"/>
  <c r="D25" i="4" s="1"/>
  <c r="D28" i="4" s="1"/>
  <c r="E33" i="11"/>
  <c r="E34" i="11"/>
  <c r="U25" i="20"/>
  <c r="X25" i="20"/>
  <c r="Y25" i="20"/>
  <c r="E55" i="11" l="1"/>
  <c r="L13" i="2"/>
  <c r="D79" i="11"/>
  <c r="D81" i="11" s="1"/>
  <c r="D83" i="11" s="1"/>
  <c r="D98" i="11" s="1"/>
  <c r="D151" i="11" s="1"/>
  <c r="E60" i="11"/>
  <c r="D73" i="11"/>
  <c r="Z25" i="20"/>
  <c r="AF25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Anne-Sophie</author>
  </authors>
  <commentList>
    <comment ref="B9" authorId="0" shapeId="0" xr:uid="{A0DFD093-2386-40F5-A3E3-A0A2C729003A}">
      <text>
        <r>
          <rPr>
            <b/>
            <sz val="9"/>
            <color indexed="81"/>
            <rFont val="Tahoma"/>
            <family val="2"/>
          </rPr>
          <t>Voir notice 2069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 shapeId="0" xr:uid="{87793E7A-7DB9-4AE9-9A18-68C1E04AC5A3}">
      <text>
        <r>
          <rPr>
            <b/>
            <sz val="9"/>
            <color indexed="81"/>
            <rFont val="Tahoma"/>
            <family val="2"/>
          </rPr>
          <t xml:space="preserve">A compléter exclusivement dans le cadre du dépôt de la déclaration de la société mère (Renseignement non-demandé à une société fille)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tc={A0A06C9E-AE6B-4859-8AC2-9339FD2BAB14}</author>
    <author>tc={5433DF04-9B24-4BF3-8819-37A5B6A26972}</author>
    <author>tc={982D5CEF-7F6C-40D8-A14B-2C13BDD9F464}</author>
  </authors>
  <commentList>
    <comment ref="C7" authorId="0" shapeId="0" xr:uid="{A0A06C9E-AE6B-4859-8AC2-9339FD2BAB1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Responsable technique</t>
      </text>
    </comment>
    <comment ref="D7" authorId="1" shapeId="0" xr:uid="{5433DF04-9B24-4BF3-8819-37A5B6A2697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Responsable Financier</t>
      </text>
    </comment>
    <comment ref="E7" authorId="2" shapeId="0" xr:uid="{982D5CEF-7F6C-40D8-A14B-2C13BDD9F46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Chargé de valo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tc={581FB7E1-1222-4BF7-A827-8376BC7F5834}</author>
    <author>tc={523E7389-523E-4912-9704-7F3605D0E065}</author>
    <author>tc={CA02F8D9-7C8D-435C-AE5D-92CBD4C71355}</author>
    <author>tc={997435A3-C05A-4592-A1BD-A4F31487A7F1}</author>
  </authors>
  <commentList>
    <comment ref="B21" authorId="0" shapeId="0" xr:uid="{581FB7E1-1222-4BF7-A827-8376BC7F583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23E7389-523E-4912-9704-7F3605D0E065}">
      <text>
        <t xml:space="preserve"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  <comment ref="B39" authorId="2" shapeId="0" xr:uid="{CA02F8D9-7C8D-435C-AE5D-92CBD4C7135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40" authorId="3" shapeId="0" xr:uid="{997435A3-C05A-4592-A1BD-A4F31487A7F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tc={78FE1F9A-0F11-4BDE-B2FC-FA1B76193E29}</author>
    <author>tc={5698FB2C-C254-4FE7-B970-EFE366DEC3BC}</author>
  </authors>
  <commentList>
    <comment ref="B21" authorId="0" shapeId="0" xr:uid="{78FE1F9A-0F11-4BDE-B2FC-FA1B76193E29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698FB2C-C254-4FE7-B970-EFE366DEC3BC}">
      <text>
        <t xml:space="preserve"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tc={8AEE1F03-4037-48A3-8825-7BEE5F72A40F}</author>
    <author>tc={4A133AFA-17B6-4693-A682-3293DD4F38F1}</author>
    <author>tc={16E4C409-6659-4EB3-900F-B1E1B8548384}</author>
    <author>tc={412DD86C-8386-4302-A79C-FD57C06329B5}</author>
    <author>tc={53F4684C-D403-45E9-998D-FB8FF0C7E4DF}</author>
  </authors>
  <commentList>
    <comment ref="D4" authorId="0" shapeId="0" xr:uid="{8AEE1F03-4037-48A3-8825-7BEE5F72A40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BDS = bulletin de salaire</t>
      </text>
    </comment>
    <comment ref="F4" authorId="1" shapeId="0" xr:uid="{4A133AFA-17B6-4693-A682-3293DD4F38F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R4" authorId="2" shapeId="0" xr:uid="{16E4C409-6659-4EB3-900F-B1E1B854838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S4" authorId="3" shapeId="0" xr:uid="{412DD86C-8386-4302-A79C-FD57C06329B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X14" authorId="4" shapeId="0" xr:uid="{53F4684C-D403-45E9-998D-FB8FF0C7E4D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tc={B19365E4-335D-4C5A-BD4E-61BB662DF0F2}</author>
    <author>tc={4F2DBC2E-BA12-44E9-8A29-2DF13C97BD6B}</author>
    <author>tc={E9A0FA66-E376-432F-91A1-1DB5647133C1}</author>
    <author>tc={CE668B72-4A46-42FA-9136-A24679920894}</author>
  </authors>
  <commentList>
    <comment ref="B2" authorId="0" shapeId="0" xr:uid="{B19365E4-335D-4C5A-BD4E-61BB662DF0F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I2" authorId="1" shapeId="0" xr:uid="{4F2DBC2E-BA12-44E9-8A29-2DF13C97BD6B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J2" authorId="2" shapeId="0" xr:uid="{E9A0FA66-E376-432F-91A1-1DB5647133C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M17" authorId="3" shapeId="0" xr:uid="{CE668B72-4A46-42FA-9136-A2467992089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tc={7412BF08-4287-44AC-90D6-105CB45E6262}</author>
  </authors>
  <commentList>
    <comment ref="G5" authorId="0" shapeId="0" xr:uid="{7412BF08-4287-44AC-90D6-105CB45E626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Supprimer si découpage HRECH précis (cas2)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tc={7D4EDA18-9922-4A22-845F-2F822E6D345A}</author>
    <author>tc={D428C2FA-41E4-4F97-A760-D21A3F3CC432}</author>
  </authors>
  <commentList>
    <comment ref="F4" authorId="0" shapeId="0" xr:uid="{7D4EDA18-9922-4A22-845F-2F822E6D345A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D428C2FA-41E4-4F97-A760-D21A3F3CC43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tc={7E528AF7-2EFB-4BA1-89BD-9CDA25654234}</author>
    <author>tc={E19EB2BA-6E6D-47C8-B736-15C48710D42C}</author>
  </authors>
  <commentList>
    <comment ref="F4" authorId="0" shapeId="0" xr:uid="{7E528AF7-2EFB-4BA1-89BD-9CDA2565423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E19EB2BA-6E6D-47C8-B736-15C48710D42C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tc={F36165FE-3EFA-440A-A9C0-F96AB06A5FA5}</author>
    <author>tc={38283587-6948-4C9C-964A-E5E40E6A5197}</author>
  </authors>
  <commentList>
    <comment ref="E4" authorId="0" shapeId="0" xr:uid="{F36165FE-3EFA-440A-A9C0-F96AB06A5FA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F4" authorId="1" shapeId="0" xr:uid="{38283587-6948-4C9C-964A-E5E40E6A5197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tc={1D929FD6-219F-460A-B725-9FC189A8A141}</author>
    <author>tc={E9CAE8B9-B2B8-492C-B350-A8F8179A9CCF}</author>
    <author>tc={B30FF3A8-DC69-4A9D-AEA1-C80552269DC2}</author>
    <author>tc={C3798CA0-AE08-4FB5-AC95-03D45BFE798E}</author>
    <author>tc={49279C25-C707-46C5-86F4-26AB7EAB9B17}</author>
    <author>tc={92853BF3-894C-4C11-A2ED-D80173C4D791}</author>
    <author>tc={5A429818-E65B-47A1-9BF7-B56F5B89C39F}</author>
    <author>tc={4AC9597A-2746-4819-B772-9F71A42FAA05}</author>
  </authors>
  <commentList>
    <comment ref="R229" authorId="0" shapeId="0" xr:uid="{1D929FD6-219F-460A-B725-9FC189A8A14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Calculé sur les heures Lées comme dans la valo</t>
      </text>
    </comment>
    <comment ref="F277" authorId="1" shapeId="0" xr:uid="{E9CAE8B9-B2B8-492C-B350-A8F8179A9CC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Au minimum : à préciser</t>
      </text>
    </comment>
    <comment ref="F278" authorId="2" shapeId="0" xr:uid="{B30FF3A8-DC69-4A9D-AEA1-C80552269DC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Ne fait pas partie de l’effectif</t>
      </text>
    </comment>
    <comment ref="N278" authorId="3" shapeId="0" xr:uid="{C3798CA0-AE08-4FB5-AC95-03D45BFE798E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100% du temps qu’il passe 60% sur Excelleria</t>
      </text>
    </comment>
    <comment ref="F279" authorId="4" shapeId="0" xr:uid="{49279C25-C707-46C5-86F4-26AB7EAB9B17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Au minimum. A préciser</t>
      </text>
    </comment>
    <comment ref="H279" authorId="5" shapeId="0" xr:uid="{92853BF3-894C-4C11-A2ED-D80173C4D79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0" authorId="6" shapeId="0" xr:uid="{5A429818-E65B-47A1-9BF7-B56F5B89C39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1" authorId="7" shapeId="0" xr:uid="{4AC9597A-2746-4819-B772-9F71A42FAA0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<sst xmlns="http://schemas.openxmlformats.org/spreadsheetml/2006/main" count="2063" uniqueCount="940">
  <si>
    <t xml:space="preserve">Date </t>
  </si>
  <si>
    <t>Description</t>
  </si>
  <si>
    <t>Rajout de la macro insérer une ligne dans l'onglet Vérif V/s 23</t>
  </si>
  <si>
    <t>Rajout de la notion d'honoraire minimum si remunaration au %age</t>
  </si>
  <si>
    <t>rajouter d'une case pour indiquer la rémunération indiquée dans le contrat</t>
  </si>
  <si>
    <t xml:space="preserve">Ligne total des crédits ajoutée </t>
  </si>
  <si>
    <t>des MEC enlevées dans l'onglet  Valo - autres dépenses CIR</t>
  </si>
  <si>
    <t xml:space="preserve">MAJ de la formule pour le calcul des dépenses de personnel CII &amp; CIC </t>
  </si>
  <si>
    <t>MAJ des MEC dans l'onglet VALO- ST</t>
  </si>
  <si>
    <t>Automatisation des formules dans l'onglet sous-traitance</t>
  </si>
  <si>
    <t xml:space="preserve">Mise en forme dans la décla </t>
  </si>
  <si>
    <t>type de crédit</t>
  </si>
  <si>
    <t>JEI</t>
  </si>
  <si>
    <t>CIR</t>
  </si>
  <si>
    <t xml:space="preserve"> </t>
  </si>
  <si>
    <t>Oui</t>
  </si>
  <si>
    <t xml:space="preserve">Etude </t>
  </si>
  <si>
    <t>Congrès scientifique</t>
  </si>
  <si>
    <t>Standard</t>
  </si>
  <si>
    <t>Innovation</t>
  </si>
  <si>
    <t>Abonnement revues scientifiques</t>
  </si>
  <si>
    <t>Utilisation mixte - ratio RDI</t>
  </si>
  <si>
    <t>Chercheur</t>
  </si>
  <si>
    <t>Prise et Maintenance de brevets</t>
  </si>
  <si>
    <t>Honoraires brevet</t>
  </si>
  <si>
    <t>Française</t>
  </si>
  <si>
    <t>CIR/CII</t>
  </si>
  <si>
    <t>CII</t>
  </si>
  <si>
    <t>Non</t>
  </si>
  <si>
    <t>Essai</t>
  </si>
  <si>
    <t>Réunion normalisation</t>
  </si>
  <si>
    <t xml:space="preserve">Premium </t>
  </si>
  <si>
    <t xml:space="preserve">Industrie </t>
  </si>
  <si>
    <t>Abonnement bases de données</t>
  </si>
  <si>
    <t>Utilisation mixte - Ratio société</t>
  </si>
  <si>
    <t>Technicien</t>
  </si>
  <si>
    <t>Défense de brevets</t>
  </si>
  <si>
    <t>Honoraires marque</t>
  </si>
  <si>
    <t>CIC</t>
  </si>
  <si>
    <t>Européenne</t>
  </si>
  <si>
    <t>CIR/CII/CICO</t>
  </si>
  <si>
    <t>CICO</t>
  </si>
  <si>
    <t>Défense de brevet</t>
  </si>
  <si>
    <t>Grand compte</t>
  </si>
  <si>
    <t>Digitale</t>
  </si>
  <si>
    <t>En cours</t>
  </si>
  <si>
    <t>Achats d'études technologiques</t>
  </si>
  <si>
    <t xml:space="preserve">Utilisation exclusive </t>
  </si>
  <si>
    <t>Jeune docteur</t>
  </si>
  <si>
    <t>Primes et Cotisations Assurances Brevets</t>
  </si>
  <si>
    <t>Honoraires dessin et modèle</t>
  </si>
  <si>
    <t>Energie</t>
  </si>
  <si>
    <t>Participation à des congrès scientifiques</t>
  </si>
  <si>
    <t>Autre</t>
  </si>
  <si>
    <t>Dirigeant</t>
  </si>
  <si>
    <t>CIR/CIC</t>
  </si>
  <si>
    <t>Biotech</t>
  </si>
  <si>
    <t>Brevet acquis en vue de réaliser des opérations de recherche</t>
  </si>
  <si>
    <t>Contrat MAD / intérim</t>
  </si>
  <si>
    <t>CIR/CII/CIC</t>
  </si>
  <si>
    <t>à définir</t>
  </si>
  <si>
    <t>Thésard</t>
  </si>
  <si>
    <t>CIR/CICO</t>
  </si>
  <si>
    <t>Stagiaire/apprenti</t>
  </si>
  <si>
    <t>Profil à risque (acheteur, qualité)</t>
  </si>
  <si>
    <t>Profil très risqué (admin, financier)</t>
  </si>
  <si>
    <t>%age</t>
  </si>
  <si>
    <t>Fixe</t>
  </si>
  <si>
    <t>Fixe à palier</t>
  </si>
  <si>
    <t>Partiel</t>
  </si>
  <si>
    <t>Calcul du crédit d'impôt recherche</t>
  </si>
  <si>
    <t>Calcul du CIR, CII &amp; CICo</t>
  </si>
  <si>
    <t xml:space="preserve">Exercice ouvert le </t>
  </si>
  <si>
    <t>NOM</t>
  </si>
  <si>
    <t>SIREN</t>
  </si>
  <si>
    <t>NACE</t>
  </si>
  <si>
    <t>Activité</t>
  </si>
  <si>
    <t>Adresse</t>
  </si>
  <si>
    <t>Régime fiscale des groupes des sociétés</t>
  </si>
  <si>
    <t>SIREN Maison Mère</t>
  </si>
  <si>
    <t>Nombre de société du groupe</t>
  </si>
  <si>
    <t>Montant du crédit du groupe</t>
  </si>
  <si>
    <t>Dont CIR</t>
  </si>
  <si>
    <t>Dont CICo</t>
  </si>
  <si>
    <t>Entreprise ayant engagé pour la 1ère fois des dépenses de recherche en 2024</t>
  </si>
  <si>
    <t>PME</t>
  </si>
  <si>
    <t>CA</t>
  </si>
  <si>
    <t>Nombre de salariés</t>
  </si>
  <si>
    <t>Nombre de salariés valorisés</t>
  </si>
  <si>
    <t>Nombre de JD</t>
  </si>
  <si>
    <t>CRÉDIT D’IMPÔT POUR DÉPENSES DE RECHERCHE PRÉVU À L’ARTICLE 244 QUATER B DU CGI</t>
  </si>
  <si>
    <t>I - DÉPENSES DE RECHERCHE OUVRANT DROIT AU CRÉDIT D’IMPÔT (CIR-RECHERCHE)</t>
  </si>
  <si>
    <t>A. DÉPENSES RELATIVES À DES OPÉRATIONS DE RECHERCHE RÉALISÉES EN PROPRE PAR L’ENTREPRISE</t>
  </si>
  <si>
    <t>Dotations aux amortissements des immobilisations affectées à la recherche</t>
  </si>
  <si>
    <t>Ligne 1</t>
  </si>
  <si>
    <t>Dotations aux amortissements pour les immobilisations sinistrées</t>
  </si>
  <si>
    <t>Ligne 2</t>
  </si>
  <si>
    <t>non géré</t>
  </si>
  <si>
    <t>Dépenses de personnel relatives aux chercheurs et techniciens de recherche
(sauf dépenses lignes 4 et 5)</t>
  </si>
  <si>
    <t>Rémunérations et justes prix au profit des salariés auteurs d’une invention résultant d’opérations de recherche</t>
  </si>
  <si>
    <t>Ligne 4</t>
  </si>
  <si>
    <t>Dépenses de personnel relatives aux jeunes docteurs (à indiquer pour le double de leur montant pour les vingt-quatre premiers mois suivant leur premier recrutement)</t>
  </si>
  <si>
    <t>Ligne 5</t>
  </si>
  <si>
    <t>Ligne 6</t>
  </si>
  <si>
    <t>Ligne 7</t>
  </si>
  <si>
    <t>Ligne 8</t>
  </si>
  <si>
    <t>Ligne 9</t>
  </si>
  <si>
    <t>Ligne 10</t>
  </si>
  <si>
    <t>Dépenses liées à la normalisation (à indiquer pour la moitié de leur montant, cf. notice)</t>
  </si>
  <si>
    <t>Ligne 11</t>
  </si>
  <si>
    <t>Ligne 12</t>
  </si>
  <si>
    <t>Ligne 13</t>
  </si>
  <si>
    <r>
      <rPr>
        <b/>
        <sz val="11"/>
        <color theme="1"/>
        <rFont val="Aptos Narrow"/>
        <family val="2"/>
        <scheme val="minor"/>
      </rPr>
      <t xml:space="preserve">Montant total des dépenses de recherche réalisées par l’entreprise
</t>
    </r>
    <r>
      <rPr>
        <sz val="11"/>
        <color theme="1"/>
        <rFont val="Aptos Narrow"/>
        <family val="2"/>
        <scheme val="minor"/>
      </rPr>
      <t>(ligne 7 + ligne 8 + ligne 9 + ligne 10 + ligne 11 + ligne 12 + ligne 13)</t>
    </r>
  </si>
  <si>
    <t>Ligne 14</t>
  </si>
  <si>
    <t>B. DÉPENSES RELATIVES À DES OPÉRATIONS DE RECHERCHE EXTERNALISÉES AUPRÈS DE CERTAINS ORGANISMES (joindre la liste des organismes à partir du formulaire n° 2069-A-2-SD)</t>
  </si>
  <si>
    <r>
      <t>Dépenses afférentes aux opérations confiées à des organismes de recherche ou experts scientifiques ou techniques agréés</t>
    </r>
    <r>
      <rPr>
        <b/>
        <sz val="11"/>
        <color theme="1"/>
        <rFont val="Aptos Narrow"/>
        <family val="2"/>
        <scheme val="minor"/>
      </rPr>
      <t xml:space="preserve"> avec un lien de dépendance en France </t>
    </r>
  </si>
  <si>
    <t>Ligne 15a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</si>
  <si>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avec un lien de dépendance à l'étranger</t>
    </r>
  </si>
  <si>
    <t>Ligne 15b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</si>
  <si>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en France</t>
    </r>
  </si>
  <si>
    <t>Ligne 16a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</si>
  <si>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à l'étranger</t>
    </r>
  </si>
  <si>
    <t>Ligne 16b</t>
  </si>
  <si>
    <r>
      <rPr>
        <b/>
        <sz val="11"/>
        <color theme="1"/>
        <rFont val="Aptos Narrow"/>
        <family val="2"/>
        <scheme val="minor"/>
      </rPr>
      <t xml:space="preserve">Montant total des dépenses de recherche externalisée auprès d’organismes de recherche ou experts scientifiques ou techniques agréés </t>
    </r>
    <r>
      <rPr>
        <sz val="11"/>
        <color theme="1"/>
        <rFont val="Aptos Narrow"/>
        <family val="2"/>
        <scheme val="minor"/>
      </rPr>
      <t>(ligne 15a + ligne 15b + ligne 16a + ligne 16b)</t>
    </r>
  </si>
  <si>
    <t>Ligne 17</t>
  </si>
  <si>
    <r>
      <rPr>
        <b/>
        <sz val="11"/>
        <color theme="1"/>
        <rFont val="Aptos Narrow"/>
        <family val="2"/>
        <scheme val="minor"/>
      </rPr>
      <t xml:space="preserve">Plafonnement des dépenses de recherche externalisée auprès d’organismes de recherche ou experts scientifiques ou techniques agréés
</t>
    </r>
    <r>
      <rPr>
        <sz val="11"/>
        <color theme="1"/>
        <rFont val="Aptos Narrow"/>
        <family val="2"/>
        <scheme val="minor"/>
      </rPr>
      <t>Si ligne 17 inférieure à (ligne 14 x 3), reporter le montant indiqué ligne 17 
Si ligne 17 supérieure à (ligne 14 x 3), reporter le résultat du calcul précité</t>
    </r>
  </si>
  <si>
    <t>Ligne 18</t>
  </si>
  <si>
    <r>
      <rPr>
        <b/>
        <sz val="11"/>
        <color theme="1"/>
        <rFont val="Aptos Narrow"/>
        <family val="2"/>
        <scheme val="minor"/>
      </rPr>
      <t xml:space="preserve">Plafonnement spécifique des dépenses de recherche externalisée auprès d’organismes avec un lien de dépendance
</t>
    </r>
    <r>
      <rPr>
        <sz val="11"/>
        <color theme="1"/>
        <rFont val="Aptos Narrow"/>
        <family val="2"/>
        <scheme val="minor"/>
      </rPr>
      <t>Si (ligne 15a + ligne 15b) (dans la limite du montant figurant ligne 18) n’excède pas 2 000 000 €, reporter ce montant ligne 19
Si (ligne 15a + ligne 15b) (dans la limite du montant figurant ligne 18) excède 2 000 000 €, reporter 2 000 000 € ligne 19</t>
    </r>
  </si>
  <si>
    <t>Ligne 19</t>
  </si>
  <si>
    <r>
      <rPr>
        <b/>
        <sz val="11"/>
        <color theme="1"/>
        <rFont val="Aptos Narrow"/>
        <family val="2"/>
        <scheme val="minor"/>
      </rPr>
      <t>Plafonnement spécifique des dépenses de recherche externalisée auprès d’organismes sans lien de dépendance</t>
    </r>
    <r>
      <rPr>
        <sz val="11"/>
        <color theme="1"/>
        <rFont val="Aptos Narrow"/>
        <family val="2"/>
        <scheme val="minor"/>
      </rPr>
      <t xml:space="preserve">
Si (ligne 16a + ligne 16b) [dans la limite du montant suivant : (ligne 18 - ligne 19)] n’excède pas 10 000 000 €, reporter ce montant ligne 20
Si (ligne 16a + ligne 16b) [dans la limite du montant suivant : (ligne 18 - ligne 19)] excède 10 000 000 €, reporter 10 000 000 € ligne 20</t>
    </r>
  </si>
  <si>
    <t>Ligne 20</t>
  </si>
  <si>
    <r>
      <rPr>
        <b/>
        <sz val="11"/>
        <color theme="1"/>
        <rFont val="Aptos Narrow"/>
        <family val="2"/>
        <scheme val="minor"/>
      </rPr>
      <t>Montant total des dépenses de recherche externalisée après plafonnements</t>
    </r>
    <r>
      <rPr>
        <sz val="11"/>
        <color theme="1"/>
        <rFont val="Aptos Narrow"/>
        <family val="2"/>
        <scheme val="minor"/>
      </rPr>
      <t xml:space="preserve"> 
(ligne 19 + ligne 20 dans la limite de 10 000 000 €)</t>
    </r>
  </si>
  <si>
    <t>Ligne 21</t>
  </si>
  <si>
    <t>C. MONTANT TOTAL DES DÉPENSES DE RECHERCHE</t>
  </si>
  <si>
    <t>Montant des dépenses de recherche ouvrant droit au crédit d’impôt (CIR-Recherche)
 (ligne 14 + ligne 21)</t>
  </si>
  <si>
    <t>Ligne 22</t>
  </si>
  <si>
    <t>Montant des subventions publiques remboursables ou non</t>
  </si>
  <si>
    <t>Ligne 23a</t>
  </si>
  <si>
    <t>Pour les prestataires, le montant des dépenses exposées pour la réalisation des opérations de recherche pour le compte de tiers</t>
  </si>
  <si>
    <t>Ligne 23b</t>
  </si>
  <si>
    <t>Dépenses exposées auprès de tiers au titre de prestations de conseil pour l’octroi du bénéfice du crédit d’impôt</t>
  </si>
  <si>
    <t>Ligne 24</t>
  </si>
  <si>
    <t>Montant des remboursements de subventions publiques</t>
  </si>
  <si>
    <t>Ligne 25</t>
  </si>
  <si>
    <r>
      <rPr>
        <b/>
        <sz val="11"/>
        <color theme="1"/>
        <rFont val="Aptos Narrow"/>
        <family val="2"/>
        <scheme val="minor"/>
      </rPr>
      <t>Montant net total des dépenses de recherche</t>
    </r>
    <r>
      <rPr>
        <sz val="11"/>
        <color theme="1"/>
        <rFont val="Aptos Narrow"/>
        <family val="2"/>
        <scheme val="minor"/>
      </rPr>
      <t xml:space="preserve">
(ligne 22 - ligne 23a - ligne 23b - ligne 24 + ligne 25)</t>
    </r>
  </si>
  <si>
    <t>Ligne 26a</t>
  </si>
  <si>
    <t>Dont montant net des dépenses de recherche exposées dans des exploitations situées dans un DOM</t>
  </si>
  <si>
    <t>Ligne 26b</t>
  </si>
  <si>
    <t>II - DÉPENSES DE COLLECTION OUVRANT DROIT AU CRÉDIT D’IMPÔT (CIR-COLLECTION)</t>
  </si>
  <si>
    <t>Frais de collection</t>
  </si>
  <si>
    <t>Ligne 27</t>
  </si>
  <si>
    <t>Frais de défense des dessins et modèles dans la limite de 60 000 €</t>
  </si>
  <si>
    <t>Ligne 28</t>
  </si>
  <si>
    <t>Total des dépenses de collection (ligne 27 + ligne 28)</t>
  </si>
  <si>
    <t>Ligne 29</t>
  </si>
  <si>
    <t>Ligne 30</t>
  </si>
  <si>
    <t>Dépenses exposées auprès de tiers au titre de prestations de conseil pour l’octroi du bénéfice du crédit d’impôt⁵</t>
  </si>
  <si>
    <t>Ligne 31</t>
  </si>
  <si>
    <t>Ligne 32</t>
  </si>
  <si>
    <r>
      <rPr>
        <b/>
        <sz val="10"/>
        <rFont val="Arial"/>
        <family val="2"/>
      </rPr>
      <t>Montant net total des dépenses de collection</t>
    </r>
    <r>
      <rPr>
        <sz val="10"/>
        <rFont val="Arial"/>
        <family val="2"/>
      </rPr>
      <t xml:space="preserve">
(ligne 29 - ligne 30 - ligne 31 + ligne 32)</t>
    </r>
  </si>
  <si>
    <t>Ligne 33a</t>
  </si>
  <si>
    <t>Dont montant net des dépenses de collection exposées dans des exploitations situées dans
un DOM</t>
  </si>
  <si>
    <t>Ligne 33b</t>
  </si>
  <si>
    <t>MONTANT NET TOTAL DES DÉPENSES DE RECHERCHE ET DE COLLECTION
(ligne 26a + ligne 33a)</t>
  </si>
  <si>
    <t>Ligne 34a</t>
  </si>
  <si>
    <t>Dont montant net des dépenses de recherche et de collection exposées dans des exploitations situées dans un DOM (ligne 26b + ligne 33b)</t>
  </si>
  <si>
    <t>Ligne 34b</t>
  </si>
  <si>
    <t>III - CALCUL DU CRÉDIT D’IMPÔT AU TITRE DES DÉPENSES DE RECHERCHE ET DE COLLECTION</t>
  </si>
  <si>
    <t>A. LORSQUE LA SOMME DES DÉPENSES PORTÉES LIGNES 34a et 87 N’EXCÈDE PAS 100 000 000 €</t>
  </si>
  <si>
    <t>DÉTERMINATION DU CRÉDIT D’IMPÔT AU TITRE DES DÉPENSES DE RECHERCHE (CIR-RECHERCHE)</t>
  </si>
  <si>
    <t>Montant net total des dépenses de recherche
(reporter le montant indiqué ligne 26a)</t>
  </si>
  <si>
    <t>Ligne 35a</t>
  </si>
  <si>
    <t>Dont montant net total des dépenses de recherche exposées dans des exploitations situées dans un DOM 
(reporter le montant indiqué ligne 26b)</t>
  </si>
  <si>
    <t>Ligne 35b</t>
  </si>
  <si>
    <t>Montant du crédit d’impôt
 [(ligne 35a - ligne 35b) × 30 %] + (ligne 35b x 50 %)</t>
  </si>
  <si>
    <t>Ligne 36</t>
  </si>
  <si>
    <t>Quote-part de crédit d’impôt résultant de la participation de l’entreprise dans des sociétés de personnes ou groupements assimilés
(reporter le montant indiqué ligne 92a)</t>
  </si>
  <si>
    <t>Ligne 37</t>
  </si>
  <si>
    <t>Montant du crédit d’impôt pour les dépenses de recherche
(ligne 36 + ligne 37)</t>
  </si>
  <si>
    <t>Ligne 38a</t>
  </si>
  <si>
    <t>Dont montant du crédit d'impôt pour dépenses de recherche exposées dans des exploitations situées dans un DOM</t>
  </si>
  <si>
    <t>Ligne 38b</t>
  </si>
  <si>
    <t>DÉTERMINATION DU CRÉDIT D’IMPÔT AU TITRE DES DÉPENSES DE COLLECTION (CIR-COLLECTION)</t>
  </si>
  <si>
    <t>Montant net total des dépenses de collection (reporter le montant indiqué ligne 33a)</t>
  </si>
  <si>
    <t>Ligne 39a</t>
  </si>
  <si>
    <t>Dont montant net total des dépenses de collection exposées dans des exploitations situées dans un DOM (reporter le montant indiqué ligne 33b)</t>
  </si>
  <si>
    <t>Ligne 39b</t>
  </si>
  <si>
    <t>Montant du crédit d’impôt pour dépenses de collection avant plafonnement de minimis
[(ligne 39a - ligne 39b)× 30 %] + (ligne 39b x 50 %)</t>
  </si>
  <si>
    <t>Ligne 40</t>
  </si>
  <si>
    <t>Quote-part de crédit d’impôt résultant de la participation de l’entreprise dans des sociétés de personnes ou groupements assimilés
(reporter le montant indiqué ligne 91b)</t>
  </si>
  <si>
    <t>Ligne 41</t>
  </si>
  <si>
    <t>Montant total du crédit d’impôt pour dépenses de collection avant plafonnement de minimis
(ligne 40 + ligne 41)</t>
  </si>
  <si>
    <t>Ligne 42a</t>
  </si>
  <si>
    <t>Dont montant du crédit d'impôt pour dépenses de collection exposées dans des exploitations situées dans un DOM avant plafonnement de minimis</t>
  </si>
  <si>
    <t>Ligne 42b</t>
  </si>
  <si>
    <t>Montant des aides de minimis accordées à l'entreprise dans les conditions du règlement (UE) n° 1407/2013 de la Commission, du 18 décembre 2013, relatif à l'application des articles 107 et 108 du traité sur le fonctionnement de l'Union européenne aux aides de minimis</t>
  </si>
  <si>
    <t>Ligne 43</t>
  </si>
  <si>
    <t>traitement propre à chaque entreprise</t>
  </si>
  <si>
    <t>Montant cumulé du crédit d’impôt et des aides de minimis 
(ligne 42a + ligne 43)</t>
  </si>
  <si>
    <t>Ligne 44</t>
  </si>
  <si>
    <t>Montant du crédit d’impôt pour dépenses de collection après plafonnement de minimis :
Si le montant ligne 43 est égal à 300 000 €, reporter zéro ligne 45a 
Si le montant ligne 44 est inférieur à 300 000 €, reporter le montant déterminé ligne 42a à la ligne 45a 
Si le montant ligne 44 est supérieur à 300 000 €, reporter (300 000 € - ligne 43) à la ligne 45a</t>
  </si>
  <si>
    <t>Ligne 45a</t>
  </si>
  <si>
    <t>Dont montant du crédit d'impôt pour dépenses de collection exposées dans des exploitations situées dans un DOM après plafonnement</t>
  </si>
  <si>
    <t>Ligne 45b</t>
  </si>
  <si>
    <t>Montant total du crédit d’impôt au titre des dépenses de recherche et de collection 
(ligne 38a + ligne 45a)</t>
  </si>
  <si>
    <t>Ligne 46a</t>
  </si>
  <si>
    <t>Dont montant total du crédit d'impôt pour dépenses de recherche et de collection exposées dans des exploitations situées dans un DOM (ligne 38b + ligne 45b)</t>
  </si>
  <si>
    <t>Ligne 46b</t>
  </si>
  <si>
    <t>B. LORSQUE LA SOMME DES DÉPENSES PORTÉES LIGNES 34a et 86 EST SUPÉRIEURE À 100 000 000 €</t>
  </si>
  <si>
    <t>DÉTERMINATION DU CRÉDIT D’IMPÔT POUR LES DÉPENSES DE RECHERCHE</t>
  </si>
  <si>
    <t>Montant net total des dépenses de recherche limité à (100 000 000 € - dépenses de recherche collaborative) 
(reporter le montant indiqué ligne 26a dans la limite de (100 000 000 € - ligne 86))</t>
  </si>
  <si>
    <t>Ligne 47a</t>
  </si>
  <si>
    <t>Non géré</t>
  </si>
  <si>
    <t>Dont montant net total des dépenses de recherche exposées dans des exploitations situées dans un DOM (reporter le montant indiqué ligne 26b dans la limite de (100 000 000 € - ligne 86))</t>
  </si>
  <si>
    <t>Ligne 47b</t>
  </si>
  <si>
    <t>Montant du crédit d’impôt pour dépenses de recherche
[(ligne 47a - ligne 47b) x 30 %] + (ligne 47b x 50 %)</t>
  </si>
  <si>
    <t>Ligne 48</t>
  </si>
  <si>
    <t>Indiquer la part des dépenses de recherche supérieure à (100 000 000 € - dépenses de recherche collaborative)
[ligne 26a - (100 000 000 € - ligne 86)]</t>
  </si>
  <si>
    <t>Ligne 49</t>
  </si>
  <si>
    <t>Puis déterminer le montant du crédit d’impôt relatif à la fraction supérieure à (100 000 000 € - dépenses de recherche collaborative) (ligne 49 × 5 %)</t>
  </si>
  <si>
    <t>Ligne 50</t>
  </si>
  <si>
    <t>Montant total du crédit d’impôt 
(ligne 48 + ligne 50)</t>
  </si>
  <si>
    <t>Ligne 51</t>
  </si>
  <si>
    <t>Quote-part de crédit d’impôt résultant de la participation de l’entreprise dans des sociétés de personnes ou groupements assimilés 
(reporter le montant indiqué ligne 91a)</t>
  </si>
  <si>
    <t>Ligne 52</t>
  </si>
  <si>
    <t>Montant du crédit d’impôt pour dépenses de recherche 
(ligne 51 + ligne 52)</t>
  </si>
  <si>
    <t>Ligne 53a</t>
  </si>
  <si>
    <t>Ligne 53b</t>
  </si>
  <si>
    <t>DÉTERMINATION DU CRÉDIT D’IMPÔT POUR LES DÉPENSES DE COLLECTION</t>
  </si>
  <si>
    <t>Ligne 54a</t>
  </si>
  <si>
    <t>Dont montant net total des dépenses de collection exposées dans des exploitations situées dans un DOM 
(reporter le montant indiqué ligne 33b)</t>
  </si>
  <si>
    <t>Ligne 54b</t>
  </si>
  <si>
    <t>Plafond disponible
(100 000 000 € - ligne 86- ligne 47a)</t>
  </si>
  <si>
    <t>Ligne 55</t>
  </si>
  <si>
    <t>Crédit d’impôt pour dépenses de collection exposées par l’entreprise 
[(ligne 54a dans la limite de la ligne 55 - ligne 54b dans la limite de la ligne 55) x 30 ]% + (ligne 54b dans la limite de la ligne 55 x 50 %)</t>
  </si>
  <si>
    <t>Ligne 56</t>
  </si>
  <si>
    <t>Lorsque la part des dépenses de collection excède le plafond disponible 
[(ligne 54a - ligne 55)&gt;0], le crédit d’impôt est calculé au taux de 5 % [(ligne 54a - ligne 55) x 5 %]</t>
  </si>
  <si>
    <t>Ligne 57</t>
  </si>
  <si>
    <t>Crédit d’impôt pour dépenses de collection avant plafonnement de minimis (ligne 56 + ligne 57)</t>
  </si>
  <si>
    <t>Ligne 58</t>
  </si>
  <si>
    <t>Quote-part de crédit d’impôt résultant de la participation de l’entreprise dans des sociétés de personnes ou groupements assimilés 
(reporter le montant indiqué ligne 91b)</t>
  </si>
  <si>
    <t>Ligne 59</t>
  </si>
  <si>
    <t>Montant du crédit d’impôt avant plafonnement de minimis 
(ligne 58 + ligne 59)</t>
  </si>
  <si>
    <t>Ligne 60</t>
  </si>
  <si>
    <t>Montant des aides de minimis accordées à l'entreprise dans les conditions du règlement (UE) n° 1407/2013 de la Commission, du 18 décembre 2013, relatif à l’application des articles 107 et 108 du traité sur le fonctionnement de l'Union européenne aux aides de minimis</t>
  </si>
  <si>
    <t>Ligne 61</t>
  </si>
  <si>
    <t>Montant cumulé du crédit d’impôt et des aides de minimis 
(ligne 60 + ligne 61)</t>
  </si>
  <si>
    <t>Ligne 62</t>
  </si>
  <si>
    <t>Montant du crédit d’impôt pour dépenses de collection après plafonnement de minimis 
Si le montant ligne 61 est égal à 200 000 €, reporter zéro ligne 63a 
Si le montant ligne 62 est inférieur à 200 000 €, reporter le montant déterminé ligne 60 à la ligne 63a 
Si le montant ligne 62 est supérieur à 200 000 €, reporter (200 000 € - ligne 61) à la ligne 63a</t>
  </si>
  <si>
    <t>Ligne 63a</t>
  </si>
  <si>
    <t>Dont montant du crédit d'impôt pour dépenses de collection exposées dans des exploitations situées dans un DOM</t>
  </si>
  <si>
    <t>Ligne 63b</t>
  </si>
  <si>
    <t>Montant total du crédit d’impôt au titre des dépenses de recherche et de collection 
(ligne 53a + ligne 63a)</t>
  </si>
  <si>
    <t>Ligne 64a</t>
  </si>
  <si>
    <t>Dont montant du crédit d'impôt au titre des dépenses de recherche et de collection exposées dans des exploitations situées dans un DOM 
(ligne 53b + ligne 63b)</t>
  </si>
  <si>
    <t>Ligne 64b</t>
  </si>
  <si>
    <t>IV - DÉPENSES D’INNOVATION OUVRANT DROIT AU CRÉDIT D’IMPÔT (CIR-INNOVATION)</t>
  </si>
  <si>
    <t>DÉTERMINATION DU CRÉDIT D’IMPÔT AU TITRE DES DÉPENSES D’INNOVATION</t>
  </si>
  <si>
    <t>Dotations aux amortissements des immobilisations affectées aux opérations de conception de prototypes ou installations pilotes de nouveaux produits</t>
  </si>
  <si>
    <t>Ligne 65</t>
  </si>
  <si>
    <t>Dépenses de personnel affecté à la réalisation d’opérations de conception de prototypes ou installations pilotes de nouveaux produits</t>
  </si>
  <si>
    <t>Ligne 66</t>
  </si>
  <si>
    <t>Dotations aux amortissements, frais de prise et de maintenance de brevets et de certificats d’obtention végétale (COV), frais de dépôt de dessins et modèles</t>
  </si>
  <si>
    <t>Ligne 67</t>
  </si>
  <si>
    <t>Frais de défense des brevets, certificats d’obtention végétale (COV), dessins et modèles</t>
  </si>
  <si>
    <t>Ligne 68</t>
  </si>
  <si>
    <t>Opérations confiées à des entreprises ou bureaux d’études et d’ingénierie agréés</t>
  </si>
  <si>
    <t>Ligne 69</t>
  </si>
  <si>
    <t>Montant total des dépenses d’innovation 
(ligne 65 + ligne 66 + ligne 67 + ligne 68+ ligne 69)</t>
  </si>
  <si>
    <t>Ligne 70</t>
  </si>
  <si>
    <t>Montant total des dépenses d’innovation après plafonnement 
(ligne 70 dans la limite de 400 000 €)</t>
  </si>
  <si>
    <t>Ligne 71</t>
  </si>
  <si>
    <t>Ligne 72</t>
  </si>
  <si>
    <t>Pour les prestataires, montant des sommes encaissées au titre des travaux d’innovation qui leur ont été confiés</t>
  </si>
  <si>
    <t>Ligne 73</t>
  </si>
  <si>
    <t>Montant des dépenses exposées auprès de tiers au titre de prestations de conseil pour l’octroi du bénéfice du crédit d’impôt</t>
  </si>
  <si>
    <t>Ligne 74</t>
  </si>
  <si>
    <t>Ligne 75</t>
  </si>
  <si>
    <t>Montant net des dépenses d'innovation 
(ligne 71 - ligne 72 - ligne 73- ligne 74 + ligne 75)</t>
  </si>
  <si>
    <t>Ligne 76a</t>
  </si>
  <si>
    <t>Dont montant net des dépenses d'innovation exposées dans des exploitations situées dans un DOM</t>
  </si>
  <si>
    <t>Ligne 76b</t>
  </si>
  <si>
    <t>Dont montant net des dépenses d'innovation exposées par les micro et petites entreprises dans des exploitations situées sur le territoire de la collectivité de Corse</t>
  </si>
  <si>
    <t>Ligne 76c</t>
  </si>
  <si>
    <t>Dont montant net des dépenses d'innovation exposées par les moyennes entreprises dans des exploitations situées sur le territoire de la collectivité de Corse</t>
  </si>
  <si>
    <t>Ligne 76d</t>
  </si>
  <si>
    <t>Ligne 77</t>
  </si>
  <si>
    <t>Quote-part de crédit d’impôt résultant de la participation de l’entreprise dans des sociétés de personnes ou groupements assimilés 
(reporter le montant indiqué ligne 91c)</t>
  </si>
  <si>
    <t>Ligne 78</t>
  </si>
  <si>
    <t>Montant total du crédit d’impôt au titre des dépenses d’innovation 
(ligne 77 + ligne 78)</t>
  </si>
  <si>
    <t>Ligne 79a</t>
  </si>
  <si>
    <t>Dont montant du crédit d'impôt pour dépenses d'innovation exposées dans des exploitations situées dans un DOM</t>
  </si>
  <si>
    <t>Ligne 79b</t>
  </si>
  <si>
    <t>Dont montant du crédit d'impôt pour dépenses d'innovation exposées dans des exploitations situées sur le territoire de la collectivité de Corse</t>
  </si>
  <si>
    <t>Ligne 79c</t>
  </si>
  <si>
    <t>Montant total du crédit d’impôt au titre des dépenses de recherche, de collection et d’innovation 
(ligne 46a ou 64a + ligne 79a)</t>
  </si>
  <si>
    <t>Ligne 80a</t>
  </si>
  <si>
    <t>Dont montant du crédit d'impôt au titre des dépenses de recherche, de collection et d'innovation exposées dans des exploitations situées dans un DOM 
(ligne 46b ou 64b + ligne 79b)</t>
  </si>
  <si>
    <t>Ligne 80b</t>
  </si>
  <si>
    <t>CRÉDIT D’IMPÔT EN FAVEUR DE LA RECHERCHE COLLABORATIVE PRÉVU À L’ARTICLE 244 QUATER B BIS DU CGI</t>
  </si>
  <si>
    <t>V - DÉPENSES DE RECHERCHE COLLABORATIVE OUVRANT DROIT AU CRÉDIT D’IMPÔT (CRC)</t>
  </si>
  <si>
    <t>Dépenses facturées par des organismes de recherche et de diffusion des connaissances agréés dans le cadre d’un contrat de collaboration de recherche effective 
(joindre la liste des organismes à partir du formulaire n° 2069-A-3-SD)</t>
  </si>
  <si>
    <t>Ligne 81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</si>
  <si>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en France</t>
    </r>
  </si>
  <si>
    <t>Ligne 82a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</si>
  <si>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à l'étranger</t>
    </r>
  </si>
  <si>
    <t>Ligne 82b</t>
  </si>
  <si>
    <t>Montant total des dépenses de recherche collaborative éligibles après plafonnement 
Si (ligne 82a + ligne 82b) n’excède pas 6 000 000 €, reporter ce montant ligne 83 
Si (ligne 82a + ligne 82b) excède 6 000 000 €, reporter 6 000 000 € ligne 83</t>
  </si>
  <si>
    <t>Ligne 83</t>
  </si>
  <si>
    <t>Montant des aides publiques remboursables ou non</t>
  </si>
  <si>
    <t>Ligne 84</t>
  </si>
  <si>
    <t>Montant des remboursements des aides publiques</t>
  </si>
  <si>
    <t>Ligne 85</t>
  </si>
  <si>
    <t>Montant net des dépenses de recherche collaborative 
(ligne 83 - ligne 84 + ligne 85)</t>
  </si>
  <si>
    <t>Ligne 86</t>
  </si>
  <si>
    <t>Dont montant net des dépenses de recherche collaborative exposées par les PME</t>
  </si>
  <si>
    <t>Ligne 87</t>
  </si>
  <si>
    <t>Montant du crédit d’impôt au titre des dépenses de recherche collaborative 
[(ligne 86 - ligne 87) x 40 %] + (ligne 87 x 50 %)</t>
  </si>
  <si>
    <t>Ligne 88</t>
  </si>
  <si>
    <t>Quote-part de crédit d’impôt résultant de la participation de l’entreprise dans des sociétés de personnes ou groupements assimilés 
(reporter le montant indiqué ligne 91d)</t>
  </si>
  <si>
    <t>Ligne 89</t>
  </si>
  <si>
    <r>
      <rPr>
        <b/>
        <sz val="11"/>
        <color theme="1"/>
        <rFont val="Aptos Narrow"/>
        <family val="2"/>
        <scheme val="minor"/>
      </rPr>
      <t xml:space="preserve">Montant total du crédit d’impôt au titre des dépenses de recherche collaborative </t>
    </r>
    <r>
      <rPr>
        <sz val="11"/>
        <color theme="1"/>
        <rFont val="Aptos Narrow"/>
        <family val="2"/>
        <scheme val="minor"/>
      </rPr>
      <t xml:space="preserve">
(ligne 88 + ligne 89)</t>
    </r>
  </si>
  <si>
    <t>Ligne 90</t>
  </si>
  <si>
    <t xml:space="preserve">Ok 2069 </t>
  </si>
  <si>
    <t>DATE</t>
  </si>
  <si>
    <t>Exercice</t>
  </si>
  <si>
    <t>Liste des opérateurs</t>
  </si>
  <si>
    <t>Dispositif</t>
  </si>
  <si>
    <t>N° SIREN</t>
  </si>
  <si>
    <t>Organisme</t>
  </si>
  <si>
    <t xml:space="preserve">Adresse </t>
  </si>
  <si>
    <t>Agrément</t>
  </si>
  <si>
    <t>Ligne 2069-AS-D</t>
  </si>
  <si>
    <t>Somme de montant</t>
  </si>
  <si>
    <t>(vide)</t>
  </si>
  <si>
    <t>Total général</t>
  </si>
  <si>
    <t>Parametrage</t>
  </si>
  <si>
    <t xml:space="preserve">Cloture décalée </t>
  </si>
  <si>
    <t>Agréé</t>
  </si>
  <si>
    <t>Offre</t>
  </si>
  <si>
    <t>Crédit</t>
  </si>
  <si>
    <t>RTE</t>
  </si>
  <si>
    <t>RFI</t>
  </si>
  <si>
    <t>CVA</t>
  </si>
  <si>
    <t>Pôle</t>
  </si>
  <si>
    <t>Validation périmètre Technique</t>
  </si>
  <si>
    <t xml:space="preserve">Année Valorisation </t>
  </si>
  <si>
    <t xml:space="preserve"> Répartition hono 2024</t>
  </si>
  <si>
    <t>Hono 2024</t>
  </si>
  <si>
    <t>Honoraires</t>
  </si>
  <si>
    <t>Si fixe à palier, indiquer le montant du 1er palier</t>
  </si>
  <si>
    <t>Si %age, avec un montant minimum d'honoraire indiquer ce montant</t>
  </si>
  <si>
    <t>Copier ici la rémunération prévue dans le contrat</t>
  </si>
  <si>
    <t>MAJ notion des honoraires ?</t>
  </si>
  <si>
    <t>Validation honoraires</t>
  </si>
  <si>
    <t>Cohérence dans la feuille de calcul Synth/rep cout</t>
  </si>
  <si>
    <t>Cohérence entre les feuilles de calcul CIR</t>
  </si>
  <si>
    <t>Cohérence entre les feuilles de calcul CII</t>
  </si>
  <si>
    <t>Cohérence entre les feuilles de calcul CIC</t>
  </si>
  <si>
    <t>Dotations aux amortissements</t>
  </si>
  <si>
    <t>Dépenses de personnel</t>
  </si>
  <si>
    <t>Frais de fonctionnement</t>
  </si>
  <si>
    <t>na</t>
  </si>
  <si>
    <t>Dépenses brevet</t>
  </si>
  <si>
    <t>Dépenses ST</t>
  </si>
  <si>
    <t>PERSONNEL</t>
  </si>
  <si>
    <t>Matricule</t>
  </si>
  <si>
    <t>Nom</t>
  </si>
  <si>
    <t>Prénom</t>
  </si>
  <si>
    <t>Rôle dans l'opération</t>
  </si>
  <si>
    <t>salaire Brut N</t>
  </si>
  <si>
    <t>Salaire Brut N-1</t>
  </si>
  <si>
    <t>Variation</t>
  </si>
  <si>
    <t>HTRAV N</t>
  </si>
  <si>
    <t>HTRAV N-1</t>
  </si>
  <si>
    <t>Tx horaire N</t>
  </si>
  <si>
    <t>Tx horaire N-1</t>
  </si>
  <si>
    <t>HRECH N</t>
  </si>
  <si>
    <t>HRECH N-1</t>
  </si>
  <si>
    <t>HINNO N</t>
  </si>
  <si>
    <t>HINNO N-1</t>
  </si>
  <si>
    <t>IMMO Valorisée</t>
  </si>
  <si>
    <t>Identification de l'équipement</t>
  </si>
  <si>
    <t>Description de l'équipement</t>
  </si>
  <si>
    <t>Date d'achat</t>
  </si>
  <si>
    <t>Coût acquisition (HT)</t>
  </si>
  <si>
    <t>Durée amortissement (Mois)</t>
  </si>
  <si>
    <t>% R&amp;D N</t>
  </si>
  <si>
    <t>% Inno N</t>
  </si>
  <si>
    <t xml:space="preserve">BREVET </t>
  </si>
  <si>
    <t>OUI /NON</t>
  </si>
  <si>
    <t>si oui indiquer le nom du founisseur vérifier s'il est toujours présent dans le grand livre 2024</t>
  </si>
  <si>
    <t>Fournisseur</t>
  </si>
  <si>
    <t>Montant</t>
  </si>
  <si>
    <t>VEILLE</t>
  </si>
  <si>
    <t>Sous-traitance</t>
  </si>
  <si>
    <t>SUBVENTION</t>
  </si>
  <si>
    <t xml:space="preserve">Nom Subvention </t>
  </si>
  <si>
    <t>Reliquat</t>
  </si>
  <si>
    <t>Dépenses ouvrant droit au crédit d'impôt</t>
  </si>
  <si>
    <t>Dépenses de personnel - Jeunes Docteurs</t>
  </si>
  <si>
    <t>Dépenses de fonctionnement</t>
  </si>
  <si>
    <t>Dépenses de prise et maintenance de brevets</t>
  </si>
  <si>
    <t>Dépenses de défense de brevets</t>
  </si>
  <si>
    <t>Dotations aux amortissements des brevets</t>
  </si>
  <si>
    <t>Dépenses de normalisation</t>
  </si>
  <si>
    <t>Dépenses de primes et cotisations assurances brevets</t>
  </si>
  <si>
    <t>Dépenses de veille technologique</t>
  </si>
  <si>
    <t>Dépenses engagées auprès de prestataires externes privés ou publics français</t>
  </si>
  <si>
    <t>Critère de plafonnement</t>
  </si>
  <si>
    <t>résultat</t>
  </si>
  <si>
    <t>Montant à considérer</t>
  </si>
  <si>
    <t>Dépenses engagées auprès de prestataires externes privés ou publics communautaires</t>
  </si>
  <si>
    <t>lien de dépendance (&lt;2m€)</t>
  </si>
  <si>
    <t>Dépenses engagées auprès de prestataires français avec lien de dépendance</t>
  </si>
  <si>
    <t>plafonnement ST (&lt;10 m€)</t>
  </si>
  <si>
    <t>Dépenses engagées auprès de prestataires communautaires avec lien de dépendance</t>
  </si>
  <si>
    <t>&lt;3 fois les dépenses internes</t>
  </si>
  <si>
    <t>Total brut des dépenses éligibles</t>
  </si>
  <si>
    <t xml:space="preserve"> - Subventions publiques et avances remboursables perçus</t>
  </si>
  <si>
    <t xml:space="preserve"> + Remboursements de subventions publiques</t>
  </si>
  <si>
    <t xml:space="preserve"> - Ventes R&amp;D</t>
  </si>
  <si>
    <t xml:space="preserve"> - Dépenses exposées au titre de prestation de conseil</t>
  </si>
  <si>
    <t>Total net des dépenses éligibles</t>
  </si>
  <si>
    <t>Taux applicable</t>
  </si>
  <si>
    <t>Montant du crédit d'impôt</t>
  </si>
  <si>
    <t>Total des crédits</t>
  </si>
  <si>
    <t>Dépenses engagées auprès de prestataires certifiés ORDC  français</t>
  </si>
  <si>
    <t>Dépenses engagées auprès de prestataires certifiés ORDC  communautaires</t>
  </si>
  <si>
    <t>Dépenses ouvrant droit à crédit d'impôt</t>
  </si>
  <si>
    <t>Dépenses engagées auprès de prestataires externes français</t>
  </si>
  <si>
    <t>Dépenses engagées auprès de prestataires externes communautaires</t>
  </si>
  <si>
    <t>Total brut des dépenses de R&amp;D</t>
  </si>
  <si>
    <t>Total net des dépenses de R&amp;D</t>
  </si>
  <si>
    <t>Total crédit impôt recherche (CIR)</t>
  </si>
  <si>
    <t>Dépenses ouvrant droit à crédit d'impôt Recherche (CIR)</t>
  </si>
  <si>
    <t>Opération 1</t>
  </si>
  <si>
    <t>Dépenses non rattachées à un projet</t>
  </si>
  <si>
    <t xml:space="preserve">Total </t>
  </si>
  <si>
    <t xml:space="preserve">Total brut des dépenses </t>
  </si>
  <si>
    <t xml:space="preserve">Total net des dépenses </t>
  </si>
  <si>
    <t>Montant du crédit d'impôt Recherche (CIR)</t>
  </si>
  <si>
    <t>Dépenses ouvrant droit à crédit d'impôt Innovation (CII)</t>
  </si>
  <si>
    <t>Nom projet</t>
  </si>
  <si>
    <t>Dépenses ouvrant droit à crédit d'impôt Collection (CIC)</t>
  </si>
  <si>
    <t>Montant du crédit d'impôt Innovation (CII)</t>
  </si>
  <si>
    <t>Montant du crédit d'impôt Collection (CIC)</t>
  </si>
  <si>
    <t>CIR - Répartition des coûts R&amp;D par opérations</t>
  </si>
  <si>
    <t>AUTRES TYPES DE DÉPENSES</t>
  </si>
  <si>
    <t>TOTAL</t>
  </si>
  <si>
    <t>ne pas toucher</t>
  </si>
  <si>
    <t>Ratio CII</t>
  </si>
  <si>
    <t>Facture O/N</t>
  </si>
  <si>
    <t>Centre de cout</t>
  </si>
  <si>
    <t>N° de compte</t>
  </si>
  <si>
    <t>N° immobilisation</t>
  </si>
  <si>
    <t>Dotation annuelle</t>
  </si>
  <si>
    <t>type d'utilisation</t>
  </si>
  <si>
    <t>Ratio d'éligibilité CIR</t>
  </si>
  <si>
    <t>X</t>
  </si>
  <si>
    <t>Dotations éligibles au CIR</t>
  </si>
  <si>
    <t>Ratio d'éligibilité CII</t>
  </si>
  <si>
    <t>Dotations éligibles au CII</t>
  </si>
  <si>
    <t>Ratio d'éligibilité</t>
  </si>
  <si>
    <t>Dotations éligibles au CIC</t>
  </si>
  <si>
    <t>Heures R&amp;D</t>
  </si>
  <si>
    <t>Utilisation mixte - ratio société</t>
  </si>
  <si>
    <t>Heures totales salariés retenus</t>
  </si>
  <si>
    <t>Heures totales société</t>
  </si>
  <si>
    <t>Total des dépenses de dotations aux amortissements</t>
  </si>
  <si>
    <t>Dont brevet acquis en vue de réaliser des opérations de recherche</t>
  </si>
  <si>
    <t>Dont dotations aux amortissements</t>
  </si>
  <si>
    <t>Ratio CIR</t>
  </si>
  <si>
    <t>BDS O/N</t>
  </si>
  <si>
    <t>Diplôme/CV O/N</t>
  </si>
  <si>
    <t>Mat</t>
  </si>
  <si>
    <t>Diplôme + Ecole</t>
  </si>
  <si>
    <t>Année obtention</t>
  </si>
  <si>
    <t>Statut</t>
  </si>
  <si>
    <t>Date d'entrée</t>
  </si>
  <si>
    <t>Date de
sortie</t>
  </si>
  <si>
    <t>%age de présence</t>
  </si>
  <si>
    <t>Salaire Brut</t>
  </si>
  <si>
    <t>Acc à la rém</t>
  </si>
  <si>
    <t>CPAT</t>
  </si>
  <si>
    <t>CSPO</t>
  </si>
  <si>
    <t>Charge Pat / Sal Brut</t>
  </si>
  <si>
    <t>CSPO/CPAT</t>
  </si>
  <si>
    <t>Salaire chargé éligible</t>
  </si>
  <si>
    <t>Heures travaillées N</t>
  </si>
  <si>
    <t>Coût horaire N</t>
  </si>
  <si>
    <t>Heures éligibles au CIR</t>
  </si>
  <si>
    <t>Heures éligibles au CII</t>
  </si>
  <si>
    <t>Heures éligibles au CIC</t>
  </si>
  <si>
    <t>Ratio CIC</t>
  </si>
  <si>
    <t>Dépenses éligibles au CIR</t>
  </si>
  <si>
    <t>Dépenses éligibles au CII</t>
  </si>
  <si>
    <t>Dépenses éligibles au CIC</t>
  </si>
  <si>
    <t>Heures hors R&amp;D</t>
  </si>
  <si>
    <t>Heures travaillées salariés CIR</t>
  </si>
  <si>
    <t>Heures travaillées salariés CII</t>
  </si>
  <si>
    <t>Heures travaillées salariés CIC</t>
  </si>
  <si>
    <t>dont JD</t>
  </si>
  <si>
    <t>dont dépenses de personnel</t>
  </si>
  <si>
    <t xml:space="preserve">Cas de figure </t>
  </si>
  <si>
    <t xml:space="preserve">Conséquence </t>
  </si>
  <si>
    <t xml:space="preserve">Données pour valorisation </t>
  </si>
  <si>
    <t xml:space="preserve">Explication du calcul </t>
  </si>
  <si>
    <t xml:space="preserve">Axe d'attention </t>
  </si>
  <si>
    <t>A</t>
  </si>
  <si>
    <t xml:space="preserve">Personnel au 35h (1820,04 heures) et pointe 7 heures par jour dans la base de pointage </t>
  </si>
  <si>
    <t>les HTRAV calculées sont justes</t>
  </si>
  <si>
    <t>Les données issues de la requete RH</t>
  </si>
  <si>
    <t>Si le salarié à des RTT on n'en tient pas compte pour le calcul des HTRAV</t>
  </si>
  <si>
    <t xml:space="preserve">Personnel au 39h (2028 heures) et pointe 7,8 heures par jour dans la base de pointage </t>
  </si>
  <si>
    <t>B</t>
  </si>
  <si>
    <t xml:space="preserve">Personnel au 40h (2080 heures) et pointe 8 heures par jour dans la base de pointage </t>
  </si>
  <si>
    <t>C</t>
  </si>
  <si>
    <t>Personnel au 35h (1820,04 heures) et les HRECH sont un %age de son temps</t>
  </si>
  <si>
    <t>D</t>
  </si>
  <si>
    <t>Personnel au 39h (2028 heures) et les HRECH sont un %age de son temps</t>
  </si>
  <si>
    <t>E</t>
  </si>
  <si>
    <t>Personnel au 40h (2080 heures) et les HRECH sont un %age de son temps</t>
  </si>
  <si>
    <t xml:space="preserve">Personnel au 35h (1820,04 heures) et ne pointe pas 7 heures dans la base de pointage </t>
  </si>
  <si>
    <t>les HTRAV calculées ne sont pas justes</t>
  </si>
  <si>
    <t xml:space="preserve"> = HTRAV/ 7heures * Nbre heures pointées par jour</t>
  </si>
  <si>
    <t>au cas par cas</t>
  </si>
  <si>
    <t>Si le nombre d'heures pointées est supérieur à 7 heures on retient les RTT dans le calcul des HTRAV</t>
  </si>
  <si>
    <t xml:space="preserve">Personnel au 39h (2028 heures) et ne pointe pas 7,8 heures dans la base de pointage </t>
  </si>
  <si>
    <t xml:space="preserve"> = HTRAV/ 7,8heures * Nbre heures pointées par jour</t>
  </si>
  <si>
    <t xml:space="preserve">Personnel au 40h (2080 heures) et ne pointe pas 8 heures dans la base de pointage </t>
  </si>
  <si>
    <t xml:space="preserve"> = HTRAV/ 8heures * Nbre heures pointées par jour</t>
  </si>
  <si>
    <t xml:space="preserve">Je n'ai pas d'information sur ces HTRAV mais pointe et c'est un cadre au forfait jours </t>
  </si>
  <si>
    <t>on trouve des HTRAV générique avec les heures théoriques pointées par jour</t>
  </si>
  <si>
    <t xml:space="preserve"> = 218* heures théoriques pointées</t>
  </si>
  <si>
    <t>si la personne est arrivé en cours d'année on proratise ce résultat</t>
  </si>
  <si>
    <t xml:space="preserve">Je n'ai pas d'information sur ces HTRAV mais pointe et ce n'est un cadre au forfait jours </t>
  </si>
  <si>
    <t xml:space="preserve"> = 47 * 5 * heures théroqiues pointées</t>
  </si>
  <si>
    <t xml:space="preserve">Je n'ai pas d'information sur ces HTRAV, pas d'info dans la base de pointage et c'est un cadre au forfait jours </t>
  </si>
  <si>
    <t>on trouve des HTRAV générique</t>
  </si>
  <si>
    <t xml:space="preserve"> = 218*8 = 1744 heures </t>
  </si>
  <si>
    <t xml:space="preserve">Je n'ai pas d'information sur ces HTRAV, pas d'info dans la base de pointage et ce n'est pas un cadre au forfait jours </t>
  </si>
  <si>
    <t xml:space="preserve"> = 47 semaines * 35 heures </t>
  </si>
  <si>
    <t>Donnée HTRAV</t>
  </si>
  <si>
    <t xml:space="preserve">Nom </t>
  </si>
  <si>
    <t>N° de Facture</t>
  </si>
  <si>
    <t>N° document</t>
  </si>
  <si>
    <t>Date comptabilisation</t>
  </si>
  <si>
    <t>Date facture</t>
  </si>
  <si>
    <t>Type de dépenses</t>
  </si>
  <si>
    <t>Titre brevet</t>
  </si>
  <si>
    <t>N° de dépôt</t>
  </si>
  <si>
    <t>Libellé facture</t>
  </si>
  <si>
    <t>Type prestation</t>
  </si>
  <si>
    <t>Montant HT</t>
  </si>
  <si>
    <t xml:space="preserve">Montant CIR </t>
  </si>
  <si>
    <t>Montant   CII</t>
  </si>
  <si>
    <t>Montant   CIC</t>
  </si>
  <si>
    <t>Total</t>
  </si>
  <si>
    <t>Total Prise et Maintenance de brevet</t>
  </si>
  <si>
    <t>Total Défense de brevet</t>
  </si>
  <si>
    <t>Total des Primes et Cotisations Assurances brevets</t>
  </si>
  <si>
    <t>rattachement projet</t>
  </si>
  <si>
    <t>Résumé des travaux</t>
  </si>
  <si>
    <t>Type de travaux</t>
  </si>
  <si>
    <t>Nationalité</t>
  </si>
  <si>
    <t>Lien de dépendance</t>
  </si>
  <si>
    <t>Début Agrément</t>
  </si>
  <si>
    <t>Fin Agrément</t>
  </si>
  <si>
    <t>Eligibilité</t>
  </si>
  <si>
    <t>Montant CIR</t>
  </si>
  <si>
    <t>x</t>
  </si>
  <si>
    <t>Montant CII</t>
  </si>
  <si>
    <t>Montant  CICO</t>
  </si>
  <si>
    <t>montant</t>
  </si>
  <si>
    <t>Total France sans lien de dépendance</t>
  </si>
  <si>
    <t>Total France avec lien de dépendance</t>
  </si>
  <si>
    <t>Total Europe sans lien de dépendance</t>
  </si>
  <si>
    <t>Total Europe avec lien de dépendance</t>
  </si>
  <si>
    <t>Type de Frais</t>
  </si>
  <si>
    <t>Libellé</t>
  </si>
  <si>
    <t>Type de réunion</t>
  </si>
  <si>
    <t>Organisme / Congrès</t>
  </si>
  <si>
    <t>Dates</t>
  </si>
  <si>
    <t>Lieu</t>
  </si>
  <si>
    <t>Temps passé (h)</t>
  </si>
  <si>
    <t>Cout horaire</t>
  </si>
  <si>
    <t>Montant
CIR</t>
  </si>
  <si>
    <t>Dépenses de défense de brevet interne</t>
  </si>
  <si>
    <t>Dépenses totales de veille</t>
  </si>
  <si>
    <t>Veille plafonnée</t>
  </si>
  <si>
    <t xml:space="preserve">A venir </t>
  </si>
  <si>
    <t>Synthèse</t>
  </si>
  <si>
    <t>Personnel</t>
  </si>
  <si>
    <t>Immobilisations</t>
  </si>
  <si>
    <t>Sous-Traitance</t>
  </si>
  <si>
    <t>Personnel Heures de recherche / innovation</t>
  </si>
  <si>
    <t>Dépenses de personnel recherche / innovation</t>
  </si>
  <si>
    <t>APPLE</t>
  </si>
  <si>
    <t>a</t>
  </si>
  <si>
    <t>c</t>
  </si>
  <si>
    <t>Total Heures CIR / CII</t>
  </si>
  <si>
    <t>Dépenses Totales</t>
  </si>
  <si>
    <t>Heures CIR</t>
  </si>
  <si>
    <t>Dépenses</t>
  </si>
  <si>
    <t>Ratio</t>
  </si>
  <si>
    <t>Heures CII</t>
  </si>
  <si>
    <t>Fait 
O/N</t>
  </si>
  <si>
    <t>Eléments à vérifier</t>
  </si>
  <si>
    <t>Sinon justifier</t>
  </si>
  <si>
    <t xml:space="preserve">Est-ce que Synthèse = Rep cout = PPT ? </t>
  </si>
  <si>
    <t>Est-ce que synthèse = TS ?</t>
  </si>
  <si>
    <t xml:space="preserve">Toutes les cases de paramètre chiffrage sont-elles vraies ? </t>
  </si>
  <si>
    <t>Le nombre de PC correspond-t-il bien au même nombre de personnes valorisées ?</t>
  </si>
  <si>
    <t xml:space="preserve">Est-ce que les honoraires correspondent au contrat ? </t>
  </si>
  <si>
    <t>Si jeune docteur l'année dernière, vérifier si cette année, il a toujours la qualité de jeune docteur et jusqu'à quand ?</t>
  </si>
  <si>
    <t xml:space="preserve">L'entreprise est-elle toujours PME ? </t>
  </si>
  <si>
    <t xml:space="preserve">Avez-vous tout les bulletins de salaires ? </t>
  </si>
  <si>
    <t>Les taux de CSPO ne sont pas aberrants ?</t>
  </si>
  <si>
    <t>Les différences avec VERIF VS sont-elles correctes ? (heures / cout horaire / salaire)</t>
  </si>
  <si>
    <t xml:space="preserve">As-tu bien complété les montants des années précédentes dans l'onglet synthèse ? </t>
  </si>
  <si>
    <t>Les heures travaillées sont-elles cohérentes par rapport aux % de présence ?</t>
  </si>
  <si>
    <t>As-tu vérifier s’il y a bien les exonérations JEI sur le livre de paie si l’entreprise est bien JEI ?</t>
  </si>
  <si>
    <t>Le total des temps valorisés par salarié est bien plafonné à 95% maximum ?</t>
  </si>
  <si>
    <t>Les scans des diplomes sont disponibles ?</t>
  </si>
  <si>
    <t>Tous les éléments à demander au client pour compléter le dossier ont été listé ?</t>
  </si>
  <si>
    <t>Les factures de ST sont rattachés au bon projet ? (Sinon voir tech)</t>
  </si>
  <si>
    <t>La déclaration 2069 A SD est correctement remplie ?</t>
  </si>
  <si>
    <t xml:space="preserve">Est-ce que Axel est encore bourré ? </t>
  </si>
  <si>
    <t>Avez-vous lu la fiche synthèse du client pour s'assurer qu'on a tous les éléments ?</t>
  </si>
  <si>
    <t>Avez-vous vérifié si il y avait de la subvention les années précédentes ?</t>
  </si>
  <si>
    <t xml:space="preserve">Avez-vous fait l'audit du GL ? </t>
  </si>
  <si>
    <t>Avez-vous vérifié si les Hrech correspondent bien aux temps de recherche / innovation dans valo perso ?</t>
  </si>
  <si>
    <t xml:space="preserve">Avoir vérifié la date d'agrément CIR / CII des sous-traitants </t>
  </si>
  <si>
    <t>Est-ce que dans la version finale les projets retenues sont bien éligibles et correctement ventilés entre CIR / CII ? (vérifier avec le tech)</t>
  </si>
  <si>
    <t>T'es-tu rapproché du technique pour les profils à risque ?</t>
  </si>
  <si>
    <t xml:space="preserve">As-tu bien reçu les factures de veille / brevet / sous-traitance ? </t>
  </si>
  <si>
    <t>As-tu bien fait tes recherches V à partir du matricule ?</t>
  </si>
  <si>
    <t>Est-ce que les totaux des dépenses correspondent aux tableaux synthétiques ?</t>
  </si>
  <si>
    <t xml:space="preserve">As-tu remplis l'onglet JEI ? </t>
  </si>
  <si>
    <t xml:space="preserve">Quand rajoute un onglet dans rep cout pour CII le montant des immo par projet ne suis pas </t>
  </si>
  <si>
    <t>S</t>
  </si>
  <si>
    <t xml:space="preserve">Dans st quand rattache à un projet, le faire apparaitre dans rep cout </t>
  </si>
  <si>
    <t>N</t>
  </si>
  <si>
    <t xml:space="preserve">Quand honoraires à déduire le faire apparaitre dans rep cout en négatif </t>
  </si>
  <si>
    <t xml:space="preserve">liste déroulante des projets rattachés dans st </t>
  </si>
  <si>
    <t>1+1 à intégrer</t>
  </si>
  <si>
    <t>F</t>
  </si>
  <si>
    <t>Vérif VS ajouté diplôme + date d'obtention + date d'entrée</t>
  </si>
  <si>
    <t xml:space="preserve">Formule dotation : heure totale société </t>
  </si>
  <si>
    <t xml:space="preserve">un outil pour traiter sub directement dans la matrice </t>
  </si>
  <si>
    <t>F/A</t>
  </si>
  <si>
    <t>ajouter lignes perso dans ppt perso</t>
  </si>
  <si>
    <t>Critère JEI</t>
  </si>
  <si>
    <t>Donnée à vérifier</t>
  </si>
  <si>
    <t>Valeur renseignée</t>
  </si>
  <si>
    <t>✅ O/N</t>
  </si>
  <si>
    <t xml:space="preserve">Dépenses totales de charges </t>
  </si>
  <si>
    <t>Dépenses de recherche</t>
  </si>
  <si>
    <t>Eligibilité JEI</t>
  </si>
  <si>
    <t xml:space="preserve">Condition </t>
  </si>
  <si>
    <t>1. Date de création de l’entreprise</t>
  </si>
  <si>
    <t>Chercher sur société</t>
  </si>
  <si>
    <t>(ex: 2017)</t>
  </si>
  <si>
    <t>oui</t>
  </si>
  <si>
    <t>Rajouter les critères Nls</t>
  </si>
  <si>
    <t>Date de l'exercice en cours</t>
  </si>
  <si>
    <t>Année N</t>
  </si>
  <si>
    <t>2. Âge de l’entreprise au moment de la demande</t>
  </si>
  <si>
    <t>Calculé automatiquement</t>
  </si>
  <si>
    <t>=Année en cours - Date de création</t>
  </si>
  <si>
    <t>3. Employés &lt; 250</t>
  </si>
  <si>
    <t>(ex: 45)</t>
  </si>
  <si>
    <t>(Oui / Non)</t>
  </si>
  <si>
    <t>4. Chiffre d’affaires &lt; 50 M€</t>
  </si>
  <si>
    <t>(ex: 6,8 M€)</t>
  </si>
  <si>
    <t>5. Total bilan &lt; 43 M€</t>
  </si>
  <si>
    <t>(ex: 3,4 M€)</t>
  </si>
  <si>
    <t>6. Dépenses R&amp;D &gt; 20 % des charges fiscales (hors exceptions)</t>
  </si>
  <si>
    <t>À calculer à partir des données du chiffrage</t>
  </si>
  <si>
    <t>=Dépenses R&amp;D / Total charges fiscales</t>
  </si>
  <si>
    <t>Validité du statut</t>
  </si>
  <si>
    <t>Calcul du ratio</t>
  </si>
  <si>
    <t>Tableaux Personnel</t>
  </si>
  <si>
    <t xml:space="preserve">Tableaux immobiliations </t>
  </si>
  <si>
    <t>Conditions générales</t>
  </si>
  <si>
    <t>1.</t>
  </si>
  <si>
    <t>Être une PME au sens communautaire :
 - Employer moins de 250 salariés
 - CA &lt; 50 000 000 € ou Bilan total &lt; 43 000 000 €</t>
  </si>
  <si>
    <t>Personnes impliquées dans la R&amp;D</t>
  </si>
  <si>
    <t>Prorata d'utilisation en R&amp;D</t>
  </si>
  <si>
    <t>Amortissement imputé en R&amp;D</t>
  </si>
  <si>
    <t>Diplôme et école</t>
  </si>
  <si>
    <t xml:space="preserve">Effectif moyen 2023 (ETP) : </t>
  </si>
  <si>
    <t xml:space="preserve">CA 2023 : </t>
  </si>
  <si>
    <t xml:space="preserve">Total Bilan 2023 : </t>
  </si>
  <si>
    <t>2.</t>
  </si>
  <si>
    <t>Entreprise créée avant le :</t>
  </si>
  <si>
    <t xml:space="preserve"> - Être créée depuis moins de 11 ans.</t>
  </si>
  <si>
    <t>Entreprise créée à partir du :</t>
  </si>
  <si>
    <t xml:space="preserve"> - Être créée depuis moins de 8 ans.</t>
  </si>
  <si>
    <t>Date de création de l'entreprise :</t>
  </si>
  <si>
    <t>3.</t>
  </si>
  <si>
    <t>Avoir réalisé des dépenses de R&amp;D représentant au moins 15% des charges.</t>
  </si>
  <si>
    <t>4.</t>
  </si>
  <si>
    <t>Être détenu pour 50% au minimum par :</t>
  </si>
  <si>
    <t xml:space="preserve"> - Une personne physique (particulier ou EI)</t>
  </si>
  <si>
    <t>OUI</t>
  </si>
  <si>
    <t xml:space="preserve"> - Une PME détenue à plus de 50% par une personne physique</t>
  </si>
  <si>
    <t xml:space="preserve"> - Une autre JEI</t>
  </si>
  <si>
    <t>NON</t>
  </si>
  <si>
    <t xml:space="preserve"> - Une association ou fondation reconnue d'utilité publique à caractère scientifique</t>
  </si>
  <si>
    <t xml:space="preserve"> - Un établissement public de recherche et d'enseignement ou une de ses filiales</t>
  </si>
  <si>
    <t xml:space="preserve"> - Une société d'investissement</t>
  </si>
  <si>
    <t>Désignation des immobilisations</t>
  </si>
  <si>
    <t>Prix d’achat</t>
  </si>
  <si>
    <t>Amortissement annuel</t>
  </si>
  <si>
    <t>Prorata d’utilisation en R&amp;D</t>
  </si>
  <si>
    <t>5.</t>
  </si>
  <si>
    <t xml:space="preserve">Exercer une activité nouvelle.
L'entreprise ne doit pas avoir été créée dans le cadre : </t>
  </si>
  <si>
    <t>Nom prénom</t>
  </si>
  <si>
    <t>Rôle dans l’opération de R&amp;D</t>
  </si>
  <si>
    <t>Heures travaillées dans le cadre de la R&amp;D</t>
  </si>
  <si>
    <t>Coût R&amp;D</t>
  </si>
  <si>
    <t>A. Immeubles acquis neufs ou achevés à partir de 1991.</t>
  </si>
  <si>
    <t>B. Biens autres que les immeubles :</t>
  </si>
  <si>
    <t>a.</t>
  </si>
  <si>
    <t>d'une concentration ou restructuration d'activité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</si>
  <si>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appartenant à l'entreprise</t>
    </r>
  </si>
  <si>
    <t xml:space="preserve"> - identité au moins partielle d'activité</t>
  </si>
  <si>
    <t xml:space="preserve"> - existence de liens privilégiés entre l'entreprise créée et l'entreprise préexistante</t>
  </si>
  <si>
    <t>Dont acquisition de l'exercice</t>
  </si>
  <si>
    <t xml:space="preserve"> - transfert de moyens d'exploitation de l'entreprise préexistante à l'entreprise nouvellement créée</t>
  </si>
  <si>
    <t>b.</t>
  </si>
  <si>
    <t>d'une extension d'activité préexistante</t>
  </si>
  <si>
    <t xml:space="preserve"> - existence d'une communauté d'intérêt entre l'entreprise créée et une entreprise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</si>
  <si>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financés par crédit-bail</t>
    </r>
  </si>
  <si>
    <t xml:space="preserve"> - l'activité de l'entreprise créée prolonge celle de l'entreprise préexistante</t>
  </si>
  <si>
    <t>c.</t>
  </si>
  <si>
    <t xml:space="preserve">de reprise d'une activité préexistante </t>
  </si>
  <si>
    <t xml:space="preserve"> - l'activité de l'entreprise créée est identique à celle d'une entreprise préexistante</t>
  </si>
  <si>
    <t xml:space="preserve"> - existence d'un transfert de moyens d'exploitation ou relations de droit ou de fait avec une entreprise</t>
  </si>
  <si>
    <t>Opération 2</t>
  </si>
  <si>
    <t>Pour les heures : si 2ème opé, mettre Y4 au lieu de X4 et étendre</t>
  </si>
  <si>
    <t>Pour les dépenses : si 2ème opé, mettre AN4 au lieu de AM4 et étendre</t>
  </si>
  <si>
    <t>Charges</t>
  </si>
  <si>
    <t>N-1</t>
  </si>
  <si>
    <t>60 - Achats</t>
  </si>
  <si>
    <t>à remplir</t>
  </si>
  <si>
    <t>à déterminer</t>
  </si>
  <si>
    <t>61 - Services extérieurs</t>
  </si>
  <si>
    <t>62 - Autres services extérieurs</t>
  </si>
  <si>
    <t>63 - Impôts, taxes et versements assimilés</t>
  </si>
  <si>
    <t>64 - Charges de personnel</t>
  </si>
  <si>
    <t>65 - Autres charges de gestion courante</t>
  </si>
  <si>
    <t>66 - Charges financières</t>
  </si>
  <si>
    <t>67 - Charges exceptionnelles</t>
  </si>
  <si>
    <t>68 - Dotations aux amortissements et aux provisions</t>
  </si>
  <si>
    <t>69 - Participation des salariés / impôt sur les bénéfices et assimilés</t>
  </si>
  <si>
    <t>Rôle</t>
  </si>
  <si>
    <t>Diplôme + école</t>
  </si>
  <si>
    <t>bis</t>
  </si>
  <si>
    <t>Date de sortie</t>
  </si>
  <si>
    <t>Calcul jours</t>
  </si>
  <si>
    <t>ETP</t>
  </si>
  <si>
    <t>Forfait Jours</t>
  </si>
  <si>
    <t>Heures Lées</t>
  </si>
  <si>
    <t>Ratio R&amp;D</t>
  </si>
  <si>
    <t>Brut mensuel</t>
  </si>
  <si>
    <t>Brut annuel</t>
  </si>
  <si>
    <t>Brut chargé</t>
  </si>
  <si>
    <t>Coût horaire</t>
  </si>
  <si>
    <t>RECRUTEMENT EN N</t>
  </si>
  <si>
    <t>Base : 1607 heures</t>
  </si>
  <si>
    <t>Forfait jour * 8</t>
  </si>
  <si>
    <t>Numéro de compte</t>
  </si>
  <si>
    <t>Numéro</t>
  </si>
  <si>
    <t>Désignation</t>
  </si>
  <si>
    <t>Date d'acquisition</t>
  </si>
  <si>
    <t>Date de début</t>
  </si>
  <si>
    <t>Type d'amortissement</t>
  </si>
  <si>
    <t>Nombre de mois</t>
  </si>
  <si>
    <t>Taux</t>
  </si>
  <si>
    <t>Amortissements antérieurs</t>
  </si>
  <si>
    <t>Amortissements 2023</t>
  </si>
  <si>
    <t>% R&amp;D 23</t>
  </si>
  <si>
    <t>Amo R&amp;D 23</t>
  </si>
  <si>
    <t>Prorata temporis</t>
  </si>
  <si>
    <t>Amortissements 2024</t>
  </si>
  <si>
    <t>% R&amp;D 24</t>
  </si>
  <si>
    <t>Amo R&amp;D 24</t>
  </si>
  <si>
    <t>Amortissements cumulés</t>
  </si>
  <si>
    <t>VNC</t>
  </si>
  <si>
    <t>Linéaire</t>
  </si>
  <si>
    <t>ACQUISITION DE L'EXERCICE</t>
  </si>
  <si>
    <t>Projet ST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</si>
  <si>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</si>
  <si>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</si>
  <si>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</si>
  <si>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</si>
  <si>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</si>
  <si>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</si>
  <si>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</si>
  <si>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</si>
  <si>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</si>
  <si>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</si>
  <si>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Diplôme</t>
  </si>
  <si>
    <t>Date obtention</t>
  </si>
  <si>
    <t>Date entrée</t>
  </si>
  <si>
    <t>NOM des personnels de R&amp;D</t>
  </si>
  <si>
    <t>Coût horaire brut chargé</t>
  </si>
  <si>
    <t>Nombre d’heures en R&amp;D</t>
  </si>
  <si>
    <t>Fonction</t>
  </si>
  <si>
    <t>Catégorie</t>
  </si>
  <si>
    <t>Concessions et droits similaires, brevets, licences, marques, procédés, logiciels, droits et valeurs similaires</t>
  </si>
  <si>
    <t>Installations techniques et outillages industriels</t>
  </si>
  <si>
    <t>Matériel de bureau et matériel informatique</t>
  </si>
  <si>
    <t>CIR_PERSO</t>
  </si>
  <si>
    <t>éé</t>
  </si>
  <si>
    <t>CIMA</t>
  </si>
  <si>
    <t>CIMA EPV</t>
  </si>
  <si>
    <t>Créer autant de ligne que nécessaire pour intégrer les salariés valorisés en 2024</t>
  </si>
  <si>
    <t>Créer autant de ligne que nécessaire pour intégrer les immobilisations valorisées en 2024</t>
  </si>
  <si>
    <t>Créer autant de ligne que nécessaire pour intégrer les fournisseurs valorisés en 2024</t>
  </si>
  <si>
    <t>est ce une Dépenses valorisées en 2024 ?</t>
  </si>
  <si>
    <t>Montant Percu en 2024</t>
  </si>
  <si>
    <t>Montant déduit en 2024</t>
  </si>
  <si>
    <t>Il y a-t-il eu une subvention en 2024 ?</t>
  </si>
  <si>
    <t>Valorisation du crédit d'impôt en faveur de la recherche - 2025</t>
  </si>
  <si>
    <t>Projet 1</t>
  </si>
  <si>
    <t xml:space="preserve"> Répartition hono 2025</t>
  </si>
  <si>
    <t>Hono 2025</t>
  </si>
  <si>
    <t>²%</t>
  </si>
  <si>
    <t>Formulaire 2025</t>
  </si>
  <si>
    <t>ANNÉE CIVILE 2025</t>
  </si>
  <si>
    <t xml:space="preserve"> ANNÉE CIVILE 2025</t>
  </si>
  <si>
    <t xml:space="preserve">Nombre de jours ouvrés </t>
  </si>
  <si>
    <t>Nombre de jours ouvrés av 15 février</t>
  </si>
  <si>
    <t>Jours</t>
  </si>
  <si>
    <t>Nombre de jours ouvrés ap 15 février</t>
  </si>
  <si>
    <t>Typologie de personnel</t>
  </si>
  <si>
    <t>date d'entrée</t>
  </si>
  <si>
    <t>date de sortie</t>
  </si>
  <si>
    <t>dépenses avant le 15/02</t>
  </si>
  <si>
    <t>dépenses après le 15/02</t>
  </si>
  <si>
    <t>FF avant le 15/02</t>
  </si>
  <si>
    <t>FF après le 15/02</t>
  </si>
  <si>
    <t>jeune docteur</t>
  </si>
  <si>
    <t>JD</t>
  </si>
  <si>
    <t>Perso</t>
  </si>
  <si>
    <t>Vérif</t>
  </si>
  <si>
    <t>CAS 1 pas de découpage d'HRECH Précis</t>
  </si>
  <si>
    <t>CAS 2 découpage d'HRECH Précis</t>
  </si>
  <si>
    <t>HRECH avant le 15/02</t>
  </si>
  <si>
    <t>nombres jours ouvrés avant 15/02</t>
  </si>
  <si>
    <t>nombres jours ouvrés après le 15/02</t>
  </si>
  <si>
    <t>HRECH après le 15/02</t>
  </si>
  <si>
    <t>Forfait représentatif de la participation personnelle des dirigeants d'entreprises individuelles et des
associés de sociétés soumises au régime fiscal des sociétés de personnes</t>
  </si>
  <si>
    <t>Autres dépenses de fonctionnement (hors frais de collection) au prorata des périodes suivantes :
dépenses exposées du 01/01 au 14/02/2025 : (ligne 1 × 75 %) + [(ligne 3a + ligne 3b+ ligne 4) x
43 %] + ligne 5
dépenses exposées du 15/02 au 31/12/2025 : (ligne 1 × 75 %) + [(ligne 3a + ligne 3b + ligne 4) x
40 %4
]</t>
  </si>
  <si>
    <r>
      <rPr>
        <b/>
        <sz val="11"/>
        <color theme="1"/>
        <rFont val="Aptos Narrow"/>
        <family val="2"/>
        <scheme val="minor"/>
      </rPr>
      <t xml:space="preserve">Montant total des dépenses de fonctionnement
</t>
    </r>
    <r>
      <rPr>
        <sz val="11"/>
        <color theme="1"/>
        <rFont val="Aptos Narrow"/>
        <family val="2"/>
        <scheme val="minor"/>
      </rPr>
      <t>(ligne 1 + ligne 2 + ligne 3a + ligne 4 + ligne 5 + ligne 6)</t>
    </r>
  </si>
  <si>
    <t>Ligne 3a</t>
  </si>
  <si>
    <t>Ligne 3b</t>
  </si>
  <si>
    <t xml:space="preserve">Frais de prise et maintenance de brevets et de certificats d’obtention végétale (COV) exposées
jusqu’au 14/02/20255 </t>
  </si>
  <si>
    <t xml:space="preserve">Dépenses de défense de brevets et de certificats d’obtention végétale (COV) exposées jusqu’au
14/02/20255 </t>
  </si>
  <si>
    <t>Dotations aux amortissements de brevets acquis en vue de la recherche et du développement
expérimental et de certificats d’obtention végétale (COV) des frais et dépenses exposées jusqu’au
14/02/20255</t>
  </si>
  <si>
    <t>Primes et cotisations ou part des primes et cotisations afférentes à des contrats d’assurance de
protection juridique prévoyant la prise en charge des dépenses exposées jusqu’au 14/02/20255 dans le
cadre de litiges portant sur un brevet ou un certificat d’obtention végétale (COV) dont l’entreprise est
titulaire dans la limite de 60 000 €</t>
  </si>
  <si>
    <t xml:space="preserve">Dépenses de veille technologique, exposées jusqu’au 14/02/2025, dans la limite de 60 000 €
5 </t>
  </si>
  <si>
    <t>Montant du crédit d’impôt au titre des dépenses d’innovation
[(ligne 76a - ligne 76b - ligne 76c – ligne 76d) x 20 %17]
+ (ligne 76b x 60 %) + (ligne 76c x 40 %) + (ligne 76d x 35 %)18</t>
  </si>
  <si>
    <t>CIR_AMO</t>
  </si>
  <si>
    <t>CIR_BREV</t>
  </si>
  <si>
    <t>CIR_ST</t>
  </si>
  <si>
    <t>00001</t>
  </si>
  <si>
    <t>00002</t>
  </si>
  <si>
    <t>00005</t>
  </si>
  <si>
    <t>00009</t>
  </si>
  <si>
    <t>00010</t>
  </si>
  <si>
    <t>00012</t>
  </si>
  <si>
    <t>00019</t>
  </si>
  <si>
    <t>PY</t>
  </si>
  <si>
    <t>GASPERIN</t>
  </si>
  <si>
    <t>WIRTH</t>
  </si>
  <si>
    <t>CILES</t>
  </si>
  <si>
    <t>RALANTOARISON</t>
  </si>
  <si>
    <t>GUENON</t>
  </si>
  <si>
    <t>GOBY</t>
  </si>
  <si>
    <t>KANDIAH</t>
  </si>
  <si>
    <t>LA CORTE</t>
  </si>
  <si>
    <t>Elodie</t>
  </si>
  <si>
    <t>Anthony</t>
  </si>
  <si>
    <t>Matias</t>
  </si>
  <si>
    <t>Romain</t>
  </si>
  <si>
    <t>Grégoire</t>
  </si>
  <si>
    <t>Osée</t>
  </si>
  <si>
    <t>William-John</t>
  </si>
  <si>
    <t>Adélaïde</t>
  </si>
  <si>
    <t>Corrège</t>
  </si>
  <si>
    <t>UX DESIGNER</t>
  </si>
  <si>
    <t>Lead Developer</t>
  </si>
  <si>
    <t>Apprenti</t>
  </si>
  <si>
    <t>Développeur Full Stack</t>
  </si>
  <si>
    <t>Ordinateur</t>
  </si>
  <si>
    <t>PC LENOVO</t>
  </si>
  <si>
    <t>Ordinateur et accessoires</t>
  </si>
  <si>
    <t>Moniteur LCD</t>
  </si>
  <si>
    <t>Navi</t>
  </si>
  <si>
    <t>MAC</t>
  </si>
  <si>
    <t>Expert en stratégie digitale - IESA Multimedia - ECAD Consultants</t>
  </si>
  <si>
    <t xml:space="preserve">Docteur en Sciences mention informatique - Université de Genève </t>
  </si>
  <si>
    <t>Aprenti</t>
  </si>
  <si>
    <t>Baccalauréat Général - Acadmie de Grenoble</t>
  </si>
  <si>
    <t xml:space="preserve">Bachelor of science - Ecole Hôtelière de Lausanne </t>
  </si>
  <si>
    <t>RNCP Niveau 5 (Bac +2) - Developpeur web et web mobile - Simplon.co</t>
  </si>
  <si>
    <t>Attestation de suivi Développeur Web et Web Mobile - Oclock</t>
  </si>
  <si>
    <t>Stagiare/apprenti</t>
  </si>
  <si>
    <t>François</t>
  </si>
  <si>
    <t>Florian</t>
  </si>
  <si>
    <t>Aglaé</t>
  </si>
  <si>
    <t>Somme de Valeur</t>
  </si>
  <si>
    <t>Typologie</t>
  </si>
  <si>
    <t>Prenom</t>
  </si>
  <si>
    <t>Acc à la rem</t>
  </si>
  <si>
    <t>Total CSPO</t>
  </si>
  <si>
    <t>HTRAV</t>
  </si>
  <si>
    <t>LA-CORTE</t>
  </si>
  <si>
    <t>Recap CII</t>
  </si>
  <si>
    <t>PY Elodie</t>
  </si>
  <si>
    <t>GASPERIN Anthony</t>
  </si>
  <si>
    <t>LA CORTE Matias</t>
  </si>
  <si>
    <t>WIRTH Romain</t>
  </si>
  <si>
    <t>CILES Grégoire</t>
  </si>
  <si>
    <t>RALANTOARISON Osée</t>
  </si>
  <si>
    <t>GUENON William-John</t>
  </si>
  <si>
    <t>GOBY Adélaïde</t>
  </si>
  <si>
    <t>KANDIAH Corrège</t>
  </si>
  <si>
    <t>Apple MBA 13.6</t>
  </si>
  <si>
    <t>Apple MBA 14</t>
  </si>
  <si>
    <t>Ordinateurs et accesoire</t>
  </si>
  <si>
    <t>79.12Z</t>
  </si>
  <si>
    <t>3 ESP AUGUSTIN AUSSEDAT, 74000 ANNECY</t>
  </si>
  <si>
    <t>GLOOBES - 89 LABS</t>
  </si>
  <si>
    <t xml:space="preserve">Honoraires spéciaux validé par vincent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</si>
</sst>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\ &quot;€&quot;"/>
    <numFmt numFmtId="166" formatCode="0.0%"/>
    <numFmt numFmtId="167" formatCode="_-* #,##0.00\ _€_-;\-* #,##0.00\ _€_-;_-* &quot;-&quot;??\ _€_-;_-@_-"/>
    <numFmt numFmtId="168" formatCode="0_ ;\-0\ "/>
    <numFmt numFmtId="169" formatCode="_-* #,##0\ _€_-;\-* #,##0\ _€_-;_-* &quot;-&quot;??\ _€_-;_-@_-"/>
    <numFmt numFmtId="170" formatCode="[$-40C]d\-mmm;@"/>
    <numFmt numFmtId="171" formatCode="_-* #,##0.0\ _€_-;\-* #,##0.0\ _€_-;_-* &quot;-&quot;??\ _€_-;_-@_-"/>
    <numFmt numFmtId="172" formatCode="0.000000000"/>
    <numFmt numFmtId="173" formatCode="_-* #,##0\ &quot;€&quot;_-;\-* #,##0\ &quot;€&quot;_-;_-* &quot;-&quot;??\ &quot;€&quot;_-;_-@_-"/>
    <numFmt numFmtId="174" formatCode="#,##0.00\ \€"/>
    <numFmt numFmtId="175" formatCode="#,##0\ \€"/>
    <numFmt numFmtId="176" formatCode="_-* #,##0.000000_-;\-* #,##0.000000_-;_-* &quot;-&quot;??_-;_-@_-"/>
  </numFmts>
  <fonts count="65" x14ac:knownFonts="1">
    <font>
      <sz val="11"/>
      <color theme="1"/>
      <name val="Aptos Narrow"/>
      <family val="2"/>
      <scheme val="minor"/>
    </font>
    <font>
      <b/>
      <sz val="12"/>
      <color theme="0"/>
      <name val="Open sans"/>
      <family val="2"/>
    </font>
    <font>
      <sz val="11"/>
      <color theme="1"/>
      <name val="Open sans"/>
      <family val="2"/>
    </font>
    <font>
      <sz val="11"/>
      <color theme="1"/>
      <name val="Aptos Narrow"/>
      <family val="2"/>
      <scheme val="minor"/>
    </font>
    <font>
      <sz val="10"/>
      <color theme="1"/>
      <name val="Open sans"/>
      <family val="2"/>
    </font>
    <font>
      <b/>
      <sz val="10"/>
      <color theme="0"/>
      <name val="Open sans"/>
      <family val="2"/>
    </font>
    <font>
      <b/>
      <sz val="16"/>
      <color theme="0"/>
      <name val="Open sans"/>
      <family val="2"/>
    </font>
    <font>
      <sz val="11"/>
      <color theme="0"/>
      <name val="Open sans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3" tint="-0.249977111117893"/>
      <name val="Arial"/>
      <family val="2"/>
    </font>
    <font>
      <sz val="10"/>
      <color theme="3" tint="-0.24997711111789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rgb="FF023C08"/>
      <name val="Arial"/>
      <family val="2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0"/>
      <color theme="2"/>
      <name val="Open sans"/>
      <family val="2"/>
    </font>
    <font>
      <b/>
      <sz val="11"/>
      <color theme="0"/>
      <name val="Open sans"/>
      <family val="2"/>
    </font>
    <font>
      <b/>
      <sz val="14"/>
      <color theme="0"/>
      <name val="Aptos Narrow"/>
      <family val="2"/>
      <scheme val="minor"/>
    </font>
    <font>
      <sz val="12"/>
      <color theme="1"/>
      <name val="Open sans"/>
      <family val="2"/>
    </font>
    <font>
      <b/>
      <sz val="12"/>
      <color theme="0"/>
      <name val="Aptos Narrow"/>
      <family val="2"/>
      <scheme val="minor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/>
      <name val="Arial"/>
      <family val="2"/>
    </font>
    <font>
      <sz val="12"/>
      <name val="Open sans"/>
      <family val="2"/>
    </font>
    <font>
      <b/>
      <sz val="10"/>
      <color rgb="FFFFFFFF"/>
      <name val="Open Sans"/>
      <family val="2"/>
    </font>
    <font>
      <sz val="11"/>
      <color rgb="FFFF0000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u/>
      <sz val="14"/>
      <color rgb="FF1328BD"/>
      <name val="Open Sans"/>
      <family val="2"/>
    </font>
    <font>
      <sz val="12"/>
      <color theme="1"/>
      <name val="Aptos Narrow"/>
      <family val="2"/>
      <scheme val="minor"/>
    </font>
    <font>
      <b/>
      <sz val="11"/>
      <color theme="1"/>
      <name val="Open Sans"/>
      <family val="2"/>
    </font>
    <font>
      <sz val="11"/>
      <color rgb="FFC00000"/>
      <name val="Open Sans"/>
      <family val="2"/>
    </font>
    <font>
      <sz val="9"/>
      <color theme="1"/>
      <name val="Aptos Display"/>
      <family val="2"/>
      <scheme val="major"/>
    </font>
    <font>
      <b/>
      <sz val="9"/>
      <color theme="0"/>
      <name val="Aptos Display"/>
      <family val="2"/>
      <scheme val="major"/>
    </font>
    <font>
      <b/>
      <sz val="9"/>
      <color rgb="FF00000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b/>
      <sz val="9"/>
      <color theme="1"/>
      <name val="Open Sans"/>
      <family val="2"/>
    </font>
    <font>
      <sz val="9"/>
      <color theme="1"/>
      <name val="Open Sans"/>
      <family val="2"/>
    </font>
    <font>
      <sz val="9"/>
      <color theme="1"/>
      <name val="Calibri"/>
      <family val="2"/>
    </font>
    <font>
      <sz val="7"/>
      <color theme="1"/>
      <name val="Times New Roman"/>
      <family val="1"/>
    </font>
    <font>
      <i/>
      <sz val="9"/>
      <color theme="1"/>
      <name val="Calibri"/>
      <family val="2"/>
    </font>
    <font>
      <i/>
      <sz val="9"/>
      <color theme="1"/>
      <name val="Open Sans"/>
      <family val="2"/>
    </font>
    <font>
      <b/>
      <sz val="9"/>
      <color theme="0"/>
      <name val="Open Sans"/>
      <family val="2"/>
    </font>
    <font>
      <b/>
      <sz val="11"/>
      <color rgb="FFFF000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name val="Open Sans"/>
      <family val="2"/>
    </font>
    <font>
      <b/>
      <sz val="9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u/>
      <sz val="14"/>
      <color theme="0"/>
      <name val="Open Sans"/>
      <family val="2"/>
    </font>
    <font>
      <b/>
      <u/>
      <sz val="12"/>
      <color theme="0"/>
      <name val="Open Sans"/>
      <family val="2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2D44E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53D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hair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/>
      <top/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/>
      <top/>
      <bottom style="hair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/>
      <diagonal/>
    </border>
    <border>
      <left/>
      <right style="dashed">
        <color theme="2" tint="-0.24994659260841701"/>
      </right>
      <top/>
      <bottom/>
      <diagonal/>
    </border>
    <border>
      <left/>
      <right style="dash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/>
      <right style="medium">
        <color theme="2" tint="-0.24994659260841701"/>
      </right>
      <top/>
      <bottom/>
      <diagonal/>
    </border>
    <border>
      <left/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/>
      <right style="medium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dash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dashed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thin">
        <color theme="0" tint="-0.24994659260841701"/>
      </right>
      <top style="hair">
        <color theme="2" tint="-0.24994659260841701"/>
      </top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 style="medium">
        <color theme="2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53DA"/>
      </left>
      <right style="thin">
        <color rgb="FF0053DA"/>
      </right>
      <top style="thin">
        <color rgb="FF0053DA"/>
      </top>
      <bottom style="thin">
        <color rgb="FF0053DA"/>
      </bottom>
      <diagonal/>
    </border>
    <border>
      <left style="medium">
        <color rgb="FF2D44EA"/>
      </left>
      <right/>
      <top style="medium">
        <color rgb="FF2D44EA"/>
      </top>
      <bottom style="medium">
        <color rgb="FF2D44EA"/>
      </bottom>
      <diagonal/>
    </border>
    <border>
      <left/>
      <right/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 style="medium">
        <color rgb="FF2D44EA"/>
      </left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/>
      <bottom/>
      <diagonal/>
    </border>
    <border>
      <left style="medium">
        <color rgb="FF2D44EA"/>
      </left>
      <right style="medium">
        <color rgb="FF2D44EA"/>
      </right>
      <top/>
      <bottom style="medium">
        <color rgb="FF2D44EA"/>
      </bottom>
      <diagonal/>
    </border>
    <border>
      <left/>
      <right style="medium">
        <color rgb="FF2D44EA"/>
      </right>
      <top/>
      <bottom style="medium">
        <color rgb="FF2D44E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/>
      <diagonal/>
    </border>
    <border>
      <left/>
      <right/>
      <top/>
      <bottom style="medium">
        <color theme="2" tint="-0.24994659260841701"/>
      </bottom>
      <diagonal/>
    </border>
    <border>
      <left style="hair">
        <color theme="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9" borderId="0" applyNumberFormat="0" applyBorder="0" applyAlignment="0" applyProtection="0"/>
    <xf numFmtId="0" fontId="14" fillId="0" borderId="0"/>
    <xf numFmtId="167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0" fillId="0" borderId="0"/>
  </cellStyleXfs>
  <cellXfs count="562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4" fillId="0" borderId="3" xfId="0" applyFont="1" applyBorder="1"/>
    <xf numFmtId="0" fontId="5" fillId="2" borderId="9" xfId="0" applyFont="1" applyFill="1" applyBorder="1"/>
    <xf numFmtId="0" fontId="4" fillId="0" borderId="6" xfId="0" applyFont="1" applyBorder="1"/>
    <xf numFmtId="0" fontId="5" fillId="2" borderId="0" xfId="0" applyFont="1" applyFill="1" applyAlignment="1">
      <alignment horizontal="center"/>
    </xf>
    <xf numFmtId="0" fontId="5" fillId="2" borderId="2" xfId="0" applyFont="1" applyFill="1" applyBorder="1"/>
    <xf numFmtId="164" fontId="4" fillId="0" borderId="4" xfId="1" applyNumberFormat="1" applyFont="1" applyBorder="1"/>
    <xf numFmtId="0" fontId="4" fillId="0" borderId="4" xfId="0" applyFont="1" applyBorder="1"/>
    <xf numFmtId="164" fontId="5" fillId="2" borderId="10" xfId="1" applyNumberFormat="1" applyFont="1" applyFill="1" applyBorder="1"/>
    <xf numFmtId="164" fontId="5" fillId="2" borderId="9" xfId="1" applyNumberFormat="1" applyFont="1" applyFill="1" applyBorder="1"/>
    <xf numFmtId="9" fontId="4" fillId="0" borderId="7" xfId="0" applyNumberFormat="1" applyFont="1" applyBorder="1" applyAlignment="1">
      <alignment horizontal="center"/>
    </xf>
    <xf numFmtId="0" fontId="4" fillId="0" borderId="11" xfId="0" applyFont="1" applyBorder="1"/>
    <xf numFmtId="0" fontId="4" fillId="0" borderId="14" xfId="0" applyFont="1" applyBorder="1"/>
    <xf numFmtId="0" fontId="4" fillId="0" borderId="16" xfId="0" applyFont="1" applyBorder="1"/>
    <xf numFmtId="0" fontId="4" fillId="0" borderId="18" xfId="0" applyFont="1" applyBorder="1"/>
    <xf numFmtId="43" fontId="5" fillId="2" borderId="2" xfId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165" fontId="5" fillId="0" borderId="0" xfId="1" applyNumberFormat="1" applyFont="1" applyFill="1" applyBorder="1"/>
    <xf numFmtId="43" fontId="6" fillId="0" borderId="0" xfId="0" applyNumberFormat="1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/>
    </xf>
    <xf numFmtId="164" fontId="4" fillId="0" borderId="4" xfId="1" applyNumberFormat="1" applyFont="1" applyFill="1" applyBorder="1"/>
    <xf numFmtId="0" fontId="4" fillId="0" borderId="23" xfId="0" applyFont="1" applyBorder="1"/>
    <xf numFmtId="9" fontId="4" fillId="0" borderId="24" xfId="0" applyNumberFormat="1" applyFont="1" applyBorder="1" applyAlignment="1">
      <alignment horizontal="center"/>
    </xf>
    <xf numFmtId="0" fontId="4" fillId="0" borderId="25" xfId="0" applyFont="1" applyBorder="1"/>
    <xf numFmtId="9" fontId="4" fillId="0" borderId="28" xfId="0" applyNumberFormat="1" applyFont="1" applyBorder="1" applyAlignment="1">
      <alignment horizontal="center"/>
    </xf>
    <xf numFmtId="43" fontId="5" fillId="0" borderId="0" xfId="1" applyFont="1" applyFill="1" applyBorder="1" applyAlignment="1">
      <alignment horizontal="center"/>
    </xf>
    <xf numFmtId="164" fontId="4" fillId="0" borderId="0" xfId="1" applyNumberFormat="1" applyFont="1" applyFill="1" applyBorder="1"/>
    <xf numFmtId="164" fontId="5" fillId="0" borderId="0" xfId="1" applyNumberFormat="1" applyFont="1" applyFill="1" applyBorder="1"/>
    <xf numFmtId="9" fontId="4" fillId="0" borderId="0" xfId="0" applyNumberFormat="1" applyFont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164" fontId="4" fillId="3" borderId="4" xfId="1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5" fillId="2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2" borderId="32" xfId="0" applyFont="1" applyFill="1" applyBorder="1" applyAlignment="1" applyProtection="1">
      <alignment horizontal="center" vertical="center" wrapText="1"/>
      <protection locked="0"/>
    </xf>
    <xf numFmtId="0" fontId="5" fillId="2" borderId="21" xfId="0" applyFont="1" applyFill="1" applyBorder="1" applyAlignment="1" applyProtection="1">
      <alignment horizontal="center" vertical="center" wrapText="1"/>
      <protection locked="0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9" fillId="5" borderId="0" xfId="0" applyFont="1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2" borderId="33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" vertical="center" wrapText="1"/>
      <protection locked="0"/>
    </xf>
    <xf numFmtId="164" fontId="4" fillId="0" borderId="19" xfId="1" applyNumberFormat="1" applyFont="1" applyBorder="1"/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7" xfId="0" applyFont="1" applyFill="1" applyBorder="1" applyAlignment="1" applyProtection="1">
      <alignment horizontal="right" vertical="center" indent="1"/>
      <protection locked="0"/>
    </xf>
    <xf numFmtId="164" fontId="5" fillId="2" borderId="26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164" fontId="5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Protection="1">
      <protection locked="0"/>
    </xf>
    <xf numFmtId="0" fontId="5" fillId="3" borderId="31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164" fontId="4" fillId="0" borderId="35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0" xfId="0" applyNumberFormat="1"/>
    <xf numFmtId="9" fontId="0" fillId="0" borderId="0" xfId="2" applyFont="1"/>
    <xf numFmtId="9" fontId="5" fillId="2" borderId="34" xfId="2" applyFont="1" applyFill="1" applyBorder="1" applyAlignment="1" applyProtection="1">
      <alignment horizontal="center" vertical="center" wrapText="1"/>
      <protection locked="0"/>
    </xf>
    <xf numFmtId="43" fontId="0" fillId="0" borderId="0" xfId="1" applyFont="1"/>
    <xf numFmtId="164" fontId="0" fillId="0" borderId="0" xfId="1" applyNumberFormat="1" applyFont="1"/>
    <xf numFmtId="164" fontId="5" fillId="2" borderId="34" xfId="1" applyNumberFormat="1" applyFont="1" applyFill="1" applyBorder="1" applyAlignment="1" applyProtection="1">
      <alignment horizontal="center" vertical="center" wrapText="1"/>
      <protection locked="0"/>
    </xf>
    <xf numFmtId="164" fontId="5" fillId="2" borderId="36" xfId="0" applyNumberFormat="1" applyFont="1" applyFill="1" applyBorder="1" applyAlignment="1" applyProtection="1">
      <alignment horizontal="center" vertical="center" wrapText="1"/>
      <protection locked="0"/>
    </xf>
    <xf numFmtId="164" fontId="0" fillId="6" borderId="38" xfId="0" applyNumberFormat="1" applyFill="1" applyBorder="1" applyProtection="1">
      <protection locked="0"/>
    </xf>
    <xf numFmtId="0" fontId="5" fillId="2" borderId="39" xfId="0" applyFont="1" applyFill="1" applyBorder="1" applyAlignment="1" applyProtection="1">
      <alignment horizontal="center" vertical="center" wrapText="1"/>
      <protection locked="0"/>
    </xf>
    <xf numFmtId="164" fontId="0" fillId="6" borderId="19" xfId="0" applyNumberFormat="1" applyFill="1" applyBorder="1" applyProtection="1"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164" fontId="4" fillId="0" borderId="4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64" fontId="4" fillId="0" borderId="3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3" fontId="0" fillId="0" borderId="0" xfId="1" applyFont="1" applyProtection="1">
      <protection locked="0"/>
    </xf>
    <xf numFmtId="43" fontId="4" fillId="0" borderId="1" xfId="1" applyFont="1" applyBorder="1" applyProtection="1">
      <protection locked="0"/>
    </xf>
    <xf numFmtId="43" fontId="4" fillId="0" borderId="0" xfId="1" applyFont="1" applyProtection="1">
      <protection locked="0"/>
    </xf>
    <xf numFmtId="9" fontId="0" fillId="0" borderId="0" xfId="2" applyFont="1" applyProtection="1">
      <protection locked="0"/>
    </xf>
    <xf numFmtId="9" fontId="4" fillId="0" borderId="0" xfId="2" applyFont="1" applyProtection="1">
      <protection locked="0"/>
    </xf>
    <xf numFmtId="43" fontId="4" fillId="4" borderId="1" xfId="1" applyFont="1" applyFill="1" applyBorder="1" applyProtection="1">
      <protection locked="0"/>
    </xf>
    <xf numFmtId="43" fontId="5" fillId="2" borderId="21" xfId="1" applyFont="1" applyFill="1" applyBorder="1" applyAlignment="1" applyProtection="1">
      <alignment horizontal="center" vertical="center" wrapText="1"/>
      <protection locked="0"/>
    </xf>
    <xf numFmtId="166" fontId="4" fillId="0" borderId="4" xfId="2" applyNumberFormat="1" applyFont="1" applyBorder="1"/>
    <xf numFmtId="166" fontId="0" fillId="6" borderId="37" xfId="2" applyNumberFormat="1" applyFont="1" applyFill="1" applyBorder="1" applyProtection="1">
      <protection locked="0"/>
    </xf>
    <xf numFmtId="14" fontId="4" fillId="0" borderId="4" xfId="1" applyNumberFormat="1" applyFont="1" applyBorder="1"/>
    <xf numFmtId="0" fontId="5" fillId="2" borderId="32" xfId="0" applyFont="1" applyFill="1" applyBorder="1" applyAlignment="1" applyProtection="1">
      <alignment horizontal="right" vertical="center" indent="1"/>
      <protection locked="0"/>
    </xf>
    <xf numFmtId="0" fontId="11" fillId="0" borderId="40" xfId="0" applyFont="1" applyBorder="1" applyAlignment="1" applyProtection="1">
      <alignment vertical="center"/>
      <protection locked="0"/>
    </xf>
    <xf numFmtId="43" fontId="5" fillId="2" borderId="26" xfId="1" applyFont="1" applyFill="1" applyBorder="1" applyAlignment="1" applyProtection="1">
      <alignment horizontal="center" vertical="center" wrapText="1"/>
      <protection locked="0"/>
    </xf>
    <xf numFmtId="0" fontId="0" fillId="7" borderId="0" xfId="0" applyFill="1"/>
    <xf numFmtId="0" fontId="0" fillId="8" borderId="0" xfId="0" applyFill="1"/>
    <xf numFmtId="0" fontId="14" fillId="0" borderId="0" xfId="4" applyAlignment="1">
      <alignment vertical="center"/>
    </xf>
    <xf numFmtId="14" fontId="14" fillId="0" borderId="0" xfId="4" applyNumberFormat="1" applyAlignment="1">
      <alignment vertical="center"/>
    </xf>
    <xf numFmtId="0" fontId="11" fillId="0" borderId="41" xfId="0" applyFont="1" applyBorder="1" applyAlignment="1" applyProtection="1">
      <alignment horizontal="center" vertical="center"/>
      <protection locked="0"/>
    </xf>
    <xf numFmtId="3" fontId="11" fillId="0" borderId="41" xfId="0" applyNumberFormat="1" applyFont="1" applyBorder="1" applyAlignment="1" applyProtection="1">
      <alignment horizontal="center" vertical="center"/>
      <protection locked="0"/>
    </xf>
    <xf numFmtId="0" fontId="16" fillId="0" borderId="41" xfId="3" applyFont="1" applyFill="1" applyBorder="1" applyAlignment="1" applyProtection="1">
      <alignment horizontal="center" vertical="center" wrapText="1"/>
      <protection locked="0"/>
    </xf>
    <xf numFmtId="168" fontId="16" fillId="0" borderId="41" xfId="5" applyNumberFormat="1" applyFont="1" applyFill="1" applyBorder="1" applyAlignment="1" applyProtection="1">
      <alignment horizontal="center" vertical="center"/>
      <protection locked="0"/>
    </xf>
    <xf numFmtId="14" fontId="16" fillId="0" borderId="41" xfId="5" applyNumberFormat="1" applyFont="1" applyFill="1" applyBorder="1" applyAlignment="1" applyProtection="1">
      <alignment horizontal="center" vertical="center"/>
      <protection locked="0"/>
    </xf>
    <xf numFmtId="1" fontId="16" fillId="0" borderId="41" xfId="5" applyNumberFormat="1" applyFont="1" applyFill="1" applyBorder="1" applyAlignment="1" applyProtection="1">
      <alignment horizontal="center" vertical="center"/>
      <protection locked="0"/>
    </xf>
    <xf numFmtId="0" fontId="15" fillId="5" borderId="0" xfId="3" applyFont="1" applyFill="1" applyBorder="1" applyAlignment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  <protection locked="0"/>
    </xf>
    <xf numFmtId="0" fontId="14" fillId="5" borderId="0" xfId="4" applyFill="1" applyAlignment="1">
      <alignment vertical="center"/>
    </xf>
    <xf numFmtId="0" fontId="0" fillId="5" borderId="0" xfId="0" applyFill="1"/>
    <xf numFmtId="0" fontId="17" fillId="11" borderId="0" xfId="4" applyFont="1" applyFill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14" fillId="0" borderId="1" xfId="4" applyBorder="1" applyAlignment="1">
      <alignment vertical="center"/>
    </xf>
    <xf numFmtId="0" fontId="14" fillId="0" borderId="1" xfId="4" applyBorder="1" applyAlignment="1">
      <alignment horizontal="right" vertical="center" indent="1"/>
    </xf>
    <xf numFmtId="169" fontId="14" fillId="0" borderId="1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69" fontId="14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169" fontId="18" fillId="0" borderId="1" xfId="5" applyNumberFormat="1" applyFont="1" applyFill="1" applyBorder="1" applyAlignment="1">
      <alignment horizontal="center" vertical="center"/>
    </xf>
    <xf numFmtId="169" fontId="15" fillId="0" borderId="1" xfId="5" applyNumberFormat="1" applyFont="1" applyFill="1" applyBorder="1" applyAlignment="1" applyProtection="1">
      <alignment vertical="center"/>
      <protection locked="0"/>
    </xf>
    <xf numFmtId="0" fontId="18" fillId="0" borderId="0" xfId="4" applyFont="1" applyAlignment="1">
      <alignment horizontal="right" vertical="center"/>
    </xf>
    <xf numFmtId="0" fontId="14" fillId="0" borderId="0" xfId="4" applyAlignment="1">
      <alignment horizontal="right" vertical="center" indent="1"/>
    </xf>
    <xf numFmtId="3" fontId="14" fillId="0" borderId="0" xfId="4" applyNumberFormat="1" applyAlignment="1">
      <alignment vertical="center"/>
    </xf>
    <xf numFmtId="0" fontId="0" fillId="0" borderId="1" xfId="0" applyBorder="1" applyAlignment="1">
      <alignment horizontal="right" vertical="center" wrapText="1" indent="1"/>
    </xf>
    <xf numFmtId="0" fontId="0" fillId="0" borderId="1" xfId="0" applyBorder="1" applyAlignment="1">
      <alignment horizontal="left" wrapText="1"/>
    </xf>
    <xf numFmtId="169" fontId="18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19" fillId="0" borderId="0" xfId="4" applyFont="1" applyAlignment="1">
      <alignment vertical="center"/>
    </xf>
    <xf numFmtId="0" fontId="17" fillId="0" borderId="0" xfId="4" applyFont="1" applyAlignment="1">
      <alignment horizontal="right" vertical="center" indent="1"/>
    </xf>
    <xf numFmtId="169" fontId="17" fillId="0" borderId="0" xfId="5" applyNumberFormat="1" applyFont="1" applyFill="1" applyAlignment="1">
      <alignment vertical="center"/>
    </xf>
    <xf numFmtId="0" fontId="13" fillId="0" borderId="1" xfId="0" applyFont="1" applyBorder="1" applyAlignment="1">
      <alignment vertical="center" wrapText="1"/>
    </xf>
    <xf numFmtId="0" fontId="14" fillId="0" borderId="40" xfId="4" applyBorder="1" applyAlignment="1">
      <alignment horizontal="left" vertical="center"/>
    </xf>
    <xf numFmtId="0" fontId="14" fillId="0" borderId="40" xfId="4" applyBorder="1" applyAlignment="1">
      <alignment horizontal="left" vertical="center" wrapText="1"/>
    </xf>
    <xf numFmtId="0" fontId="17" fillId="0" borderId="40" xfId="4" applyFont="1" applyBorder="1" applyAlignment="1">
      <alignment horizontal="left" vertical="center" wrapText="1"/>
    </xf>
    <xf numFmtId="169" fontId="18" fillId="0" borderId="1" xfId="5" applyNumberFormat="1" applyFont="1" applyBorder="1" applyAlignment="1">
      <alignment vertical="center"/>
    </xf>
    <xf numFmtId="0" fontId="13" fillId="0" borderId="1" xfId="0" applyFont="1" applyBorder="1" applyAlignment="1">
      <alignment wrapText="1"/>
    </xf>
    <xf numFmtId="0" fontId="14" fillId="0" borderId="42" xfId="4" applyBorder="1" applyAlignment="1">
      <alignment vertical="center"/>
    </xf>
    <xf numFmtId="0" fontId="14" fillId="0" borderId="42" xfId="4" applyBorder="1" applyAlignment="1">
      <alignment horizontal="right" vertical="center" indent="1"/>
    </xf>
    <xf numFmtId="0" fontId="17" fillId="11" borderId="1" xfId="4" applyFont="1" applyFill="1" applyBorder="1" applyAlignment="1">
      <alignment vertical="center"/>
    </xf>
    <xf numFmtId="0" fontId="0" fillId="0" borderId="1" xfId="0" applyBorder="1" applyAlignment="1">
      <alignment horizontal="right" wrapText="1" indent="1"/>
    </xf>
    <xf numFmtId="0" fontId="15" fillId="13" borderId="1" xfId="0" applyFont="1" applyFill="1" applyBorder="1" applyAlignment="1" applyProtection="1">
      <alignment horizontal="right" vertical="center" indent="1"/>
      <protection locked="0"/>
    </xf>
    <xf numFmtId="169" fontId="15" fillId="13" borderId="1" xfId="0" applyNumberFormat="1" applyFont="1" applyFill="1" applyBorder="1" applyAlignment="1" applyProtection="1">
      <alignment vertical="center"/>
      <protection locked="0"/>
    </xf>
    <xf numFmtId="0" fontId="15" fillId="10" borderId="44" xfId="0" applyFont="1" applyFill="1" applyBorder="1" applyAlignment="1" applyProtection="1">
      <alignment horizontal="center" vertical="center"/>
      <protection locked="0"/>
    </xf>
    <xf numFmtId="0" fontId="15" fillId="10" borderId="45" xfId="0" applyFont="1" applyFill="1" applyBorder="1" applyAlignment="1" applyProtection="1">
      <alignment horizontal="center" vertical="center"/>
      <protection locked="0"/>
    </xf>
    <xf numFmtId="0" fontId="5" fillId="2" borderId="26" xfId="0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/>
    <xf numFmtId="0" fontId="4" fillId="0" borderId="46" xfId="0" applyFont="1" applyBorder="1"/>
    <xf numFmtId="164" fontId="4" fillId="0" borderId="48" xfId="1" applyNumberFormat="1" applyFont="1" applyBorder="1"/>
    <xf numFmtId="9" fontId="4" fillId="0" borderId="50" xfId="0" applyNumberFormat="1" applyFont="1" applyBorder="1"/>
    <xf numFmtId="9" fontId="4" fillId="0" borderId="51" xfId="0" applyNumberFormat="1" applyFont="1" applyBorder="1"/>
    <xf numFmtId="0" fontId="1" fillId="2" borderId="9" xfId="0" applyFont="1" applyFill="1" applyBorder="1"/>
    <xf numFmtId="0" fontId="0" fillId="12" borderId="0" xfId="0" applyFill="1"/>
    <xf numFmtId="0" fontId="21" fillId="0" borderId="0" xfId="0" applyFont="1"/>
    <xf numFmtId="0" fontId="5" fillId="2" borderId="1" xfId="0" applyFont="1" applyFill="1" applyBorder="1"/>
    <xf numFmtId="0" fontId="4" fillId="0" borderId="1" xfId="0" applyFont="1" applyBorder="1"/>
    <xf numFmtId="164" fontId="4" fillId="0" borderId="1" xfId="1" applyNumberFormat="1" applyFont="1" applyBorder="1"/>
    <xf numFmtId="164" fontId="5" fillId="2" borderId="10" xfId="1" applyNumberFormat="1" applyFont="1" applyFill="1" applyBorder="1" applyAlignment="1">
      <alignment horizontal="center"/>
    </xf>
    <xf numFmtId="0" fontId="15" fillId="5" borderId="1" xfId="0" applyFont="1" applyFill="1" applyBorder="1" applyAlignment="1" applyProtection="1">
      <alignment horizontal="right" vertical="center" indent="1"/>
      <protection locked="0"/>
    </xf>
    <xf numFmtId="169" fontId="15" fillId="5" borderId="1" xfId="5" applyNumberFormat="1" applyFont="1" applyFill="1" applyBorder="1" applyAlignment="1" applyProtection="1">
      <alignment vertical="center"/>
      <protection locked="0"/>
    </xf>
    <xf numFmtId="0" fontId="14" fillId="5" borderId="1" xfId="4" applyFill="1" applyBorder="1" applyAlignment="1">
      <alignment horizontal="right" vertical="center" indent="1"/>
    </xf>
    <xf numFmtId="169" fontId="14" fillId="5" borderId="1" xfId="5" applyNumberFormat="1" applyFont="1" applyFill="1" applyBorder="1" applyAlignment="1">
      <alignment vertical="center"/>
    </xf>
    <xf numFmtId="0" fontId="17" fillId="5" borderId="1" xfId="4" applyFont="1" applyFill="1" applyBorder="1" applyAlignment="1">
      <alignment horizontal="right" vertical="center" indent="1"/>
    </xf>
    <xf numFmtId="169" fontId="17" fillId="5" borderId="1" xfId="5" applyNumberFormat="1" applyFont="1" applyFill="1" applyBorder="1" applyAlignment="1">
      <alignment vertical="center"/>
    </xf>
    <xf numFmtId="0" fontId="14" fillId="5" borderId="41" xfId="4" applyFill="1" applyBorder="1" applyAlignment="1">
      <alignment horizontal="right" vertical="center" indent="1"/>
    </xf>
    <xf numFmtId="169" fontId="18" fillId="5" borderId="41" xfId="5" applyNumberFormat="1" applyFont="1" applyFill="1" applyBorder="1" applyAlignment="1">
      <alignment vertical="center"/>
    </xf>
    <xf numFmtId="0" fontId="14" fillId="5" borderId="0" xfId="4" applyFill="1" applyAlignment="1">
      <alignment horizontal="right" vertical="center" indent="1"/>
    </xf>
    <xf numFmtId="169" fontId="18" fillId="5" borderId="1" xfId="5" applyNumberFormat="1" applyFont="1" applyFill="1" applyBorder="1" applyAlignment="1">
      <alignment vertical="center"/>
    </xf>
    <xf numFmtId="0" fontId="14" fillId="5" borderId="1" xfId="4" applyFill="1" applyBorder="1" applyAlignment="1">
      <alignment vertical="center"/>
    </xf>
    <xf numFmtId="9" fontId="4" fillId="3" borderId="4" xfId="2" applyFont="1" applyFill="1" applyBorder="1"/>
    <xf numFmtId="43" fontId="0" fillId="0" borderId="0" xfId="0" applyNumberFormat="1"/>
    <xf numFmtId="0" fontId="0" fillId="5" borderId="0" xfId="0" applyFill="1" applyAlignment="1">
      <alignment horizontal="center" vertical="center"/>
    </xf>
    <xf numFmtId="169" fontId="0" fillId="0" borderId="0" xfId="0" applyNumberFormat="1"/>
    <xf numFmtId="0" fontId="0" fillId="0" borderId="0" xfId="0" applyAlignment="1">
      <alignment horizontal="center" vertical="center" wrapText="1"/>
    </xf>
    <xf numFmtId="14" fontId="11" fillId="0" borderId="1" xfId="0" applyNumberFormat="1" applyFont="1" applyBorder="1" applyAlignment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3" fontId="11" fillId="0" borderId="0" xfId="0" applyNumberFormat="1" applyFont="1" applyAlignment="1" applyProtection="1">
      <alignment horizontal="center" vertical="center"/>
      <protection locked="0"/>
    </xf>
    <xf numFmtId="0" fontId="16" fillId="0" borderId="0" xfId="3" applyFont="1" applyFill="1" applyBorder="1" applyAlignment="1" applyProtection="1">
      <alignment horizontal="center" vertical="center" wrapText="1"/>
      <protection locked="0"/>
    </xf>
    <xf numFmtId="168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5" fillId="5" borderId="21" xfId="0" applyFont="1" applyFill="1" applyBorder="1" applyAlignment="1" applyProtection="1">
      <alignment horizontal="center" vertical="center" wrapText="1"/>
      <protection locked="0"/>
    </xf>
    <xf numFmtId="164" fontId="5" fillId="2" borderId="26" xfId="1" applyNumberFormat="1" applyFont="1" applyFill="1" applyBorder="1" applyAlignment="1">
      <alignment horizontal="center"/>
    </xf>
    <xf numFmtId="164" fontId="5" fillId="2" borderId="36" xfId="1" applyNumberFormat="1" applyFont="1" applyFill="1" applyBorder="1" applyAlignment="1">
      <alignment horizontal="center"/>
    </xf>
    <xf numFmtId="164" fontId="5" fillId="2" borderId="33" xfId="1" applyNumberFormat="1" applyFont="1" applyFill="1" applyBorder="1" applyAlignment="1">
      <alignment horizontal="center"/>
    </xf>
    <xf numFmtId="164" fontId="4" fillId="0" borderId="12" xfId="1" applyNumberFormat="1" applyFont="1" applyBorder="1"/>
    <xf numFmtId="164" fontId="4" fillId="0" borderId="13" xfId="1" applyNumberFormat="1" applyFont="1" applyBorder="1"/>
    <xf numFmtId="164" fontId="4" fillId="0" borderId="15" xfId="1" applyNumberFormat="1" applyFont="1" applyBorder="1"/>
    <xf numFmtId="164" fontId="4" fillId="0" borderId="17" xfId="1" applyNumberFormat="1" applyFont="1" applyBorder="1"/>
    <xf numFmtId="164" fontId="4" fillId="0" borderId="47" xfId="1" applyNumberFormat="1" applyFont="1" applyBorder="1"/>
    <xf numFmtId="164" fontId="4" fillId="0" borderId="49" xfId="1" applyNumberFormat="1" applyFont="1" applyBorder="1"/>
    <xf numFmtId="164" fontId="4" fillId="0" borderId="20" xfId="1" applyNumberFormat="1" applyFont="1" applyBorder="1"/>
    <xf numFmtId="164" fontId="4" fillId="0" borderId="0" xfId="1" applyNumberFormat="1" applyFont="1"/>
    <xf numFmtId="0" fontId="9" fillId="2" borderId="0" xfId="0" applyFont="1" applyFill="1"/>
    <xf numFmtId="164" fontId="9" fillId="2" borderId="0" xfId="0" applyNumberFormat="1" applyFont="1" applyFill="1"/>
    <xf numFmtId="164" fontId="5" fillId="2" borderId="0" xfId="0" applyNumberFormat="1" applyFont="1" applyFill="1" applyAlignment="1">
      <alignment horizontal="center"/>
    </xf>
    <xf numFmtId="0" fontId="22" fillId="0" borderId="0" xfId="0" applyFont="1"/>
    <xf numFmtId="0" fontId="0" fillId="4" borderId="0" xfId="0" applyFill="1"/>
    <xf numFmtId="0" fontId="15" fillId="10" borderId="1" xfId="0" applyFont="1" applyFill="1" applyBorder="1" applyAlignment="1" applyProtection="1">
      <alignment horizontal="center" vertical="center" wrapText="1"/>
      <protection locked="0"/>
    </xf>
    <xf numFmtId="0" fontId="15" fillId="14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23" fillId="15" borderId="1" xfId="3" applyFont="1" applyFill="1" applyBorder="1" applyAlignment="1" applyProtection="1">
      <alignment horizontal="center" vertical="center" wrapText="1"/>
      <protection locked="0"/>
    </xf>
    <xf numFmtId="0" fontId="15" fillId="10" borderId="55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/>
    <xf numFmtId="170" fontId="11" fillId="0" borderId="0" xfId="0" applyNumberFormat="1" applyFont="1" applyAlignment="1">
      <alignment horizontal="right"/>
    </xf>
    <xf numFmtId="172" fontId="11" fillId="0" borderId="0" xfId="0" applyNumberFormat="1" applyFont="1"/>
    <xf numFmtId="167" fontId="11" fillId="0" borderId="0" xfId="5" applyFont="1"/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4" fillId="0" borderId="0" xfId="0" applyFont="1"/>
    <xf numFmtId="0" fontId="5" fillId="2" borderId="0" xfId="0" applyFont="1" applyFill="1" applyAlignment="1">
      <alignment horizontal="centerContinuous"/>
    </xf>
    <xf numFmtId="164" fontId="4" fillId="0" borderId="7" xfId="1" applyNumberFormat="1" applyFont="1" applyBorder="1"/>
    <xf numFmtId="0" fontId="25" fillId="0" borderId="0" xfId="0" applyFont="1"/>
    <xf numFmtId="0" fontId="7" fillId="2" borderId="1" xfId="0" applyFont="1" applyFill="1" applyBorder="1" applyAlignment="1">
      <alignment horizontal="center" vertical="center" wrapText="1"/>
    </xf>
    <xf numFmtId="0" fontId="26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Continuous" vertical="center" wrapText="1"/>
      <protection locked="0"/>
    </xf>
    <xf numFmtId="0" fontId="5" fillId="2" borderId="27" xfId="0" applyFont="1" applyFill="1" applyBorder="1" applyAlignment="1" applyProtection="1">
      <alignment horizontal="centerContinuous" vertical="center"/>
      <protection locked="0"/>
    </xf>
    <xf numFmtId="164" fontId="4" fillId="0" borderId="3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4" fillId="0" borderId="8" xfId="1" applyNumberFormat="1" applyFont="1" applyBorder="1"/>
    <xf numFmtId="164" fontId="5" fillId="2" borderId="10" xfId="1" applyNumberFormat="1" applyFont="1" applyFill="1" applyBorder="1" applyAlignment="1">
      <alignment horizontal="centerContinuous"/>
    </xf>
    <xf numFmtId="164" fontId="5" fillId="2" borderId="62" xfId="1" applyNumberFormat="1" applyFont="1" applyFill="1" applyBorder="1" applyAlignment="1">
      <alignment horizontal="centerContinuous"/>
    </xf>
    <xf numFmtId="164" fontId="5" fillId="2" borderId="26" xfId="1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Continuous" vertical="center" wrapText="1"/>
    </xf>
    <xf numFmtId="0" fontId="0" fillId="4" borderId="0" xfId="0" applyFill="1" applyAlignment="1">
      <alignment horizontal="centerContinuous"/>
    </xf>
    <xf numFmtId="0" fontId="5" fillId="2" borderId="26" xfId="0" applyFont="1" applyFill="1" applyBorder="1" applyAlignment="1" applyProtection="1">
      <alignment horizontal="right" vertical="center"/>
      <protection locked="0"/>
    </xf>
    <xf numFmtId="164" fontId="4" fillId="17" borderId="4" xfId="1" applyNumberFormat="1" applyFont="1" applyFill="1" applyBorder="1"/>
    <xf numFmtId="164" fontId="16" fillId="5" borderId="41" xfId="1" applyNumberFormat="1" applyFont="1" applyFill="1" applyBorder="1" applyAlignment="1" applyProtection="1">
      <alignment horizontal="center" vertical="center"/>
      <protection locked="0"/>
    </xf>
    <xf numFmtId="164" fontId="16" fillId="0" borderId="41" xfId="1" applyNumberFormat="1" applyFont="1" applyFill="1" applyBorder="1" applyAlignment="1" applyProtection="1">
      <alignment horizontal="center" vertical="center"/>
      <protection locked="0"/>
    </xf>
    <xf numFmtId="164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164" fontId="0" fillId="0" borderId="20" xfId="0" applyNumberFormat="1" applyBorder="1" applyProtection="1">
      <protection locked="0"/>
    </xf>
    <xf numFmtId="164" fontId="5" fillId="0" borderId="26" xfId="0" applyNumberFormat="1" applyFont="1" applyBorder="1" applyAlignment="1" applyProtection="1">
      <alignment horizontal="center" vertical="center" wrapText="1"/>
      <protection locked="0"/>
    </xf>
    <xf numFmtId="0" fontId="27" fillId="2" borderId="64" xfId="0" applyFont="1" applyFill="1" applyBorder="1" applyAlignment="1" applyProtection="1">
      <alignment horizontal="center" vertical="center" wrapText="1"/>
      <protection locked="0"/>
    </xf>
    <xf numFmtId="9" fontId="27" fillId="2" borderId="64" xfId="2" applyFont="1" applyFill="1" applyBorder="1" applyAlignment="1" applyProtection="1">
      <alignment horizontal="center" vertical="center" wrapText="1"/>
      <protection locked="0"/>
    </xf>
    <xf numFmtId="0" fontId="0" fillId="0" borderId="64" xfId="0" applyBorder="1"/>
    <xf numFmtId="164" fontId="0" fillId="0" borderId="64" xfId="1" applyNumberFormat="1" applyFont="1" applyBorder="1"/>
    <xf numFmtId="164" fontId="13" fillId="18" borderId="64" xfId="1" applyNumberFormat="1" applyFont="1" applyFill="1" applyBorder="1"/>
    <xf numFmtId="164" fontId="0" fillId="5" borderId="0" xfId="0" applyNumberFormat="1" applyFill="1"/>
    <xf numFmtId="164" fontId="0" fillId="0" borderId="66" xfId="1" applyNumberFormat="1" applyFont="1" applyBorder="1"/>
    <xf numFmtId="0" fontId="27" fillId="2" borderId="66" xfId="0" applyFont="1" applyFill="1" applyBorder="1" applyAlignment="1" applyProtection="1">
      <alignment horizontal="center" vertical="center" wrapText="1"/>
      <protection locked="0"/>
    </xf>
    <xf numFmtId="164" fontId="13" fillId="18" borderId="66" xfId="1" applyNumberFormat="1" applyFont="1" applyFill="1" applyBorder="1"/>
    <xf numFmtId="0" fontId="28" fillId="2" borderId="0" xfId="0" applyFont="1" applyFill="1" applyAlignment="1">
      <alignment horizontal="center"/>
    </xf>
    <xf numFmtId="0" fontId="29" fillId="0" borderId="6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0" borderId="64" xfId="0" applyFont="1" applyBorder="1"/>
    <xf numFmtId="0" fontId="29" fillId="5" borderId="64" xfId="0" applyFont="1" applyFill="1" applyBorder="1"/>
    <xf numFmtId="0" fontId="30" fillId="2" borderId="64" xfId="0" applyFont="1" applyFill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0" fillId="2" borderId="0" xfId="0" applyFont="1" applyFill="1" applyAlignment="1">
      <alignment horizontal="center" vertical="center" wrapText="1"/>
    </xf>
    <xf numFmtId="9" fontId="0" fillId="0" borderId="64" xfId="2" applyFont="1" applyBorder="1"/>
    <xf numFmtId="0" fontId="0" fillId="0" borderId="64" xfId="0" applyBorder="1" applyAlignment="1">
      <alignment horizontal="center"/>
    </xf>
    <xf numFmtId="9" fontId="0" fillId="0" borderId="64" xfId="0" applyNumberFormat="1" applyBorder="1"/>
    <xf numFmtId="0" fontId="13" fillId="5" borderId="0" xfId="0" applyFont="1" applyFill="1"/>
    <xf numFmtId="0" fontId="11" fillId="0" borderId="0" xfId="0" applyFont="1" applyAlignment="1" applyProtection="1">
      <alignment vertical="center"/>
      <protection locked="0"/>
    </xf>
    <xf numFmtId="14" fontId="31" fillId="0" borderId="0" xfId="0" applyNumberFormat="1" applyFont="1" applyAlignment="1" applyProtection="1">
      <alignment vertical="center"/>
      <protection locked="0"/>
    </xf>
    <xf numFmtId="0" fontId="11" fillId="0" borderId="41" xfId="0" applyFont="1" applyBorder="1" applyAlignment="1" applyProtection="1">
      <alignment vertical="center"/>
      <protection locked="0"/>
    </xf>
    <xf numFmtId="169" fontId="14" fillId="0" borderId="41" xfId="5" applyNumberFormat="1" applyFont="1" applyFill="1" applyBorder="1" applyAlignment="1" applyProtection="1">
      <alignment vertical="center"/>
    </xf>
    <xf numFmtId="0" fontId="15" fillId="0" borderId="41" xfId="3" applyFont="1" applyFill="1" applyBorder="1" applyAlignment="1" applyProtection="1">
      <alignment horizontal="center" vertical="center" wrapText="1"/>
      <protection locked="0"/>
    </xf>
    <xf numFmtId="9" fontId="15" fillId="0" borderId="41" xfId="2" applyFont="1" applyFill="1" applyBorder="1" applyAlignment="1" applyProtection="1">
      <alignment horizontal="center" vertical="center" wrapText="1"/>
      <protection locked="0"/>
    </xf>
    <xf numFmtId="0" fontId="32" fillId="19" borderId="41" xfId="3" applyFont="1" applyFill="1" applyBorder="1" applyAlignment="1" applyProtection="1">
      <alignment horizontal="center" vertical="center" wrapText="1"/>
      <protection locked="0"/>
    </xf>
    <xf numFmtId="173" fontId="32" fillId="19" borderId="41" xfId="6" applyNumberFormat="1" applyFont="1" applyFill="1" applyBorder="1" applyAlignment="1" applyProtection="1">
      <alignment horizontal="left" vertical="center" wrapText="1"/>
    </xf>
    <xf numFmtId="173" fontId="32" fillId="19" borderId="41" xfId="6" applyNumberFormat="1" applyFont="1" applyFill="1" applyBorder="1" applyAlignment="1" applyProtection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11" fillId="0" borderId="41" xfId="0" applyFont="1" applyBorder="1" applyAlignment="1">
      <alignment horizontal="left" vertical="center"/>
    </xf>
    <xf numFmtId="169" fontId="14" fillId="0" borderId="41" xfId="5" applyNumberFormat="1" applyFont="1" applyFill="1" applyBorder="1" applyAlignment="1" applyProtection="1">
      <alignment horizontal="right" vertical="center"/>
    </xf>
    <xf numFmtId="0" fontId="11" fillId="0" borderId="41" xfId="0" applyFont="1" applyBorder="1" applyAlignment="1" applyProtection="1">
      <alignment horizontal="left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32" fillId="19" borderId="41" xfId="3" applyFont="1" applyFill="1" applyBorder="1" applyAlignment="1" applyProtection="1">
      <alignment horizontal="center" vertical="center" wrapText="1"/>
    </xf>
    <xf numFmtId="0" fontId="32" fillId="19" borderId="41" xfId="0" applyFont="1" applyFill="1" applyBorder="1" applyAlignment="1">
      <alignment horizontal="center" vertical="center" wrapText="1"/>
    </xf>
    <xf numFmtId="0" fontId="32" fillId="19" borderId="41" xfId="0" applyFont="1" applyFill="1" applyBorder="1" applyAlignment="1">
      <alignment horizontal="center" vertical="top" wrapText="1"/>
    </xf>
    <xf numFmtId="169" fontId="34" fillId="19" borderId="41" xfId="5" applyNumberFormat="1" applyFont="1" applyFill="1" applyBorder="1" applyAlignment="1" applyProtection="1">
      <alignment horizontal="right" vertical="center"/>
    </xf>
    <xf numFmtId="173" fontId="32" fillId="19" borderId="41" xfId="6" applyNumberFormat="1" applyFont="1" applyFill="1" applyBorder="1" applyAlignment="1" applyProtection="1">
      <alignment horizontal="right" vertical="center" wrapText="1"/>
    </xf>
    <xf numFmtId="0" fontId="13" fillId="5" borderId="65" xfId="0" applyFont="1" applyFill="1" applyBorder="1"/>
    <xf numFmtId="0" fontId="5" fillId="19" borderId="34" xfId="0" applyFont="1" applyFill="1" applyBorder="1" applyAlignment="1" applyProtection="1">
      <alignment horizontal="center" vertical="center" wrapText="1"/>
      <protection locked="0"/>
    </xf>
    <xf numFmtId="0" fontId="26" fillId="19" borderId="34" xfId="0" applyFont="1" applyFill="1" applyBorder="1" applyAlignment="1" applyProtection="1">
      <alignment horizontal="center" vertical="center" wrapText="1"/>
      <protection locked="0"/>
    </xf>
    <xf numFmtId="0" fontId="5" fillId="19" borderId="29" xfId="0" applyFont="1" applyFill="1" applyBorder="1" applyAlignment="1" applyProtection="1">
      <alignment horizontal="center" vertical="center" wrapText="1"/>
      <protection locked="0"/>
    </xf>
    <xf numFmtId="0" fontId="5" fillId="19" borderId="0" xfId="0" applyFont="1" applyFill="1" applyAlignment="1" applyProtection="1">
      <alignment horizontal="center" vertical="center" wrapText="1"/>
      <protection locked="0"/>
    </xf>
    <xf numFmtId="0" fontId="5" fillId="19" borderId="39" xfId="0" applyFont="1" applyFill="1" applyBorder="1" applyAlignment="1" applyProtection="1">
      <alignment horizontal="center" vertical="center" wrapText="1"/>
      <protection locked="0"/>
    </xf>
    <xf numFmtId="0" fontId="5" fillId="19" borderId="21" xfId="0" applyFont="1" applyFill="1" applyBorder="1" applyAlignment="1" applyProtection="1">
      <alignment horizontal="center" vertical="center" wrapText="1"/>
      <protection locked="0"/>
    </xf>
    <xf numFmtId="0" fontId="32" fillId="19" borderId="41" xfId="0" applyFont="1" applyFill="1" applyBorder="1" applyAlignment="1">
      <alignment horizontal="center" vertical="center"/>
    </xf>
    <xf numFmtId="14" fontId="4" fillId="0" borderId="19" xfId="1" applyNumberFormat="1" applyFont="1" applyBorder="1"/>
    <xf numFmtId="14" fontId="5" fillId="2" borderId="26" xfId="1" applyNumberFormat="1" applyFont="1" applyFill="1" applyBorder="1" applyAlignment="1" applyProtection="1">
      <alignment horizontal="center" vertical="center" wrapText="1"/>
      <protection locked="0"/>
    </xf>
    <xf numFmtId="0" fontId="35" fillId="0" borderId="64" xfId="0" applyFont="1" applyBorder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174" fontId="4" fillId="5" borderId="1" xfId="0" applyNumberFormat="1" applyFont="1" applyFill="1" applyBorder="1" applyAlignment="1">
      <alignment horizontal="center" vertical="center"/>
    </xf>
    <xf numFmtId="10" fontId="4" fillId="5" borderId="1" xfId="0" applyNumberFormat="1" applyFont="1" applyFill="1" applyBorder="1" applyAlignment="1">
      <alignment horizontal="center" vertical="center"/>
    </xf>
    <xf numFmtId="175" fontId="4" fillId="5" borderId="1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/>
    <xf numFmtId="164" fontId="13" fillId="18" borderId="0" xfId="1" applyNumberFormat="1" applyFont="1" applyFill="1"/>
    <xf numFmtId="0" fontId="13" fillId="18" borderId="0" xfId="0" applyFont="1" applyFill="1" applyAlignment="1">
      <alignment horizontal="center"/>
    </xf>
    <xf numFmtId="0" fontId="37" fillId="0" borderId="0" xfId="0" applyFont="1"/>
    <xf numFmtId="0" fontId="37" fillId="0" borderId="0" xfId="0" applyFont="1" applyAlignment="1">
      <alignment vertical="center"/>
    </xf>
    <xf numFmtId="164" fontId="13" fillId="18" borderId="64" xfId="0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0" fontId="0" fillId="20" borderId="0" xfId="0" applyFill="1"/>
    <xf numFmtId="0" fontId="36" fillId="19" borderId="1" xfId="0" applyFont="1" applyFill="1" applyBorder="1" applyAlignment="1">
      <alignment horizontal="center" vertical="center"/>
    </xf>
    <xf numFmtId="0" fontId="36" fillId="19" borderId="1" xfId="0" applyFont="1" applyFill="1" applyBorder="1" applyAlignment="1">
      <alignment horizontal="center"/>
    </xf>
    <xf numFmtId="0" fontId="0" fillId="21" borderId="0" xfId="0" applyFill="1"/>
    <xf numFmtId="0" fontId="27" fillId="2" borderId="0" xfId="0" applyFont="1" applyFill="1" applyAlignment="1" applyProtection="1">
      <alignment horizontal="center" vertical="center" wrapText="1"/>
      <protection locked="0"/>
    </xf>
    <xf numFmtId="9" fontId="0" fillId="5" borderId="0" xfId="2" applyFont="1" applyFill="1"/>
    <xf numFmtId="0" fontId="38" fillId="5" borderId="0" xfId="0" applyFont="1" applyFill="1" applyAlignment="1">
      <alignment horizontal="center" vertical="center"/>
    </xf>
    <xf numFmtId="0" fontId="27" fillId="5" borderId="0" xfId="0" applyFont="1" applyFill="1" applyAlignment="1" applyProtection="1">
      <alignment horizontal="center" vertical="center" wrapText="1"/>
      <protection locked="0"/>
    </xf>
    <xf numFmtId="164" fontId="13" fillId="5" borderId="0" xfId="1" applyNumberFormat="1" applyFont="1" applyFill="1" applyBorder="1"/>
    <xf numFmtId="0" fontId="0" fillId="2" borderId="0" xfId="0" applyFill="1"/>
    <xf numFmtId="0" fontId="27" fillId="2" borderId="68" xfId="0" applyFont="1" applyFill="1" applyBorder="1" applyAlignment="1" applyProtection="1">
      <alignment horizontal="center" vertical="center" wrapText="1"/>
      <protection locked="0"/>
    </xf>
    <xf numFmtId="0" fontId="0" fillId="0" borderId="68" xfId="0" applyBorder="1"/>
    <xf numFmtId="164" fontId="13" fillId="18" borderId="68" xfId="0" applyNumberFormat="1" applyFont="1" applyFill="1" applyBorder="1" applyAlignment="1">
      <alignment horizontal="center"/>
    </xf>
    <xf numFmtId="0" fontId="38" fillId="5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8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164" fontId="0" fillId="2" borderId="0" xfId="0" applyNumberFormat="1" applyFill="1"/>
    <xf numFmtId="164" fontId="13" fillId="2" borderId="0" xfId="1" applyNumberFormat="1" applyFont="1" applyFill="1" applyBorder="1"/>
    <xf numFmtId="0" fontId="0" fillId="0" borderId="64" xfId="2" applyNumberFormat="1" applyFont="1" applyBorder="1"/>
    <xf numFmtId="0" fontId="39" fillId="5" borderId="0" xfId="0" applyFont="1" applyFill="1" applyAlignment="1">
      <alignment horizontal="left" indent="2"/>
    </xf>
    <xf numFmtId="0" fontId="2" fillId="5" borderId="0" xfId="0" applyFont="1" applyFill="1"/>
    <xf numFmtId="0" fontId="2" fillId="5" borderId="0" xfId="0" applyFont="1" applyFill="1" applyAlignment="1">
      <alignment horizontal="right" vertical="top" indent="1"/>
    </xf>
    <xf numFmtId="0" fontId="2" fillId="5" borderId="0" xfId="0" applyFont="1" applyFill="1" applyAlignment="1">
      <alignment horizontal="right" indent="1"/>
    </xf>
    <xf numFmtId="0" fontId="2" fillId="5" borderId="0" xfId="0" applyFont="1" applyFill="1" applyAlignment="1">
      <alignment horizontal="right" vertical="center" indent="1"/>
    </xf>
    <xf numFmtId="0" fontId="27" fillId="22" borderId="72" xfId="0" applyFont="1" applyFill="1" applyBorder="1" applyAlignment="1">
      <alignment vertical="center" wrapText="1"/>
    </xf>
    <xf numFmtId="0" fontId="27" fillId="22" borderId="75" xfId="0" applyFont="1" applyFill="1" applyBorder="1" applyAlignment="1">
      <alignment vertical="center" wrapTex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" fillId="18" borderId="72" xfId="0" applyFont="1" applyFill="1" applyBorder="1" applyAlignment="1">
      <alignment horizontal="left" vertical="center" indent="1"/>
    </xf>
    <xf numFmtId="0" fontId="2" fillId="18" borderId="75" xfId="0" quotePrefix="1" applyFont="1" applyFill="1" applyBorder="1" applyAlignment="1">
      <alignment horizontal="left" vertical="center" indent="1"/>
    </xf>
    <xf numFmtId="0" fontId="2" fillId="18" borderId="77" xfId="0" quotePrefix="1" applyFont="1" applyFill="1" applyBorder="1" applyAlignment="1">
      <alignment horizontal="left" vertical="center" indent="1"/>
    </xf>
    <xf numFmtId="0" fontId="2" fillId="18" borderId="73" xfId="0" applyFont="1" applyFill="1" applyBorder="1" applyAlignment="1">
      <alignment horizontal="left" vertical="center" wrapText="1" indent="1"/>
    </xf>
    <xf numFmtId="0" fontId="2" fillId="18" borderId="74" xfId="0" applyFont="1" applyFill="1" applyBorder="1" applyAlignment="1">
      <alignment horizontal="left" vertical="center" wrapText="1" indent="1"/>
    </xf>
    <xf numFmtId="0" fontId="0" fillId="18" borderId="0" xfId="0" applyFill="1"/>
    <xf numFmtId="0" fontId="2" fillId="5" borderId="70" xfId="0" applyFont="1" applyFill="1" applyBorder="1" applyAlignment="1">
      <alignment horizontal="center" vertical="center"/>
    </xf>
    <xf numFmtId="0" fontId="41" fillId="5" borderId="81" xfId="0" applyFont="1" applyFill="1" applyBorder="1" applyAlignment="1">
      <alignment horizontal="center" vertical="center"/>
    </xf>
    <xf numFmtId="0" fontId="2" fillId="5" borderId="72" xfId="0" applyFont="1" applyFill="1" applyBorder="1" applyAlignment="1">
      <alignment horizontal="center" vertical="center"/>
    </xf>
    <xf numFmtId="0" fontId="2" fillId="23" borderId="1" xfId="2" quotePrefix="1" applyNumberFormat="1" applyFont="1" applyFill="1" applyBorder="1" applyAlignment="1">
      <alignment horizontal="right" vertical="center" wrapText="1" indent="1"/>
    </xf>
    <xf numFmtId="173" fontId="2" fillId="23" borderId="1" xfId="6" applyNumberFormat="1" applyFont="1" applyFill="1" applyBorder="1" applyAlignment="1">
      <alignment horizontal="left" vertical="center" wrapText="1" indent="1"/>
    </xf>
    <xf numFmtId="173" fontId="2" fillId="23" borderId="69" xfId="6" applyNumberFormat="1" applyFont="1" applyFill="1" applyBorder="1" applyAlignment="1">
      <alignment horizontal="left" vertical="center" wrapText="1" indent="1"/>
    </xf>
    <xf numFmtId="14" fontId="2" fillId="23" borderId="71" xfId="0" applyNumberFormat="1" applyFont="1" applyFill="1" applyBorder="1" applyAlignment="1">
      <alignment horizontal="left" vertical="center" wrapText="1" indent="1"/>
    </xf>
    <xf numFmtId="0" fontId="2" fillId="23" borderId="0" xfId="0" applyFont="1" applyFill="1" applyAlignment="1">
      <alignment horizontal="center" vertical="center"/>
    </xf>
    <xf numFmtId="0" fontId="2" fillId="23" borderId="78" xfId="0" applyFont="1" applyFill="1" applyBorder="1" applyAlignment="1">
      <alignment horizontal="center" vertical="center"/>
    </xf>
    <xf numFmtId="0" fontId="2" fillId="23" borderId="75" xfId="0" applyFont="1" applyFill="1" applyBorder="1" applyAlignment="1">
      <alignment horizontal="center" vertical="center"/>
    </xf>
    <xf numFmtId="0" fontId="2" fillId="23" borderId="77" xfId="0" applyFont="1" applyFill="1" applyBorder="1" applyAlignment="1">
      <alignment horizontal="center" vertical="center"/>
    </xf>
    <xf numFmtId="0" fontId="43" fillId="5" borderId="0" xfId="0" applyFont="1" applyFill="1"/>
    <xf numFmtId="0" fontId="45" fillId="5" borderId="87" xfId="0" applyFont="1" applyFill="1" applyBorder="1" applyAlignment="1">
      <alignment horizontal="justify" vertical="center" wrapText="1"/>
    </xf>
    <xf numFmtId="0" fontId="45" fillId="5" borderId="88" xfId="0" applyFont="1" applyFill="1" applyBorder="1" applyAlignment="1">
      <alignment vertical="center" wrapText="1"/>
    </xf>
    <xf numFmtId="0" fontId="45" fillId="5" borderId="88" xfId="0" applyFont="1" applyFill="1" applyBorder="1" applyAlignment="1">
      <alignment horizontal="center" vertical="center" wrapText="1"/>
    </xf>
    <xf numFmtId="1" fontId="45" fillId="5" borderId="87" xfId="0" applyNumberFormat="1" applyFont="1" applyFill="1" applyBorder="1" applyAlignment="1">
      <alignment horizontal="justify" vertical="center" wrapText="1"/>
    </xf>
    <xf numFmtId="173" fontId="45" fillId="5" borderId="87" xfId="6" applyNumberFormat="1" applyFont="1" applyFill="1" applyBorder="1" applyAlignment="1">
      <alignment horizontal="justify" vertical="center" wrapText="1"/>
    </xf>
    <xf numFmtId="0" fontId="45" fillId="5" borderId="86" xfId="0" applyFont="1" applyFill="1" applyBorder="1" applyAlignment="1">
      <alignment vertical="center" wrapText="1"/>
    </xf>
    <xf numFmtId="0" fontId="45" fillId="5" borderId="86" xfId="0" applyFont="1" applyFill="1" applyBorder="1" applyAlignment="1">
      <alignment horizontal="center" vertical="center" wrapText="1"/>
    </xf>
    <xf numFmtId="0" fontId="45" fillId="18" borderId="87" xfId="0" applyFont="1" applyFill="1" applyBorder="1" applyAlignment="1">
      <alignment horizontal="justify" vertical="center" wrapText="1"/>
    </xf>
    <xf numFmtId="0" fontId="45" fillId="18" borderId="86" xfId="0" applyFont="1" applyFill="1" applyBorder="1" applyAlignment="1">
      <alignment horizontal="justify" vertical="center" wrapText="1"/>
    </xf>
    <xf numFmtId="0" fontId="43" fillId="18" borderId="0" xfId="0" applyFont="1" applyFill="1"/>
    <xf numFmtId="1" fontId="45" fillId="18" borderId="87" xfId="0" applyNumberFormat="1" applyFont="1" applyFill="1" applyBorder="1" applyAlignment="1">
      <alignment horizontal="justify" vertical="center" wrapText="1"/>
    </xf>
    <xf numFmtId="173" fontId="45" fillId="18" borderId="87" xfId="6" applyNumberFormat="1" applyFont="1" applyFill="1" applyBorder="1" applyAlignment="1">
      <alignment horizontal="justify" vertical="center" wrapText="1"/>
    </xf>
    <xf numFmtId="0" fontId="43" fillId="0" borderId="89" xfId="0" applyFont="1" applyBorder="1" applyAlignment="1">
      <alignment horizontal="justify" vertical="center" wrapText="1"/>
    </xf>
    <xf numFmtId="14" fontId="43" fillId="0" borderId="89" xfId="0" applyNumberFormat="1" applyFont="1" applyBorder="1" applyAlignment="1">
      <alignment horizontal="justify" vertical="center" wrapText="1"/>
    </xf>
    <xf numFmtId="44" fontId="43" fillId="0" borderId="89" xfId="6" applyFont="1" applyBorder="1" applyAlignment="1">
      <alignment horizontal="justify" vertical="center" wrapText="1"/>
    </xf>
    <xf numFmtId="0" fontId="43" fillId="0" borderId="89" xfId="6" applyNumberFormat="1" applyFont="1" applyBorder="1" applyAlignment="1">
      <alignment horizontal="justify" vertical="center" wrapText="1"/>
    </xf>
    <xf numFmtId="173" fontId="43" fillId="0" borderId="89" xfId="6" applyNumberFormat="1" applyFont="1" applyBorder="1" applyAlignment="1">
      <alignment horizontal="justify" vertical="center" wrapText="1"/>
    </xf>
    <xf numFmtId="0" fontId="44" fillId="22" borderId="87" xfId="0" applyFont="1" applyFill="1" applyBorder="1" applyAlignment="1">
      <alignment horizontal="center" vertical="center" wrapText="1"/>
    </xf>
    <xf numFmtId="0" fontId="43" fillId="18" borderId="0" xfId="0" applyFont="1" applyFill="1" applyAlignment="1">
      <alignment horizontal="center" vertical="center"/>
    </xf>
    <xf numFmtId="0" fontId="43" fillId="18" borderId="0" xfId="0" applyFont="1" applyFill="1" applyAlignment="1">
      <alignment horizontal="center"/>
    </xf>
    <xf numFmtId="0" fontId="47" fillId="0" borderId="89" xfId="0" applyFont="1" applyBorder="1" applyAlignment="1">
      <alignment horizontal="left" vertical="center" wrapText="1" indent="1"/>
    </xf>
    <xf numFmtId="0" fontId="48" fillId="0" borderId="90" xfId="0" applyFont="1" applyBorder="1" applyAlignment="1">
      <alignment vertical="center" wrapText="1"/>
    </xf>
    <xf numFmtId="0" fontId="49" fillId="0" borderId="89" xfId="0" applyFont="1" applyBorder="1" applyAlignment="1">
      <alignment horizontal="left" vertical="center" wrapText="1" indent="4"/>
    </xf>
    <xf numFmtId="0" fontId="51" fillId="0" borderId="89" xfId="0" applyFont="1" applyBorder="1" applyAlignment="1">
      <alignment horizontal="right" vertical="center" wrapText="1" indent="4"/>
    </xf>
    <xf numFmtId="0" fontId="52" fillId="0" borderId="90" xfId="0" applyFont="1" applyBorder="1" applyAlignment="1">
      <alignment horizontal="right" vertical="center" wrapText="1"/>
    </xf>
    <xf numFmtId="0" fontId="53" fillId="22" borderId="87" xfId="0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horizontal="center" vertical="center" wrapText="1"/>
    </xf>
    <xf numFmtId="164" fontId="2" fillId="0" borderId="1" xfId="1" applyNumberFormat="1" applyFont="1" applyBorder="1"/>
    <xf numFmtId="0" fontId="27" fillId="22" borderId="1" xfId="0" applyFont="1" applyFill="1" applyBorder="1" applyAlignment="1">
      <alignment horizontal="center" vertical="center"/>
    </xf>
    <xf numFmtId="0" fontId="2" fillId="18" borderId="70" xfId="0" applyFont="1" applyFill="1" applyBorder="1"/>
    <xf numFmtId="0" fontId="57" fillId="18" borderId="70" xfId="0" applyFont="1" applyFill="1" applyBorder="1"/>
    <xf numFmtId="0" fontId="45" fillId="24" borderId="87" xfId="0" applyFont="1" applyFill="1" applyBorder="1" applyAlignment="1">
      <alignment horizontal="justify" vertical="center" wrapText="1"/>
    </xf>
    <xf numFmtId="9" fontId="43" fillId="6" borderId="89" xfId="2" applyFont="1" applyFill="1" applyBorder="1" applyAlignment="1">
      <alignment horizontal="justify" vertical="center" wrapText="1"/>
    </xf>
    <xf numFmtId="173" fontId="43" fillId="6" borderId="89" xfId="6" applyNumberFormat="1" applyFont="1" applyFill="1" applyBorder="1" applyAlignment="1">
      <alignment horizontal="justify" vertical="center" wrapText="1"/>
    </xf>
    <xf numFmtId="1" fontId="43" fillId="0" borderId="89" xfId="6" applyNumberFormat="1" applyFont="1" applyBorder="1" applyAlignment="1">
      <alignment horizontal="justify" vertical="center" wrapText="1"/>
    </xf>
    <xf numFmtId="0" fontId="58" fillId="0" borderId="89" xfId="0" applyFont="1" applyBorder="1" applyAlignment="1">
      <alignment horizontal="justify" vertical="center" wrapText="1"/>
    </xf>
    <xf numFmtId="0" fontId="58" fillId="25" borderId="89" xfId="0" applyFont="1" applyFill="1" applyBorder="1" applyAlignment="1">
      <alignment horizontal="justify" vertical="center" wrapText="1"/>
    </xf>
    <xf numFmtId="173" fontId="58" fillId="25" borderId="89" xfId="6" applyNumberFormat="1" applyFont="1" applyFill="1" applyBorder="1" applyAlignment="1">
      <alignment horizontal="justify" vertical="center" wrapText="1"/>
    </xf>
    <xf numFmtId="1" fontId="58" fillId="25" borderId="89" xfId="6" applyNumberFormat="1" applyFont="1" applyFill="1" applyBorder="1" applyAlignment="1">
      <alignment horizontal="justify" vertical="center" wrapText="1"/>
    </xf>
    <xf numFmtId="0" fontId="43" fillId="13" borderId="89" xfId="0" applyFont="1" applyFill="1" applyBorder="1" applyAlignment="1">
      <alignment horizontal="justify" vertical="center" wrapText="1"/>
    </xf>
    <xf numFmtId="0" fontId="43" fillId="18" borderId="89" xfId="0" applyFont="1" applyFill="1" applyBorder="1" applyAlignment="1">
      <alignment horizontal="justify" vertical="center" wrapText="1"/>
    </xf>
    <xf numFmtId="14" fontId="43" fillId="18" borderId="89" xfId="0" applyNumberFormat="1" applyFont="1" applyFill="1" applyBorder="1" applyAlignment="1">
      <alignment horizontal="justify" vertical="center" wrapText="1"/>
    </xf>
    <xf numFmtId="9" fontId="43" fillId="18" borderId="89" xfId="2" applyFont="1" applyFill="1" applyBorder="1" applyAlignment="1">
      <alignment horizontal="justify" vertical="center" wrapText="1"/>
    </xf>
    <xf numFmtId="173" fontId="43" fillId="18" borderId="89" xfId="6" applyNumberFormat="1" applyFont="1" applyFill="1" applyBorder="1" applyAlignment="1">
      <alignment horizontal="justify" vertical="center" wrapText="1"/>
    </xf>
    <xf numFmtId="1" fontId="43" fillId="18" borderId="89" xfId="6" applyNumberFormat="1" applyFont="1" applyFill="1" applyBorder="1" applyAlignment="1">
      <alignment horizontal="justify" vertical="center" wrapText="1"/>
    </xf>
    <xf numFmtId="0" fontId="43" fillId="26" borderId="89" xfId="0" applyFont="1" applyFill="1" applyBorder="1" applyAlignment="1">
      <alignment horizontal="justify" vertical="center" wrapText="1"/>
    </xf>
    <xf numFmtId="14" fontId="43" fillId="26" borderId="89" xfId="0" applyNumberFormat="1" applyFont="1" applyFill="1" applyBorder="1" applyAlignment="1">
      <alignment horizontal="justify" vertical="center" wrapText="1"/>
    </xf>
    <xf numFmtId="173" fontId="43" fillId="26" borderId="89" xfId="6" applyNumberFormat="1" applyFont="1" applyFill="1" applyBorder="1" applyAlignment="1">
      <alignment horizontal="justify" vertical="center" wrapText="1"/>
    </xf>
    <xf numFmtId="1" fontId="43" fillId="26" borderId="89" xfId="6" applyNumberFormat="1" applyFont="1" applyFill="1" applyBorder="1" applyAlignment="1">
      <alignment horizontal="justify" vertical="center" wrapText="1"/>
    </xf>
    <xf numFmtId="9" fontId="43" fillId="0" borderId="89" xfId="2" applyFont="1" applyBorder="1" applyAlignment="1">
      <alignment horizontal="justify" vertical="center" wrapText="1"/>
    </xf>
    <xf numFmtId="164" fontId="4" fillId="0" borderId="4" xfId="1" applyNumberFormat="1" applyFont="1" applyBorder="1" applyAlignment="1">
      <alignment horizontal="center"/>
    </xf>
    <xf numFmtId="0" fontId="45" fillId="24" borderId="86" xfId="0" applyFont="1" applyFill="1" applyBorder="1" applyAlignment="1">
      <alignment horizontal="center" vertical="center" wrapText="1"/>
    </xf>
    <xf numFmtId="0" fontId="59" fillId="0" borderId="0" xfId="0" applyFont="1"/>
    <xf numFmtId="0" fontId="45" fillId="24" borderId="87" xfId="0" applyFont="1" applyFill="1" applyBorder="1" applyAlignment="1">
      <alignment horizontal="center" vertical="center" wrapText="1"/>
    </xf>
    <xf numFmtId="0" fontId="58" fillId="0" borderId="89" xfId="0" applyFont="1" applyBorder="1" applyAlignment="1">
      <alignment vertical="center" wrapText="1"/>
    </xf>
    <xf numFmtId="173" fontId="58" fillId="0" borderId="89" xfId="6" applyNumberFormat="1" applyFont="1" applyBorder="1" applyAlignment="1">
      <alignment vertical="center" wrapText="1"/>
    </xf>
    <xf numFmtId="1" fontId="58" fillId="0" borderId="89" xfId="0" applyNumberFormat="1" applyFont="1" applyBorder="1" applyAlignment="1">
      <alignment vertical="center" wrapText="1"/>
    </xf>
    <xf numFmtId="0" fontId="43" fillId="0" borderId="90" xfId="0" applyFont="1" applyBorder="1" applyAlignment="1">
      <alignment vertical="center" wrapText="1"/>
    </xf>
    <xf numFmtId="1" fontId="43" fillId="0" borderId="90" xfId="0" applyNumberFormat="1" applyFont="1" applyBorder="1" applyAlignment="1">
      <alignment vertical="center" wrapText="1"/>
    </xf>
    <xf numFmtId="173" fontId="43" fillId="0" borderId="90" xfId="6" applyNumberFormat="1" applyFont="1" applyBorder="1" applyAlignment="1">
      <alignment vertical="center" wrapText="1"/>
    </xf>
    <xf numFmtId="0" fontId="58" fillId="0" borderId="84" xfId="0" applyFont="1" applyBorder="1" applyAlignment="1">
      <alignment horizontal="right" vertical="center" wrapText="1"/>
    </xf>
    <xf numFmtId="0" fontId="58" fillId="0" borderId="86" xfId="0" applyFont="1" applyBorder="1" applyAlignment="1">
      <alignment horizontal="right" vertical="center" wrapText="1"/>
    </xf>
    <xf numFmtId="0" fontId="0" fillId="5" borderId="0" xfId="0" applyFill="1" applyAlignment="1">
      <alignment horizontal="center"/>
    </xf>
    <xf numFmtId="0" fontId="59" fillId="5" borderId="0" xfId="0" applyFont="1" applyFill="1"/>
    <xf numFmtId="9" fontId="0" fillId="5" borderId="0" xfId="0" applyNumberFormat="1" applyFill="1"/>
    <xf numFmtId="0" fontId="43" fillId="18" borderId="0" xfId="0" applyFont="1" applyFill="1" applyAlignment="1">
      <alignment horizontal="right"/>
    </xf>
    <xf numFmtId="0" fontId="45" fillId="18" borderId="84" xfId="0" applyFont="1" applyFill="1" applyBorder="1" applyAlignment="1">
      <alignment horizontal="center" vertical="center" wrapText="1"/>
    </xf>
    <xf numFmtId="164" fontId="0" fillId="4" borderId="64" xfId="1" applyNumberFormat="1" applyFont="1" applyFill="1" applyBorder="1"/>
    <xf numFmtId="0" fontId="45" fillId="18" borderId="86" xfId="0" applyFont="1" applyFill="1" applyBorder="1" applyAlignment="1">
      <alignment vertical="center" wrapText="1"/>
    </xf>
    <xf numFmtId="0" fontId="45" fillId="5" borderId="87" xfId="0" applyFont="1" applyFill="1" applyBorder="1" applyAlignment="1">
      <alignment horizontal="left" vertical="center" wrapText="1"/>
    </xf>
    <xf numFmtId="1" fontId="45" fillId="5" borderId="87" xfId="0" applyNumberFormat="1" applyFont="1" applyFill="1" applyBorder="1" applyAlignment="1">
      <alignment horizontal="left" vertical="center" wrapText="1"/>
    </xf>
    <xf numFmtId="173" fontId="45" fillId="5" borderId="87" xfId="6" applyNumberFormat="1" applyFont="1" applyFill="1" applyBorder="1" applyAlignment="1">
      <alignment horizontal="left" vertical="center" wrapText="1"/>
    </xf>
    <xf numFmtId="0" fontId="45" fillId="5" borderId="0" xfId="0" applyFont="1" applyFill="1" applyAlignment="1">
      <alignment horizontal="justify" vertical="center" wrapText="1"/>
    </xf>
    <xf numFmtId="9" fontId="45" fillId="24" borderId="87" xfId="0" applyNumberFormat="1" applyFont="1" applyFill="1" applyBorder="1" applyAlignment="1">
      <alignment horizontal="justify" vertical="center" wrapText="1"/>
    </xf>
    <xf numFmtId="0" fontId="36" fillId="2" borderId="0" xfId="0" applyFont="1" applyFill="1" applyAlignment="1">
      <alignment horizontal="center"/>
    </xf>
    <xf numFmtId="0" fontId="36" fillId="27" borderId="0" xfId="0" applyFont="1" applyFill="1" applyAlignment="1">
      <alignment horizontal="center" vertical="center"/>
    </xf>
    <xf numFmtId="0" fontId="60" fillId="0" borderId="0" xfId="0" applyFont="1"/>
    <xf numFmtId="0" fontId="5" fillId="2" borderId="10" xfId="1" applyNumberFormat="1" applyFont="1" applyFill="1" applyBorder="1"/>
    <xf numFmtId="9" fontId="4" fillId="0" borderId="0" xfId="2" applyFont="1"/>
    <xf numFmtId="10" fontId="0" fillId="0" borderId="0" xfId="0" applyNumberFormat="1"/>
    <xf numFmtId="9" fontId="4" fillId="0" borderId="1" xfId="2" applyFont="1" applyBorder="1"/>
    <xf numFmtId="0" fontId="2" fillId="0" borderId="70" xfId="0" applyFont="1" applyBorder="1" applyAlignment="1">
      <alignment horizontal="center" vertical="center"/>
    </xf>
    <xf numFmtId="0" fontId="0" fillId="0" borderId="70" xfId="0" applyBorder="1"/>
    <xf numFmtId="0" fontId="1" fillId="2" borderId="69" xfId="0" applyFont="1" applyFill="1" applyBorder="1" applyAlignment="1">
      <alignment horizontal="centerContinuous"/>
    </xf>
    <xf numFmtId="0" fontId="1" fillId="2" borderId="91" xfId="0" applyFont="1" applyFill="1" applyBorder="1" applyAlignment="1">
      <alignment horizontal="center" vertical="center"/>
    </xf>
    <xf numFmtId="164" fontId="1" fillId="2" borderId="91" xfId="1" applyNumberFormat="1" applyFont="1" applyFill="1" applyBorder="1" applyAlignment="1">
      <alignment horizontal="center" vertical="center"/>
    </xf>
    <xf numFmtId="164" fontId="0" fillId="0" borderId="91" xfId="1" applyNumberFormat="1" applyFont="1" applyBorder="1"/>
    <xf numFmtId="164" fontId="1" fillId="4" borderId="91" xfId="1" applyNumberFormat="1" applyFont="1" applyFill="1" applyBorder="1" applyAlignment="1">
      <alignment horizontal="center" vertical="center"/>
    </xf>
    <xf numFmtId="0" fontId="11" fillId="0" borderId="92" xfId="0" applyFont="1" applyBorder="1" applyAlignment="1">
      <alignment horizontal="center" vertical="center"/>
    </xf>
    <xf numFmtId="0" fontId="11" fillId="0" borderId="92" xfId="0" applyFont="1" applyBorder="1" applyAlignment="1">
      <alignment horizontal="left" vertical="center" wrapText="1"/>
    </xf>
    <xf numFmtId="0" fontId="11" fillId="0" borderId="92" xfId="0" applyFont="1" applyBorder="1" applyAlignment="1">
      <alignment vertical="center"/>
    </xf>
    <xf numFmtId="171" fontId="11" fillId="0" borderId="92" xfId="5" applyNumberFormat="1" applyFont="1" applyBorder="1" applyAlignment="1">
      <alignment vertical="center"/>
    </xf>
    <xf numFmtId="167" fontId="15" fillId="10" borderId="55" xfId="5" applyFont="1" applyFill="1" applyBorder="1" applyAlignment="1" applyProtection="1">
      <alignment horizontal="center" vertical="center" wrapText="1"/>
      <protection locked="0"/>
    </xf>
    <xf numFmtId="171" fontId="11" fillId="0" borderId="92" xfId="5" applyNumberFormat="1" applyFont="1" applyBorder="1" applyAlignment="1">
      <alignment horizontal="right" vertical="center" wrapText="1"/>
    </xf>
    <xf numFmtId="0" fontId="0" fillId="16" borderId="92" xfId="0" applyFill="1" applyBorder="1" applyAlignment="1">
      <alignment horizontal="centerContinuous"/>
    </xf>
    <xf numFmtId="0" fontId="0" fillId="16" borderId="92" xfId="0" applyFill="1" applyBorder="1" applyAlignment="1">
      <alignment horizontal="center"/>
    </xf>
    <xf numFmtId="0" fontId="0" fillId="0" borderId="92" xfId="0" applyBorder="1"/>
    <xf numFmtId="43" fontId="0" fillId="0" borderId="92" xfId="1" applyFont="1" applyBorder="1"/>
    <xf numFmtId="0" fontId="0" fillId="3" borderId="92" xfId="0" applyFill="1" applyBorder="1"/>
    <xf numFmtId="43" fontId="0" fillId="0" borderId="0" xfId="1" applyFont="1" applyBorder="1"/>
    <xf numFmtId="0" fontId="15" fillId="5" borderId="92" xfId="0" applyFont="1" applyFill="1" applyBorder="1" applyAlignment="1" applyProtection="1">
      <alignment horizontal="center" vertical="center" wrapText="1"/>
      <protection locked="0"/>
    </xf>
    <xf numFmtId="164" fontId="0" fillId="0" borderId="92" xfId="0" applyNumberFormat="1" applyBorder="1"/>
    <xf numFmtId="0" fontId="5" fillId="2" borderId="93" xfId="0" applyFont="1" applyFill="1" applyBorder="1" applyAlignment="1" applyProtection="1">
      <alignment horizontal="center" vertical="center" wrapText="1"/>
      <protection locked="0"/>
    </xf>
    <xf numFmtId="0" fontId="5" fillId="2" borderId="94" xfId="0" applyFont="1" applyFill="1" applyBorder="1" applyAlignment="1" applyProtection="1">
      <alignment horizontal="center" vertical="center" wrapText="1"/>
      <protection locked="0"/>
    </xf>
    <xf numFmtId="176" fontId="0" fillId="0" borderId="92" xfId="1" applyNumberFormat="1" applyFont="1" applyBorder="1"/>
    <xf numFmtId="43" fontId="5" fillId="2" borderId="94" xfId="1" applyFont="1" applyFill="1" applyBorder="1" applyAlignment="1" applyProtection="1">
      <alignment horizontal="center" vertical="center" wrapText="1"/>
      <protection locked="0"/>
    </xf>
    <xf numFmtId="164" fontId="4" fillId="0" borderId="92" xfId="1" applyNumberFormat="1" applyFont="1" applyBorder="1"/>
    <xf numFmtId="0" fontId="62" fillId="0" borderId="0" xfId="0" applyFont="1"/>
    <xf numFmtId="0" fontId="0" fillId="3" borderId="0" xfId="0" applyFill="1"/>
    <xf numFmtId="0" fontId="13" fillId="3" borderId="0" xfId="0" applyFont="1" applyFill="1"/>
    <xf numFmtId="0" fontId="13" fillId="3" borderId="95" xfId="0" applyFont="1" applyFill="1" applyBorder="1"/>
    <xf numFmtId="164" fontId="0" fillId="3" borderId="0" xfId="1" applyNumberFormat="1" applyFont="1" applyFill="1"/>
    <xf numFmtId="0" fontId="0" fillId="28" borderId="0" xfId="0" applyFill="1"/>
    <xf numFmtId="0" fontId="0" fillId="0" borderId="1" xfId="0" applyBorder="1" applyAlignment="1">
      <alignment horizontal="left" vertical="center" wrapText="1"/>
    </xf>
    <xf numFmtId="0" fontId="63" fillId="5" borderId="0" xfId="0" applyFont="1" applyFill="1"/>
    <xf numFmtId="9" fontId="0" fillId="0" borderId="1" xfId="2" applyFont="1" applyBorder="1"/>
    <xf numFmtId="14" fontId="0" fillId="0" borderId="1" xfId="0" applyNumberFormat="1" applyBorder="1"/>
    <xf numFmtId="164" fontId="0" fillId="0" borderId="1" xfId="1" applyNumberFormat="1" applyFont="1" applyBorder="1"/>
    <xf numFmtId="0" fontId="13" fillId="29" borderId="0" xfId="0" applyFont="1" applyFill="1"/>
    <xf numFmtId="0" fontId="13" fillId="29" borderId="96" xfId="0" applyFont="1" applyFill="1" applyBorder="1"/>
    <xf numFmtId="164" fontId="13" fillId="29" borderId="97" xfId="1" applyNumberFormat="1" applyFont="1" applyFill="1" applyBorder="1"/>
    <xf numFmtId="0" fontId="64" fillId="0" borderId="98" xfId="0" applyFont="1" applyBorder="1" applyAlignment="1">
      <alignment vertical="center" wrapText="1"/>
    </xf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102" xfId="0" applyBorder="1"/>
    <xf numFmtId="0" fontId="0" fillId="0" borderId="103" xfId="0" applyBorder="1"/>
    <xf numFmtId="0" fontId="0" fillId="0" borderId="1" xfId="0" applyBorder="1" applyAlignment="1">
      <alignment horizontal="left" vertical="center" wrapText="1"/>
    </xf>
    <xf numFmtId="0" fontId="17" fillId="11" borderId="43" xfId="4" applyFont="1" applyFill="1" applyBorder="1" applyAlignment="1">
      <alignment horizontal="center" vertical="center"/>
    </xf>
    <xf numFmtId="0" fontId="17" fillId="11" borderId="0" xfId="4" applyFont="1" applyFill="1" applyAlignment="1">
      <alignment horizontal="center" vertical="center"/>
    </xf>
    <xf numFmtId="0" fontId="17" fillId="11" borderId="1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7" fillId="11" borderId="1" xfId="4" applyFont="1" applyFill="1" applyBorder="1" applyAlignment="1">
      <alignment horizontal="left" vertical="center"/>
    </xf>
    <xf numFmtId="164" fontId="5" fillId="2" borderId="52" xfId="1" applyNumberFormat="1" applyFont="1" applyFill="1" applyBorder="1" applyAlignment="1">
      <alignment horizontal="center" vertical="center"/>
    </xf>
    <xf numFmtId="164" fontId="5" fillId="2" borderId="53" xfId="1" applyNumberFormat="1" applyFont="1" applyFill="1" applyBorder="1" applyAlignment="1">
      <alignment horizontal="center" vertical="center"/>
    </xf>
    <xf numFmtId="164" fontId="5" fillId="2" borderId="54" xfId="1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0" fillId="0" borderId="0" xfId="0" applyAlignment="1">
      <alignment horizontal="right" indent="1"/>
    </xf>
    <xf numFmtId="0" fontId="1" fillId="2" borderId="1" xfId="0" applyFont="1" applyFill="1" applyBorder="1" applyAlignment="1">
      <alignment horizontal="center" vertical="center"/>
    </xf>
    <xf numFmtId="164" fontId="5" fillId="2" borderId="62" xfId="1" applyNumberFormat="1" applyFont="1" applyFill="1" applyBorder="1" applyAlignment="1">
      <alignment vertical="center"/>
    </xf>
    <xf numFmtId="164" fontId="5" fillId="2" borderId="26" xfId="1" applyNumberFormat="1" applyFont="1" applyFill="1" applyBorder="1" applyAlignment="1">
      <alignment vertical="center"/>
    </xf>
    <xf numFmtId="164" fontId="5" fillId="2" borderId="27" xfId="1" applyNumberFormat="1" applyFont="1" applyFill="1" applyBorder="1" applyAlignment="1">
      <alignment vertical="center"/>
    </xf>
    <xf numFmtId="0" fontId="32" fillId="19" borderId="67" xfId="0" applyFont="1" applyFill="1" applyBorder="1" applyAlignment="1" applyProtection="1">
      <alignment horizontal="center" vertical="center"/>
      <protection locked="0"/>
    </xf>
    <xf numFmtId="0" fontId="32" fillId="19" borderId="0" xfId="0" applyFont="1" applyFill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9" fontId="4" fillId="0" borderId="1" xfId="2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5" fillId="2" borderId="94" xfId="1" applyFont="1" applyFill="1" applyBorder="1" applyAlignment="1" applyProtection="1">
      <alignment horizontal="left" vertical="center" wrapText="1"/>
      <protection locked="0"/>
    </xf>
    <xf numFmtId="0" fontId="13" fillId="5" borderId="65" xfId="0" applyFont="1" applyFill="1" applyBorder="1" applyAlignment="1">
      <alignment horizontal="center"/>
    </xf>
    <xf numFmtId="0" fontId="38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61" fillId="22" borderId="0" xfId="7" applyFont="1" applyFill="1" applyAlignment="1">
      <alignment horizontal="center"/>
    </xf>
    <xf numFmtId="0" fontId="60" fillId="22" borderId="0" xfId="0" applyFont="1" applyFill="1" applyAlignment="1">
      <alignment horizontal="center"/>
    </xf>
    <xf numFmtId="14" fontId="27" fillId="22" borderId="73" xfId="0" applyNumberFormat="1" applyFont="1" applyFill="1" applyBorder="1" applyAlignment="1">
      <alignment horizontal="left" vertical="center" wrapText="1"/>
    </xf>
    <xf numFmtId="14" fontId="27" fillId="22" borderId="74" xfId="0" applyNumberFormat="1" applyFont="1" applyFill="1" applyBorder="1" applyAlignment="1">
      <alignment horizontal="left" vertical="center" wrapText="1"/>
    </xf>
    <xf numFmtId="0" fontId="42" fillId="5" borderId="83" xfId="0" applyFont="1" applyFill="1" applyBorder="1" applyAlignment="1">
      <alignment horizontal="center" vertical="center"/>
    </xf>
    <xf numFmtId="0" fontId="2" fillId="18" borderId="70" xfId="0" applyFont="1" applyFill="1" applyBorder="1" applyAlignment="1">
      <alignment horizontal="right" vertical="center" wrapText="1"/>
    </xf>
    <xf numFmtId="0" fontId="2" fillId="18" borderId="63" xfId="0" applyFont="1" applyFill="1" applyBorder="1" applyAlignment="1">
      <alignment horizontal="right" vertical="center" wrapText="1"/>
    </xf>
    <xf numFmtId="0" fontId="27" fillId="22" borderId="75" xfId="0" applyFont="1" applyFill="1" applyBorder="1" applyAlignment="1">
      <alignment horizontal="left" vertical="center" wrapText="1"/>
    </xf>
    <xf numFmtId="0" fontId="27" fillId="22" borderId="0" xfId="0" applyFont="1" applyFill="1" applyAlignment="1">
      <alignment horizontal="left" vertical="center" wrapText="1"/>
    </xf>
    <xf numFmtId="0" fontId="27" fillId="22" borderId="76" xfId="0" applyFont="1" applyFill="1" applyBorder="1" applyAlignment="1">
      <alignment horizontal="left" vertical="center" wrapText="1"/>
    </xf>
    <xf numFmtId="0" fontId="2" fillId="18" borderId="59" xfId="0" applyFont="1" applyFill="1" applyBorder="1" applyAlignment="1">
      <alignment horizontal="right" vertical="center" wrapText="1"/>
    </xf>
    <xf numFmtId="0" fontId="2" fillId="18" borderId="61" xfId="0" applyFont="1" applyFill="1" applyBorder="1" applyAlignment="1">
      <alignment horizontal="right" vertical="center" wrapText="1"/>
    </xf>
    <xf numFmtId="0" fontId="27" fillId="22" borderId="1" xfId="0" applyFont="1" applyFill="1" applyBorder="1" applyAlignment="1">
      <alignment horizontal="left" vertical="center" wrapText="1" indent="1"/>
    </xf>
    <xf numFmtId="0" fontId="41" fillId="5" borderId="56" xfId="0" applyFont="1" applyFill="1" applyBorder="1" applyAlignment="1">
      <alignment horizontal="center" vertical="center"/>
    </xf>
    <xf numFmtId="0" fontId="41" fillId="5" borderId="43" xfId="0" applyFont="1" applyFill="1" applyBorder="1" applyAlignment="1">
      <alignment horizontal="center" vertical="center"/>
    </xf>
    <xf numFmtId="0" fontId="41" fillId="5" borderId="59" xfId="0" applyFont="1" applyFill="1" applyBorder="1" applyAlignment="1">
      <alignment horizontal="center" vertical="center"/>
    </xf>
    <xf numFmtId="0" fontId="2" fillId="18" borderId="56" xfId="0" applyFont="1" applyFill="1" applyBorder="1" applyAlignment="1">
      <alignment horizontal="right" vertical="center" wrapText="1"/>
    </xf>
    <xf numFmtId="0" fontId="2" fillId="18" borderId="58" xfId="0" applyFont="1" applyFill="1" applyBorder="1" applyAlignment="1">
      <alignment horizontal="right" vertical="center" wrapText="1"/>
    </xf>
    <xf numFmtId="14" fontId="27" fillId="22" borderId="0" xfId="0" applyNumberFormat="1" applyFont="1" applyFill="1" applyAlignment="1">
      <alignment horizontal="left" vertical="center" wrapText="1"/>
    </xf>
    <xf numFmtId="0" fontId="2" fillId="5" borderId="57" xfId="0" applyFont="1" applyFill="1" applyBorder="1" applyAlignment="1">
      <alignment horizontal="center" vertical="center"/>
    </xf>
    <xf numFmtId="0" fontId="2" fillId="5" borderId="60" xfId="0" applyFont="1" applyFill="1" applyBorder="1" applyAlignment="1">
      <alignment horizontal="center" vertical="center"/>
    </xf>
    <xf numFmtId="0" fontId="27" fillId="22" borderId="77" xfId="0" applyFont="1" applyFill="1" applyBorder="1" applyAlignment="1">
      <alignment horizontal="left" vertical="center" wrapText="1"/>
    </xf>
    <xf numFmtId="0" fontId="27" fillId="22" borderId="78" xfId="0" applyFont="1" applyFill="1" applyBorder="1" applyAlignment="1">
      <alignment horizontal="left" vertical="center" wrapText="1"/>
    </xf>
    <xf numFmtId="0" fontId="27" fillId="22" borderId="79" xfId="0" applyFont="1" applyFill="1" applyBorder="1" applyAlignment="1">
      <alignment horizontal="left" vertical="center" wrapText="1"/>
    </xf>
    <xf numFmtId="0" fontId="27" fillId="22" borderId="69" xfId="0" applyFont="1" applyFill="1" applyBorder="1" applyAlignment="1">
      <alignment horizontal="left" vertical="center" wrapText="1" indent="1"/>
    </xf>
    <xf numFmtId="0" fontId="41" fillId="5" borderId="70" xfId="0" applyFont="1" applyFill="1" applyBorder="1" applyAlignment="1">
      <alignment horizontal="center" vertical="center"/>
    </xf>
    <xf numFmtId="0" fontId="27" fillId="22" borderId="80" xfId="0" applyFont="1" applyFill="1" applyBorder="1" applyAlignment="1">
      <alignment horizontal="left" vertical="center" wrapText="1" indent="1"/>
    </xf>
    <xf numFmtId="0" fontId="27" fillId="22" borderId="81" xfId="0" applyFont="1" applyFill="1" applyBorder="1" applyAlignment="1">
      <alignment horizontal="left" vertical="center" wrapText="1" indent="1"/>
    </xf>
    <xf numFmtId="0" fontId="27" fillId="22" borderId="82" xfId="0" applyFont="1" applyFill="1" applyBorder="1" applyAlignment="1">
      <alignment horizontal="left" vertical="center" wrapText="1" indent="1"/>
    </xf>
    <xf numFmtId="0" fontId="2" fillId="18" borderId="75" xfId="0" applyFont="1" applyFill="1" applyBorder="1" applyAlignment="1">
      <alignment horizontal="left" vertical="center" wrapText="1" inden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45" fillId="18" borderId="84" xfId="0" applyFont="1" applyFill="1" applyBorder="1" applyAlignment="1">
      <alignment horizontal="center" vertical="center" wrapText="1"/>
    </xf>
    <xf numFmtId="0" fontId="45" fillId="18" borderId="86" xfId="0" applyFont="1" applyFill="1" applyBorder="1" applyAlignment="1">
      <alignment horizontal="center" vertical="center" wrapText="1"/>
    </xf>
    <xf numFmtId="0" fontId="58" fillId="25" borderId="84" xfId="0" applyFont="1" applyFill="1" applyBorder="1" applyAlignment="1">
      <alignment horizontal="center" vertical="center" wrapText="1"/>
    </xf>
    <xf numFmtId="0" fontId="58" fillId="25" borderId="85" xfId="0" applyFont="1" applyFill="1" applyBorder="1" applyAlignment="1">
      <alignment horizontal="center" vertical="center" wrapText="1"/>
    </xf>
    <xf numFmtId="0" fontId="58" fillId="25" borderId="86" xfId="0" applyFont="1" applyFill="1" applyBorder="1" applyAlignment="1">
      <alignment horizontal="center" vertical="center" wrapText="1"/>
    </xf>
    <xf numFmtId="0" fontId="2" fillId="18" borderId="77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7" fillId="22" borderId="75" xfId="0" applyFont="1" applyFill="1" applyBorder="1" applyAlignment="1">
      <alignment horizontal="left" vertical="center" wrapText="1" indent="1"/>
    </xf>
    <xf numFmtId="0" fontId="27" fillId="22" borderId="0" xfId="0" applyFont="1" applyFill="1" applyAlignment="1">
      <alignment horizontal="left" vertical="center" wrapText="1" indent="1"/>
    </xf>
    <xf numFmtId="0" fontId="27" fillId="22" borderId="76" xfId="0" applyFont="1" applyFill="1" applyBorder="1" applyAlignment="1">
      <alignment horizontal="left" vertical="center" wrapText="1" indent="1"/>
    </xf>
    <xf numFmtId="0" fontId="27" fillId="22" borderId="77" xfId="0" applyFont="1" applyFill="1" applyBorder="1" applyAlignment="1">
      <alignment horizontal="left" vertical="center" wrapText="1" indent="1"/>
    </xf>
    <xf numFmtId="0" fontId="27" fillId="22" borderId="78" xfId="0" applyFont="1" applyFill="1" applyBorder="1" applyAlignment="1">
      <alignment horizontal="left" vertical="center" wrapText="1" indent="1"/>
    </xf>
    <xf numFmtId="0" fontId="27" fillId="22" borderId="79" xfId="0" applyFont="1" applyFill="1" applyBorder="1" applyAlignment="1">
      <alignment horizontal="left" vertical="center" wrapText="1" indent="1"/>
    </xf>
    <xf numFmtId="0" fontId="41" fillId="5" borderId="75" xfId="0" applyFont="1" applyFill="1" applyBorder="1" applyAlignment="1">
      <alignment horizontal="center" vertical="center"/>
    </xf>
    <xf numFmtId="0" fontId="41" fillId="5" borderId="77" xfId="0" applyFont="1" applyFill="1" applyBorder="1" applyAlignment="1">
      <alignment horizontal="center" vertical="center"/>
    </xf>
    <xf numFmtId="0" fontId="46" fillId="22" borderId="84" xfId="0" applyFont="1" applyFill="1" applyBorder="1" applyAlignment="1">
      <alignment horizontal="center" vertical="center" wrapText="1"/>
    </xf>
    <xf numFmtId="0" fontId="46" fillId="22" borderId="85" xfId="0" applyFont="1" applyFill="1" applyBorder="1" applyAlignment="1">
      <alignment horizontal="center" vertical="center" wrapText="1"/>
    </xf>
    <xf numFmtId="164" fontId="18" fillId="5" borderId="1" xfId="1" applyNumberFormat="1" applyFont="1" applyFill="1" applyBorder="1" applyAlignment="1">
      <alignment vertical="center"/>
    </xf>
  </cellXfs>
  <cellStyles count="8">
    <cellStyle name="20 % - Accent1" xfId="3" builtinId="30"/>
    <cellStyle name="Milliers" xfId="1" builtinId="3"/>
    <cellStyle name="Milliers 2" xfId="5" xr:uid="{D08DB033-B380-4065-A3E8-A3C104940C71}"/>
    <cellStyle name="Monétaire" xfId="6" builtinId="4"/>
    <cellStyle name="Normal" xfId="0" builtinId="0"/>
    <cellStyle name="Normal 2" xfId="7" xr:uid="{F585B758-9EBF-475F-BB40-3BFEE0534B76}"/>
    <cellStyle name="Normal 3" xfId="4" xr:uid="{F811DF99-36E7-44D3-B27C-BBD855ABBD68}"/>
    <cellStyle name="Pourcentage" xfId="2" builtinId="5"/>
  </cellStyles>
  <dxfs count="154"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164" formatCode="_-* #,##0_-;\-* #,##0_-;_-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2D44EA"/>
        </patternFill>
      </fill>
    </dxf>
    <dxf>
      <fill>
        <patternFill>
          <bgColor rgb="FF2D44E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 patternType="solid">
          <bgColor rgb="FF2D44EA"/>
        </patternFill>
      </fill>
    </dxf>
    <dxf>
      <fill>
        <patternFill patternType="solid">
          <bgColor rgb="FF2D44EA"/>
        </patternFill>
      </fill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3300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53DA"/>
      <color rgb="FFFFFFCC"/>
      <color rgb="FFFFFF66"/>
      <color rgb="FF648CFC"/>
      <color rgb="FF2D44EA"/>
      <color rgb="FFBDC4F9"/>
      <color rgb="FF89B6FF"/>
      <color rgb="FF29539C"/>
      <color rgb="FF94A7F6"/>
      <color rgb="FFFCAA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styles" Target="styles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2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SYNTHESE!$C$4</c:f>
              <c:strCache>
                <c:ptCount val="1"/>
                <c:pt idx="0">
                  <c:v> CIR </c:v>
                </c:pt>
              </c:strCache>
            </c:strRef>
          </c:tx>
          <c:spPr>
            <a:solidFill>
              <a:srgbClr val="0053DA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25-47DA-B249-A38E4B8F3CEE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25-47DA-B249-A38E4B8F3CEE}"/>
              </c:ext>
            </c:extLst>
          </c:dPt>
          <c:dPt>
            <c:idx val="2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25-47DA-B249-A38E4B8F3CEE}"/>
              </c:ext>
            </c:extLst>
          </c:dPt>
          <c:dPt>
            <c:idx val="3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25-47DA-B249-A38E4B8F3CEE}"/>
              </c:ext>
            </c:extLst>
          </c:dPt>
          <c:dPt>
            <c:idx val="4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25-47DA-B249-A38E4B8F3CEE}"/>
              </c:ext>
            </c:extLst>
          </c:dPt>
          <c:dPt>
            <c:idx val="5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025-47DA-B249-A38E4B8F3CEE}"/>
              </c:ext>
            </c:extLst>
          </c:dPt>
          <c:dPt>
            <c:idx val="6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025-47DA-B249-A38E4B8F3CEE}"/>
              </c:ext>
            </c:extLst>
          </c:dPt>
          <c:dPt>
            <c:idx val="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025-47DA-B249-A38E4B8F3CEE}"/>
              </c:ext>
            </c:extLst>
          </c:dPt>
          <c:dPt>
            <c:idx val="8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025-47DA-B249-A38E4B8F3CEE}"/>
              </c:ext>
            </c:extLst>
          </c:dPt>
          <c:dPt>
            <c:idx val="9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025-47DA-B249-A38E4B8F3CEE}"/>
              </c:ext>
            </c:extLst>
          </c:dPt>
          <c:dPt>
            <c:idx val="10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025-47DA-B249-A38E4B8F3CEE}"/>
              </c:ext>
            </c:extLst>
          </c:dPt>
          <c:dPt>
            <c:idx val="11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025-47DA-B249-A38E4B8F3CEE}"/>
              </c:ext>
            </c:extLst>
          </c:dPt>
          <c:dPt>
            <c:idx val="12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025-47DA-B249-A38E4B8F3CEE}"/>
              </c:ext>
            </c:extLst>
          </c:dPt>
          <c:dPt>
            <c:idx val="13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025-47DA-B249-A38E4B8F3CEE}"/>
              </c:ext>
            </c:extLst>
          </c:dPt>
          <c:dLbls>
            <c:dLbl>
              <c:idx val="1"/>
              <c:layout>
                <c:manualLayout>
                  <c:x val="8.7408457358847155E-2"/>
                  <c:y val="-6.64672648720505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25-47DA-B249-A38E4B8F3C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SYNTHESE!$B$5:$B$18</c:f>
              <c:strCache>
                <c:ptCount val="14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personnel - Jeunes Docteurs</c:v>
                </c:pt>
                <c:pt idx="3">
                  <c:v>Dépenses de fonctionnement</c:v>
                </c:pt>
                <c:pt idx="4">
                  <c:v>Dépenses de prise et maintenance de brevets</c:v>
                </c:pt>
                <c:pt idx="5">
                  <c:v>Dépenses de défense de brevets</c:v>
                </c:pt>
                <c:pt idx="6">
                  <c:v>Dotations aux amortissements des brevets</c:v>
                </c:pt>
                <c:pt idx="7">
                  <c:v>Dépenses de normalisation</c:v>
                </c:pt>
                <c:pt idx="8">
                  <c:v>Dépenses de primes et cotisations assurances brevets</c:v>
                </c:pt>
                <c:pt idx="9">
                  <c:v>Dépenses de veille technologique</c:v>
                </c:pt>
                <c:pt idx="10">
                  <c:v>Dépenses engagées auprès de prestataires externes privés ou publics français</c:v>
                </c:pt>
                <c:pt idx="11">
                  <c:v>Dépenses engagées auprès de prestataires externes privés ou publics communautaires</c:v>
                </c:pt>
                <c:pt idx="12">
                  <c:v>Dépenses engagées auprès de prestataires français avec lien de dépendance</c:v>
                </c:pt>
                <c:pt idx="13">
                  <c:v>Dépenses engagées auprès de prestataires communautaires avec lien de dépendance</c:v>
                </c:pt>
              </c:strCache>
            </c:strRef>
          </c:cat>
          <c:val>
            <c:numRef>
              <c:f>SYNTHESE!$C$5:$C$18</c:f>
              <c:numCache>
                <c:formatCode>_-* #\ ##0_-;\-* #\ ##0_-;_-* "-"??_-;_-@_-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025-47DA-B249-A38E4B8F3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245105745319489"/>
          <c:y val="0.14061374691703246"/>
          <c:w val="0.53509788509361023"/>
          <c:h val="0.73183438077113416"/>
        </c:manualLayout>
      </c:layout>
      <c:pieChart>
        <c:varyColors val="1"/>
        <c:ser>
          <c:idx val="0"/>
          <c:order val="0"/>
          <c:tx>
            <c:strRef>
              <c:f>SYNTHESE!$D$4</c:f>
              <c:strCache>
                <c:ptCount val="1"/>
                <c:pt idx="0">
                  <c:v> CII </c:v>
                </c:pt>
              </c:strCache>
            </c:strRef>
          </c:tx>
          <c:spPr>
            <a:solidFill>
              <a:srgbClr val="FF9999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AB-4F0A-8A49-DC6151705B8C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AB-4F0A-8A49-DC6151705B8C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AB-4F0A-8A49-DC6151705B8C}"/>
              </c:ext>
            </c:extLst>
          </c:dPt>
          <c:dPt>
            <c:idx val="3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AB-4F0A-8A49-DC6151705B8C}"/>
              </c:ext>
            </c:extLst>
          </c:dPt>
          <c:dPt>
            <c:idx val="4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AB-4F0A-8A49-DC6151705B8C}"/>
              </c:ext>
            </c:extLst>
          </c:dPt>
          <c:dLbls>
            <c:dLbl>
              <c:idx val="2"/>
              <c:layout>
                <c:manualLayout>
                  <c:x val="0.30823126531250145"/>
                  <c:y val="-9.580962851498651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258316440742628"/>
                      <c:h val="0.151372197165078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6AB-4F0A-8A49-DC6151705B8C}"/>
                </c:ext>
              </c:extLst>
            </c:dLbl>
            <c:dLbl>
              <c:idx val="4"/>
              <c:layout>
                <c:manualLayout>
                  <c:x val="-1.1675423234092236E-2"/>
                  <c:y val="4.15169608478211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08556614311129"/>
                      <c:h val="0.222220853132053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6AB-4F0A-8A49-DC6151705B8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(SYNTHESE!$B$5:$B$6,SYNTHESE!$B$9:$B$10,SYNTHESE!$B$15)</c:f>
              <c:strCache>
                <c:ptCount val="5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prise et maintenance de brevets</c:v>
                </c:pt>
                <c:pt idx="3">
                  <c:v>Dépenses de défense de brevets</c:v>
                </c:pt>
                <c:pt idx="4">
                  <c:v>Dépenses engagées auprès de prestataires externes privés ou publics français</c:v>
                </c:pt>
              </c:strCache>
            </c:strRef>
          </c:cat>
          <c:val>
            <c:numRef>
              <c:f>(SYNTHESE!$D$5:$D$6,SYNTHESE!$D$9:$D$10,SYNTHESE!$D$15)</c:f>
              <c:numCache>
                <c:formatCode>_-* #\ ##0_-;\-* #\ ##0_-;_-* "-"??_-;_-@_-</c:formatCode>
                <c:ptCount val="5"/>
                <c:pt idx="0">
                  <c:v>1803.8582636643459</c:v>
                </c:pt>
                <c:pt idx="1">
                  <c:v>157130.66716306127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6AB-4F0A-8A49-DC6151705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PPT!$S$29</c:f>
              <c:strCache>
                <c:ptCount val="1"/>
                <c:pt idx="0">
                  <c:v>Heures CIR</c:v>
                </c:pt>
              </c:strCache>
            </c:strRef>
          </c:tx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C6-4E8B-AF8C-3D94126844AB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3C6-4E8B-AF8C-3D94126844AB}"/>
              </c:ext>
            </c:extLst>
          </c:dPt>
          <c:dPt>
            <c:idx val="2"/>
            <c:bubble3D val="0"/>
            <c:explosion val="1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C6-4E8B-AF8C-3D94126844AB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3C6-4E8B-AF8C-3D94126844AB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3C6-4E8B-AF8C-3D94126844AB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3C6-4E8B-AF8C-3D94126844AB}"/>
              </c:ext>
            </c:extLst>
          </c:dPt>
          <c:dPt>
            <c:idx val="6"/>
            <c:bubble3D val="0"/>
            <c:spPr>
              <a:solidFill>
                <a:srgbClr val="192D4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3C6-4E8B-AF8C-3D94126844AB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C6-4E8B-AF8C-3D94126844AB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C6-4E8B-AF8C-3D94126844AB}"/>
              </c:ext>
            </c:extLst>
          </c:dPt>
          <c:dLbls>
            <c:dLbl>
              <c:idx val="0"/>
              <c:layout>
                <c:manualLayout>
                  <c:x val="7.4737947343252953E-2"/>
                  <c:y val="1.83772670601813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C6-4E8B-AF8C-3D94126844AB}"/>
                </c:ext>
              </c:extLst>
            </c:dLbl>
            <c:dLbl>
              <c:idx val="1"/>
              <c:layout>
                <c:manualLayout>
                  <c:x val="6.7505242761647835E-2"/>
                  <c:y val="4.41054409444352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C6-4E8B-AF8C-3D94126844AB}"/>
                </c:ext>
              </c:extLst>
            </c:dLbl>
            <c:dLbl>
              <c:idx val="3"/>
              <c:layout>
                <c:manualLayout>
                  <c:x val="5.7861636652840998E-2"/>
                  <c:y val="0.110263602361088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C6-4E8B-AF8C-3D94126844AB}"/>
                </c:ext>
              </c:extLst>
            </c:dLbl>
            <c:dLbl>
              <c:idx val="5"/>
              <c:layout>
                <c:manualLayout>
                  <c:x val="4.821803054403412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C6-4E8B-AF8C-3D94126844AB}"/>
                </c:ext>
              </c:extLst>
            </c:dLbl>
            <c:dLbl>
              <c:idx val="6"/>
              <c:layout>
                <c:manualLayout>
                  <c:x val="-6.991614428884955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C6-4E8B-AF8C-3D94126844AB}"/>
                </c:ext>
              </c:extLst>
            </c:dLbl>
            <c:dLbl>
              <c:idx val="7"/>
              <c:layout>
                <c:manualLayout>
                  <c:x val="-9.4025159560866642E-2"/>
                  <c:y val="9.55617887129430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C6-4E8B-AF8C-3D94126844AB}"/>
                </c:ext>
              </c:extLst>
            </c:dLbl>
            <c:dLbl>
              <c:idx val="8"/>
              <c:layout>
                <c:manualLayout>
                  <c:x val="-2.4109015272017129E-2"/>
                  <c:y val="3.307908070832642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C6-4E8B-AF8C-3D94126844A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PPT!$S$30:$S$38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6-4E8B-AF8C-3D94126844AB}"/>
            </c:ext>
          </c:extLst>
        </c:ser>
        <c:ser>
          <c:idx val="1"/>
          <c:order val="1"/>
          <c:tx>
            <c:strRef>
              <c:f>PPT!$T$29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9E5-4294-BA70-88B36F592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9E5-4294-BA70-88B36F592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9E5-4294-BA70-88B36F592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9E5-4294-BA70-88B36F592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9E5-4294-BA70-88B36F592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9E5-4294-BA70-88B36F592A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9E5-4294-BA70-88B36F592A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9E5-4294-BA70-88B36F592AF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9E5-4294-BA70-88B36F592AF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PPT!$T$30:$T$38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6-4E8B-AF8C-3D9412684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PPT!$AD$29</c:f>
              <c:strCache>
                <c:ptCount val="1"/>
                <c:pt idx="0">
                  <c:v>Heures CII</c:v>
                </c:pt>
              </c:strCache>
            </c:strRef>
          </c:tx>
          <c:spPr>
            <a:solidFill>
              <a:srgbClr val="0000FF"/>
            </a:solidFill>
          </c:spPr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73-43D3-8AA3-5CC26836FD27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73-43D3-8AA3-5CC26836FD27}"/>
              </c:ext>
            </c:extLst>
          </c:dPt>
          <c:dPt>
            <c:idx val="2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73-43D3-8AA3-5CC26836FD27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73-43D3-8AA3-5CC26836FD27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73-43D3-8AA3-5CC26836FD27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73-43D3-8AA3-5CC26836FD27}"/>
              </c:ext>
            </c:extLst>
          </c:dPt>
          <c:dPt>
            <c:idx val="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73-43D3-8AA3-5CC26836FD27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573-43D3-8AA3-5CC26836FD27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573-43D3-8AA3-5CC26836FD27}"/>
              </c:ext>
            </c:extLst>
          </c:dPt>
          <c:dLbls>
            <c:dLbl>
              <c:idx val="8"/>
              <c:layout>
                <c:manualLayout>
                  <c:x val="-8.1977094635322503E-2"/>
                  <c:y val="4.04299875323989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573-43D3-8AA3-5CC26836FD2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PPT!$AC$30:$AC$38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PPT!$AD$30:$AD$38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3690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655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73-43D3-8AA3-5CC26836FD27}"/>
            </c:ext>
          </c:extLst>
        </c:ser>
        <c:ser>
          <c:idx val="1"/>
          <c:order val="1"/>
          <c:tx>
            <c:strRef>
              <c:f>PPT!$AE$29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573-43D3-8AA3-5CC26836FD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573-43D3-8AA3-5CC26836FD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573-43D3-8AA3-5CC26836FD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3573-43D3-8AA3-5CC26836FD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573-43D3-8AA3-5CC26836FD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573-43D3-8AA3-5CC26836FD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573-43D3-8AA3-5CC26836FD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573-43D3-8AA3-5CC26836FD2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573-43D3-8AA3-5CC26836FD2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PPT!$AC$30:$AC$38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PPT!$AE$30:$AE$38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151496.83973870578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5633.827424355497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573-43D3-8AA3-5CC26836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762000</xdr:colOff>
      <xdr:row>3</xdr:row>
      <xdr:rowOff>13607</xdr:rowOff>
    </xdr:from>
    <xdr:to>
      <xdr:col>16</xdr:col>
      <xdr:colOff>758617</xdr:colOff>
      <xdr:row>24</xdr:row>
      <xdr:rowOff>317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A3E3DA5-BFC0-6E96-5054-522BF9BD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0" y="544286"/>
          <a:ext cx="8907118" cy="42163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3</xdr:col>
      <xdr:colOff>173277</xdr:colOff>
      <xdr:row>17</xdr:row>
      <xdr:rowOff>114300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1196FF07-8484-F8C8-4954-1BC1D9F4B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24400"/>
          <a:ext cx="5097702" cy="1485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0</xdr:row>
          <xdr:rowOff>9525</xdr:rowOff>
        </xdr:from>
        <xdr:to>
          <xdr:col>0</xdr:col>
          <xdr:colOff>2571750</xdr:colOff>
          <xdr:row>1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5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</xdr:row>
          <xdr:rowOff>161925</xdr:rowOff>
        </xdr:from>
        <xdr:to>
          <xdr:col>14</xdr:col>
          <xdr:colOff>571500</xdr:colOff>
          <xdr:row>4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5</xdr:row>
          <xdr:rowOff>104775</xdr:rowOff>
        </xdr:from>
        <xdr:to>
          <xdr:col>14</xdr:col>
          <xdr:colOff>571500</xdr:colOff>
          <xdr:row>7</xdr:row>
          <xdr:rowOff>142875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6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</xdr:row>
          <xdr:rowOff>180975</xdr:rowOff>
        </xdr:from>
        <xdr:to>
          <xdr:col>14</xdr:col>
          <xdr:colOff>552450</xdr:colOff>
          <xdr:row>11</xdr:row>
          <xdr:rowOff>28575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6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12</xdr:row>
          <xdr:rowOff>76200</xdr:rowOff>
        </xdr:from>
        <xdr:to>
          <xdr:col>14</xdr:col>
          <xdr:colOff>504825</xdr:colOff>
          <xdr:row>14</xdr:row>
          <xdr:rowOff>66675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6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masquer les 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15</xdr:row>
          <xdr:rowOff>76200</xdr:rowOff>
        </xdr:from>
        <xdr:to>
          <xdr:col>14</xdr:col>
          <xdr:colOff>457200</xdr:colOff>
          <xdr:row>17</xdr:row>
          <xdr:rowOff>95250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6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Afficher les 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161925</xdr:rowOff>
        </xdr:from>
        <xdr:to>
          <xdr:col>12</xdr:col>
          <xdr:colOff>571500</xdr:colOff>
          <xdr:row>4</xdr:row>
          <xdr:rowOff>133350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5</xdr:row>
          <xdr:rowOff>104775</xdr:rowOff>
        </xdr:from>
        <xdr:to>
          <xdr:col>12</xdr:col>
          <xdr:colOff>571500</xdr:colOff>
          <xdr:row>7</xdr:row>
          <xdr:rowOff>142875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8</xdr:row>
          <xdr:rowOff>180975</xdr:rowOff>
        </xdr:from>
        <xdr:to>
          <xdr:col>12</xdr:col>
          <xdr:colOff>552450</xdr:colOff>
          <xdr:row>11</xdr:row>
          <xdr:rowOff>28575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1600200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des colonnes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781050</xdr:colOff>
          <xdr:row>1</xdr:row>
          <xdr:rowOff>200025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9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Etirer les formules à droite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333375</xdr:colOff>
          <xdr:row>1</xdr:row>
          <xdr:rowOff>9525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C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352425</xdr:colOff>
          <xdr:row>1</xdr:row>
          <xdr:rowOff>9525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C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Immo 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123825</xdr:rowOff>
        </xdr:from>
        <xdr:to>
          <xdr:col>5</xdr:col>
          <xdr:colOff>542925</xdr:colOff>
          <xdr:row>0</xdr:row>
          <xdr:rowOff>323850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C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1047750</xdr:colOff>
          <xdr:row>1</xdr:row>
          <xdr:rowOff>19050</xdr:rowOff>
        </xdr:from>
        <xdr:to>
          <xdr:col>9</xdr:col>
          <xdr:colOff>742950</xdr:colOff>
          <xdr:row>2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F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0</xdr:rowOff>
        </xdr:from>
        <xdr:to>
          <xdr:col>6</xdr:col>
          <xdr:colOff>123825</xdr:colOff>
          <xdr:row>2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F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13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5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19050</xdr:colOff>
          <xdr:row>1</xdr:row>
          <xdr:rowOff>19050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5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ST Q1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19050</xdr:colOff>
          <xdr:row>1</xdr:row>
          <xdr:rowOff>19050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6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38100</xdr:colOff>
          <xdr:row>1</xdr:row>
          <xdr:rowOff>19050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53974</xdr:colOff>
      <xdr:row>2</xdr:row>
      <xdr:rowOff>132556</xdr:rowOff>
    </xdr:from>
    <xdr:to>
      <xdr:col>13</xdr:col>
      <xdr:colOff>317499</xdr:colOff>
      <xdr:row>24</xdr:row>
      <xdr:rowOff>142875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41A5C17-E4F2-4FE4-9285-3214B1124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28574</xdr:colOff>
      <xdr:row>26</xdr:row>
      <xdr:rowOff>11112</xdr:rowOff>
    </xdr:from>
    <xdr:to>
      <xdr:col>13</xdr:col>
      <xdr:colOff>349250</xdr:colOff>
      <xdr:row>50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3066F64-02BD-6046-8188-27070DF8A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744951</xdr:colOff>
      <xdr:row>39</xdr:row>
      <xdr:rowOff>143886</xdr:rowOff>
    </xdr:from>
    <xdr:to>
      <xdr:col>23</xdr:col>
      <xdr:colOff>189326</xdr:colOff>
      <xdr:row>57</xdr:row>
      <xdr:rowOff>170242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44AA474-D5F0-CFC0-55A8-7E97D3C77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751568</xdr:colOff>
      <xdr:row>39</xdr:row>
      <xdr:rowOff>170997</xdr:rowOff>
    </xdr:from>
    <xdr:to>
      <xdr:col>33</xdr:col>
      <xdr:colOff>464911</xdr:colOff>
      <xdr:row>58</xdr:row>
      <xdr:rowOff>6853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17198004-0715-45FA-83B9-C11998B5B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971550</xdr:colOff>
          <xdr:row>0</xdr:row>
          <xdr:rowOff>152400</xdr:rowOff>
        </xdr:from>
        <xdr:to>
          <xdr:col>2</xdr:col>
          <xdr:colOff>3838575</xdr:colOff>
          <xdr:row>1</xdr:row>
          <xdr:rowOff>304800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E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Prévisionnel JEI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iserveur\DOCUMENTS%20METHODOLOGIE%20AUDIT\BUSINOVE%20-%20Dossier%20Unique%20de%20Mission_2012_v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Account%20shares\Digital\89%20LABS\2025\2%20-%20Valorisation%20des%20D&#233;penses\0_FTRA\Paie%202025.xlsx" TargetMode="External"/><Relationship Id="rId1" Type="http://schemas.openxmlformats.org/officeDocument/2006/relationships/externalLinkPath" Target="0_FTRA/Paie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Sommaire"/>
      <sheetName val="Lot1 Société"/>
      <sheetName val="Lot2 Projets R&amp;D"/>
      <sheetName val="Lot3 Valorisation financière"/>
      <sheetName val="Lot4 Dossier Justificatif"/>
      <sheetName val="Lot5 Entretiens - Documents"/>
      <sheetName val="Lot6 Workflow mission"/>
      <sheetName val="Données Listes"/>
      <sheetName val="Projets Vierges"/>
      <sheetName val="Lot1_Société"/>
      <sheetName val="Lot2_Projets_R&amp;D"/>
      <sheetName val="Lot3_Valorisation_financière"/>
      <sheetName val="Lot4_Dossier_Justificatif"/>
      <sheetName val="Lot5_Entretiens_-_Documents"/>
      <sheetName val="Lot6_Workflow_mission"/>
      <sheetName val="Données_Listes"/>
      <sheetName val="Projets_Vierges"/>
      <sheetName val="Lot1_Société1"/>
      <sheetName val="Lot2_Projets_R&amp;D1"/>
      <sheetName val="Lot3_Valorisation_financière1"/>
      <sheetName val="Lot4_Dossier_Justificatif1"/>
      <sheetName val="Lot5_Entretiens_-_Documents1"/>
      <sheetName val="Lot6_Workflow_mission1"/>
      <sheetName val="Données_Listes1"/>
      <sheetName val="Projets_Vierges1"/>
      <sheetName val="Lot1_Société5"/>
      <sheetName val="Lot2_Projets_R&amp;D5"/>
      <sheetName val="Lot3_Valorisation_financière5"/>
      <sheetName val="Lot4_Dossier_Justificatif5"/>
      <sheetName val="Lot5_Entretiens_-_Documents5"/>
      <sheetName val="Lot6_Workflow_mission5"/>
      <sheetName val="Données_Listes5"/>
      <sheetName val="Projets_Vierges5"/>
      <sheetName val="Lot1_Société2"/>
      <sheetName val="Lot2_Projets_R&amp;D2"/>
      <sheetName val="Lot3_Valorisation_financière2"/>
      <sheetName val="Lot4_Dossier_Justificatif2"/>
      <sheetName val="Lot5_Entretiens_-_Documents2"/>
      <sheetName val="Lot6_Workflow_mission2"/>
      <sheetName val="Données_Listes2"/>
      <sheetName val="Projets_Vierges2"/>
      <sheetName val="Lot1_Société4"/>
      <sheetName val="Lot2_Projets_R&amp;D4"/>
      <sheetName val="Lot3_Valorisation_financière4"/>
      <sheetName val="Lot4_Dossier_Justificatif4"/>
      <sheetName val="Lot5_Entretiens_-_Documents4"/>
      <sheetName val="Lot6_Workflow_mission4"/>
      <sheetName val="Données_Listes4"/>
      <sheetName val="Projets_Vierges4"/>
      <sheetName val="Lot1_Société3"/>
      <sheetName val="Lot2_Projets_R&amp;D3"/>
      <sheetName val="Lot3_Valorisation_financière3"/>
      <sheetName val="Lot4_Dossier_Justificatif3"/>
      <sheetName val="Lot5_Entretiens_-_Documents3"/>
      <sheetName val="Lot6_Workflow_mission3"/>
      <sheetName val="Données_Listes3"/>
      <sheetName val="Projets_Vierges3"/>
      <sheetName val="Lot1_Société6"/>
      <sheetName val="Lot2_Projets_R&amp;D6"/>
      <sheetName val="Lot3_Valorisation_financière6"/>
      <sheetName val="Lot4_Dossier_Justificatif6"/>
      <sheetName val="Lot5_Entretiens_-_Documents6"/>
      <sheetName val="Lot6_Workflow_mission6"/>
      <sheetName val="Données_Listes6"/>
      <sheetName val="Projets_Vierges6"/>
      <sheetName val="Lot1_Société7"/>
      <sheetName val="Lot2_Projets_R&amp;D7"/>
      <sheetName val="Lot3_Valorisation_financière7"/>
      <sheetName val="Lot4_Dossier_Justificatif7"/>
      <sheetName val="Lot5_Entretiens_-_Documents7"/>
      <sheetName val="Lot6_Workflow_mission7"/>
      <sheetName val="Données_Listes7"/>
      <sheetName val="Projets_Vierges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-- Sélectionner --</v>
          </cell>
          <cell r="C2" t="str">
            <v>-- Sélectionner --</v>
          </cell>
          <cell r="D2" t="str">
            <v>-- Sélectionner --</v>
          </cell>
          <cell r="E2" t="str">
            <v>-- Sélectionner --</v>
          </cell>
          <cell r="F2" t="str">
            <v>-- Sélectionner --</v>
          </cell>
          <cell r="G2" t="str">
            <v>-- Sélectionner --</v>
          </cell>
          <cell r="H2" t="str">
            <v>-- Sélectionner --</v>
          </cell>
          <cell r="I2" t="str">
            <v>-- Sélectionner --</v>
          </cell>
        </row>
        <row r="3">
          <cell r="B3" t="str">
            <v>Janvier</v>
          </cell>
          <cell r="C3" t="str">
            <v>Administration</v>
          </cell>
          <cell r="D3" t="str">
            <v>cyclique</v>
          </cell>
          <cell r="E3" t="str">
            <v>A1 Automatique</v>
          </cell>
          <cell r="F3" t="str">
            <v>Gestion Interne</v>
          </cell>
          <cell r="G3" t="str">
            <v>1 - Analyses (chimiques, bactériologiques)</v>
          </cell>
          <cell r="H3" t="str">
            <v>1 - Analyses (chimiques, bactériologiques)</v>
          </cell>
          <cell r="I3" t="str">
            <v>Client - Oral</v>
          </cell>
        </row>
        <row r="4">
          <cell r="B4" t="str">
            <v>Février</v>
          </cell>
          <cell r="C4" t="str">
            <v>Association</v>
          </cell>
          <cell r="D4" t="str">
            <v>limité dans le temps</v>
          </cell>
          <cell r="E4" t="str">
            <v>A2 Electronique</v>
          </cell>
          <cell r="F4" t="str">
            <v>Prestataire Externe</v>
          </cell>
          <cell r="G4" t="str">
            <v>2 - Essais (mécaniques, de corrosion, d'endurance)</v>
          </cell>
          <cell r="H4" t="str">
            <v>2 - Essais (mécaniques, de corrosion, d'endurance)</v>
          </cell>
          <cell r="I4" t="str">
            <v>Client - Doc</v>
          </cell>
        </row>
        <row r="5">
          <cell r="B5" t="str">
            <v>Mars</v>
          </cell>
          <cell r="C5" t="str">
            <v xml:space="preserve">Auto-Entrepreneur </v>
          </cell>
          <cell r="D5" t="str">
            <v>permanent</v>
          </cell>
          <cell r="E5" t="str">
            <v>A3 Génie électronique</v>
          </cell>
          <cell r="F5" t="str">
            <v>Expert Comptable</v>
          </cell>
          <cell r="G5" t="str">
            <v>3 - Mesures et contrôles</v>
          </cell>
          <cell r="H5" t="str">
            <v>3 - Mesures et contrôles</v>
          </cell>
          <cell r="I5" t="str">
            <v>Web - Page</v>
          </cell>
        </row>
        <row r="6">
          <cell r="B6" t="str">
            <v>Avril</v>
          </cell>
          <cell r="C6" t="str">
            <v>EIRL</v>
          </cell>
          <cell r="D6" t="str">
            <v>Attente Client</v>
          </cell>
          <cell r="E6" t="str">
            <v>A4 Télécommunications</v>
          </cell>
          <cell r="F6" t="str">
            <v>Expert Fiscaliste</v>
          </cell>
          <cell r="G6" t="str">
            <v>4 - Certification</v>
          </cell>
          <cell r="H6" t="str">
            <v>4 - Certification</v>
          </cell>
          <cell r="I6" t="str">
            <v>Web - Fichier</v>
          </cell>
        </row>
        <row r="7">
          <cell r="B7" t="str">
            <v>Mai</v>
          </cell>
          <cell r="C7" t="str">
            <v>Entreprise Individuelle</v>
          </cell>
          <cell r="D7" t="str">
            <v>NA</v>
          </cell>
          <cell r="E7" t="str">
            <v>A5 Informatique</v>
          </cell>
          <cell r="F7" t="str">
            <v>Hors CIR</v>
          </cell>
          <cell r="G7" t="str">
            <v>5 - Assistance technique, conseil</v>
          </cell>
          <cell r="H7" t="str">
            <v>5 - Assistance technique, conseil</v>
          </cell>
          <cell r="I7" t="str">
            <v>Autre</v>
          </cell>
        </row>
        <row r="8">
          <cell r="B8" t="str">
            <v>Juin</v>
          </cell>
          <cell r="C8" t="str">
            <v>EURL</v>
          </cell>
          <cell r="E8" t="str">
            <v>A6 Optique</v>
          </cell>
          <cell r="F8" t="str">
            <v>Client</v>
          </cell>
          <cell r="G8" t="str">
            <v>6 - Recherches sur contrat</v>
          </cell>
          <cell r="H8" t="str">
            <v>6 - Recherches sur contrat</v>
          </cell>
          <cell r="I8" t="str">
            <v>Attente Client</v>
          </cell>
        </row>
        <row r="9">
          <cell r="B9" t="str">
            <v>Juillet</v>
          </cell>
          <cell r="C9" t="str">
            <v>Fondation</v>
          </cell>
          <cell r="E9" t="str">
            <v>B1 Biologie</v>
          </cell>
          <cell r="F9" t="str">
            <v>Attente Client</v>
          </cell>
          <cell r="G9" t="str">
            <v>7 - Formation</v>
          </cell>
          <cell r="H9" t="str">
            <v>7 - Formation</v>
          </cell>
          <cell r="I9" t="str">
            <v>NA</v>
          </cell>
        </row>
        <row r="10">
          <cell r="B10" t="str">
            <v>Août</v>
          </cell>
          <cell r="C10" t="str">
            <v>GIE</v>
          </cell>
          <cell r="E10" t="str">
            <v>B2 Botanique</v>
          </cell>
          <cell r="F10" t="str">
            <v>NA</v>
          </cell>
          <cell r="G10" t="str">
            <v>8 - Simulation, modélisation, calcul</v>
          </cell>
          <cell r="H10" t="str">
            <v>8 - Simulation, modélisation, calcul</v>
          </cell>
        </row>
        <row r="11">
          <cell r="B11" t="str">
            <v>Septembre</v>
          </cell>
          <cell r="C11" t="str">
            <v>SA</v>
          </cell>
          <cell r="E11" t="str">
            <v>C Chimie</v>
          </cell>
          <cell r="G11" t="str">
            <v>9 - Expertises, audit</v>
          </cell>
          <cell r="H11" t="str">
            <v>9 - Expertises, audit</v>
          </cell>
        </row>
        <row r="12">
          <cell r="B12" t="str">
            <v>Octobre</v>
          </cell>
          <cell r="C12" t="str">
            <v>SARL</v>
          </cell>
          <cell r="E12" t="str">
            <v>E Economie, Sciences de la Gestion</v>
          </cell>
          <cell r="G12" t="str">
            <v>10 - Commercial</v>
          </cell>
          <cell r="H12" t="str">
            <v>10 - Commercial</v>
          </cell>
        </row>
        <row r="13">
          <cell r="B13" t="str">
            <v>Novembre</v>
          </cell>
          <cell r="C13" t="str">
            <v xml:space="preserve">SARL à capital variable </v>
          </cell>
          <cell r="E13" t="str">
            <v>G1 Génie des matériaux</v>
          </cell>
          <cell r="G13" t="str">
            <v>11 - Essais cliniques non précisés</v>
          </cell>
          <cell r="H13" t="str">
            <v>11 - Essais cliniques non précisés</v>
          </cell>
        </row>
        <row r="14">
          <cell r="B14" t="str">
            <v>Décembre</v>
          </cell>
          <cell r="C14" t="str">
            <v>SAS</v>
          </cell>
          <cell r="E14" t="str">
            <v>G2 Génie civil</v>
          </cell>
          <cell r="G14" t="str">
            <v>12 - Essais cliniques Ph I à IIIb</v>
          </cell>
          <cell r="H14" t="str">
            <v>12 - Essais cliniques Ph I à IIIb</v>
          </cell>
        </row>
        <row r="15">
          <cell r="B15" t="str">
            <v>Attente Client</v>
          </cell>
          <cell r="C15" t="str">
            <v>SASU</v>
          </cell>
          <cell r="E15" t="str">
            <v>G3 Mécanique</v>
          </cell>
          <cell r="G15" t="str">
            <v>13 - Essais cliniques Ph IV</v>
          </cell>
          <cell r="H15" t="str">
            <v>13 - Essais cliniques Ph IV</v>
          </cell>
        </row>
        <row r="16">
          <cell r="B16" t="str">
            <v>NA</v>
          </cell>
          <cell r="C16" t="str">
            <v>SCI</v>
          </cell>
          <cell r="E16" t="str">
            <v>G4 Acoustique</v>
          </cell>
          <cell r="G16" t="str">
            <v>14 - Essais cliniques vétérinaires préAMM</v>
          </cell>
          <cell r="H16" t="str">
            <v>14 - Essais cliniques vétérinaires préAMM</v>
          </cell>
        </row>
        <row r="17">
          <cell r="C17" t="str">
            <v>SCOP</v>
          </cell>
          <cell r="E17" t="str">
            <v>H1 Sciences médicales</v>
          </cell>
          <cell r="G17" t="str">
            <v>Attente Client</v>
          </cell>
          <cell r="H17" t="str">
            <v>Attente Client</v>
          </cell>
        </row>
        <row r="18">
          <cell r="C18" t="str">
            <v>SNC</v>
          </cell>
          <cell r="E18" t="str">
            <v>H2 Sciences pharmacologiques</v>
          </cell>
          <cell r="G18" t="str">
            <v>NA</v>
          </cell>
          <cell r="H18" t="str">
            <v>NA</v>
          </cell>
        </row>
        <row r="19">
          <cell r="C19" t="str">
            <v>Attente Client</v>
          </cell>
          <cell r="E19" t="str">
            <v>J Sciences juridiques, Sciences politiques</v>
          </cell>
        </row>
        <row r="20">
          <cell r="C20" t="str">
            <v>NA</v>
          </cell>
          <cell r="E20" t="str">
            <v>K Sciences agronomiques et alimentaires</v>
          </cell>
        </row>
        <row r="21">
          <cell r="E21" t="str">
            <v>L Littérature, Langues, Linguistique, Sciences de l'art, Histoire, Archéologie</v>
          </cell>
        </row>
        <row r="22">
          <cell r="E22" t="str">
            <v>O Océan, Atmosphère, Terre, Environnement naturel</v>
          </cell>
        </row>
        <row r="23">
          <cell r="E23" t="str">
            <v>M Mathématiques</v>
          </cell>
        </row>
        <row r="24">
          <cell r="E24" t="str">
            <v>P Physique fondamentale</v>
          </cell>
        </row>
        <row r="25">
          <cell r="E25" t="str">
            <v>R Philosophie, Psychologie, Sciences de l'éducation, Information et Communication</v>
          </cell>
        </row>
        <row r="26">
          <cell r="E26" t="str">
            <v>S Sociologie, Démographie, Ethnologie, Anthropologie, Géographie, Aménagement de l'espace</v>
          </cell>
        </row>
        <row r="27">
          <cell r="E27" t="str">
            <v>T1 Thermique</v>
          </cell>
        </row>
        <row r="28">
          <cell r="E28" t="str">
            <v>T2 Energétique</v>
          </cell>
        </row>
        <row r="29">
          <cell r="E29" t="str">
            <v>T3 Génie des procédés</v>
          </cell>
        </row>
        <row r="30">
          <cell r="E30" t="str">
            <v>Z Etudes pluridisciplinaires particulières sur un pays, un continent</v>
          </cell>
        </row>
        <row r="31">
          <cell r="E31" t="str">
            <v>Attente Client</v>
          </cell>
        </row>
        <row r="32">
          <cell r="E32" t="str">
            <v>NA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-- Sélectionner --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B2" t="str">
            <v>-- Sélectionner --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 t="str">
            <v>-- Sélectionner --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>
        <row r="2">
          <cell r="B2" t="str">
            <v>-- Sélectionner --</v>
          </cell>
        </row>
      </sheetData>
      <sheetData sheetId="41"/>
      <sheetData sheetId="42"/>
      <sheetData sheetId="43"/>
      <sheetData sheetId="44"/>
      <sheetData sheetId="45"/>
      <sheetData sheetId="46"/>
      <sheetData sheetId="47"/>
      <sheetData sheetId="48">
        <row r="2">
          <cell r="B2" t="str">
            <v>-- Sélectionner --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>
        <row r="2">
          <cell r="B2" t="str">
            <v>-- Sélectionner --</v>
          </cell>
        </row>
      </sheetData>
      <sheetData sheetId="57"/>
      <sheetData sheetId="58"/>
      <sheetData sheetId="59"/>
      <sheetData sheetId="60"/>
      <sheetData sheetId="61"/>
      <sheetData sheetId="62"/>
      <sheetData sheetId="63"/>
      <sheetData sheetId="64">
        <row r="2">
          <cell r="B2" t="str">
            <v>-- Sélectionner --</v>
          </cell>
        </row>
      </sheetData>
      <sheetData sheetId="65"/>
      <sheetData sheetId="66"/>
      <sheetData sheetId="67"/>
      <sheetData sheetId="68"/>
      <sheetData sheetId="69"/>
      <sheetData sheetId="70"/>
      <sheetData sheetId="71"/>
      <sheetData sheetId="72">
        <row r="2">
          <cell r="B2" t="str">
            <v>-- Sélectionner --</v>
          </cell>
        </row>
      </sheetData>
      <sheetData sheetId="7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ource"/>
      <sheetName val="BDD"/>
      <sheetName val="Analyse"/>
      <sheetName val="Fiche pour valo"/>
    </sheetNames>
    <sheetDataSet>
      <sheetData sheetId="0" refreshError="1"/>
      <sheetData sheetId="1" refreshError="1"/>
      <sheetData sheetId="2">
        <row r="1">
          <cell r="R1" t="str">
            <v>Nom Projet</v>
          </cell>
          <cell r="S1" t="str">
            <v xml:space="preserve">
Base S.</v>
          </cell>
        </row>
        <row r="3">
          <cell r="R3" t="str">
            <v>Somme de Valeur</v>
          </cell>
          <cell r="U3" t="str">
            <v>Typologie</v>
          </cell>
        </row>
        <row r="4">
          <cell r="R4" t="str">
            <v>Matricule</v>
          </cell>
          <cell r="S4" t="str">
            <v>Nom</v>
          </cell>
          <cell r="T4" t="str">
            <v>Prenom</v>
          </cell>
          <cell r="U4" t="str">
            <v>JTRAV-</v>
          </cell>
          <cell r="V4" t="str">
            <v>JTRAV-RTT</v>
          </cell>
          <cell r="W4" t="str">
            <v>JTRAV</v>
          </cell>
          <cell r="X4" t="str">
            <v>HTRAV</v>
          </cell>
          <cell r="Y4" t="str">
            <v>Total général</v>
          </cell>
          <cell r="Z4" t="str">
            <v>HTRAV</v>
          </cell>
        </row>
        <row r="5">
          <cell r="R5">
            <v>1</v>
          </cell>
          <cell r="S5" t="str">
            <v>PY</v>
          </cell>
          <cell r="T5" t="str">
            <v>Elodie</v>
          </cell>
          <cell r="U5">
            <v>-27</v>
          </cell>
          <cell r="V5">
            <v>-10</v>
          </cell>
          <cell r="W5">
            <v>210</v>
          </cell>
          <cell r="Y5">
            <v>173</v>
          </cell>
          <cell r="Z5">
            <v>1680</v>
          </cell>
        </row>
        <row r="6">
          <cell r="R6">
            <v>2</v>
          </cell>
          <cell r="S6" t="str">
            <v>GASPERIN</v>
          </cell>
          <cell r="T6" t="str">
            <v>Anthony</v>
          </cell>
          <cell r="U6">
            <v>-26</v>
          </cell>
          <cell r="V6">
            <v>-10</v>
          </cell>
          <cell r="W6">
            <v>216</v>
          </cell>
          <cell r="Y6">
            <v>180</v>
          </cell>
          <cell r="Z6">
            <v>1728</v>
          </cell>
        </row>
        <row r="7">
          <cell r="R7">
            <v>5</v>
          </cell>
          <cell r="S7" t="str">
            <v>LA-CORTE</v>
          </cell>
          <cell r="T7" t="str">
            <v>Matias</v>
          </cell>
          <cell r="U7">
            <v>-20</v>
          </cell>
          <cell r="X7">
            <v>1180.69</v>
          </cell>
          <cell r="Y7">
            <v>1160.69</v>
          </cell>
          <cell r="Z7">
            <v>1040.69</v>
          </cell>
        </row>
        <row r="8">
          <cell r="R8">
            <v>9</v>
          </cell>
          <cell r="S8" t="str">
            <v>WIRTH</v>
          </cell>
          <cell r="T8" t="str">
            <v>Romain</v>
          </cell>
          <cell r="U8">
            <v>-23</v>
          </cell>
          <cell r="V8">
            <v>-10</v>
          </cell>
          <cell r="W8">
            <v>213</v>
          </cell>
          <cell r="Y8">
            <v>180</v>
          </cell>
          <cell r="Z8">
            <v>1704</v>
          </cell>
        </row>
        <row r="9">
          <cell r="R9">
            <v>10</v>
          </cell>
          <cell r="S9" t="str">
            <v>CILES</v>
          </cell>
          <cell r="T9" t="str">
            <v>Grégoire</v>
          </cell>
          <cell r="U9">
            <v>-16</v>
          </cell>
          <cell r="V9">
            <v>-8</v>
          </cell>
          <cell r="W9">
            <v>228</v>
          </cell>
          <cell r="Y9">
            <v>204</v>
          </cell>
          <cell r="Z9">
            <v>1824</v>
          </cell>
        </row>
        <row r="10">
          <cell r="R10">
            <v>12</v>
          </cell>
          <cell r="S10" t="str">
            <v>RALANTOARISON</v>
          </cell>
          <cell r="T10" t="str">
            <v>Osée</v>
          </cell>
          <cell r="U10">
            <v>-20</v>
          </cell>
          <cell r="V10">
            <v>-10</v>
          </cell>
          <cell r="W10">
            <v>222</v>
          </cell>
          <cell r="Y10">
            <v>192</v>
          </cell>
          <cell r="Z10">
            <v>1776</v>
          </cell>
        </row>
        <row r="11">
          <cell r="R11">
            <v>19</v>
          </cell>
          <cell r="S11" t="str">
            <v>GUENON</v>
          </cell>
          <cell r="T11" t="str">
            <v>William-John</v>
          </cell>
          <cell r="U11">
            <v>-32.5</v>
          </cell>
          <cell r="X11">
            <v>1806.04</v>
          </cell>
          <cell r="Y11">
            <v>1773.54</v>
          </cell>
          <cell r="Z11">
            <v>1578.54</v>
          </cell>
        </row>
        <row r="12">
          <cell r="R12">
            <v>22</v>
          </cell>
          <cell r="S12" t="str">
            <v>GOBY</v>
          </cell>
          <cell r="T12" t="str">
            <v>Adélaïde</v>
          </cell>
          <cell r="X12">
            <v>574.01</v>
          </cell>
          <cell r="Y12">
            <v>574.01</v>
          </cell>
          <cell r="Z12">
            <v>574.01</v>
          </cell>
        </row>
        <row r="13">
          <cell r="R13">
            <v>24</v>
          </cell>
          <cell r="S13" t="str">
            <v>KANDIAH</v>
          </cell>
          <cell r="T13" t="str">
            <v>Corrège</v>
          </cell>
          <cell r="U13">
            <v>-4</v>
          </cell>
          <cell r="X13">
            <v>574.01</v>
          </cell>
          <cell r="Y13">
            <v>570.01</v>
          </cell>
          <cell r="Z13">
            <v>546.01</v>
          </cell>
        </row>
        <row r="14">
          <cell r="R14" t="str">
            <v>Total général</v>
          </cell>
          <cell r="U14">
            <v>-168.5</v>
          </cell>
          <cell r="V14">
            <v>-48</v>
          </cell>
          <cell r="W14">
            <v>1089</v>
          </cell>
          <cell r="X14">
            <v>4134.75</v>
          </cell>
          <cell r="Y14">
            <v>5007.25</v>
          </cell>
          <cell r="Z14">
            <v>12451.25</v>
          </cell>
        </row>
      </sheetData>
      <sheetData sheetId="3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Axel Lopez" id="{8A14008D-280F-4885-A0E1-5DCECC99CC53}" userId="S::a.lopez@businove.com::705db035-9bc7-4c77-a828-aa073053c159" providerId="AD"/>
  <person displayName="Aglaé SAUDRAIS" id="{4C5E0A47-8BAB-4B48-93BF-699FDB757C57}" userId="S::a.saudrais@businove.com::9f0ab32f-3e85-4180-a088-aff834477247" providerId="AD"/>
  <person displayName="Jules LeHouedec" id="{96B9FA46-3D79-4ACB-8AFA-579B23196C89}" userId="S::j.lehouedec@businove.com::50960f6b-87fd-480c-89a0-b1c81c2c8524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Paie%202025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xel" refreshedDate="45684.305979629629" createdVersion="8" refreshedVersion="8" minRefreshableVersion="3" recordCount="22" xr:uid="{23EF642B-9FD3-406A-8753-A008F2A082D5}">
  <cacheSource type="worksheet">
    <worksheetSource ref="I4:AE26" sheet="VALO_ST"/>
  </cacheSource>
  <cacheFields count="22">
    <cacheField name="N° SIREN" numFmtId="164">
      <sharedItems containsNonDate="0" containsString="0" containsBlank="1" containsNumber="1" containsInteger="1" minValue="180089013" maxValue="692015266" count="6">
        <m/>
        <n v="180089013" u="1"/>
        <n v="193113842" u="1"/>
        <n v="692015266" u="1"/>
        <n v="197619042" u="1"/>
        <n v="513504399" u="1"/>
      </sharedItems>
    </cacheField>
    <cacheField name="Organisme" numFmtId="164">
      <sharedItems containsNonDate="0" containsBlank="1" count="6">
        <m/>
        <s v="CNRS" u="1"/>
        <s v="Université Paul Sabatier" u="1"/>
        <s v="LIS France" u="1"/>
        <s v="Université de Rouen" u="1"/>
        <s v="Upscience" u="1"/>
      </sharedItems>
    </cacheField>
    <cacheField name="rattachement projet" numFmtId="164">
      <sharedItems containsNonDate="0" containsString="0" containsBlank="1"/>
    </cacheField>
    <cacheField name="Résumé des travaux" numFmtId="164">
      <sharedItems containsNonDate="0" containsString="0" containsBlank="1"/>
    </cacheField>
    <cacheField name="Type de travaux" numFmtId="164">
      <sharedItems containsNonDate="0" containsString="0" containsBlank="1"/>
    </cacheField>
    <cacheField name="Adresse " numFmtId="164">
      <sharedItems containsNonDate="0" containsBlank="1" count="6">
        <m/>
        <s v="3 rue Michel Ange, 75016 Paris" u="1"/>
        <s v="118 route de Narbonne, 31400 Toulouse" u="1"/>
        <s v="67 rue de la gare, 50510 Cerences" u="1"/>
        <s v="1 rue Thomas Becket, 76130 Mont-Saint-Aignan" u="1"/>
        <s v="Talhouët, 56250 Saint Nolff" u="1"/>
      </sharedItems>
    </cacheField>
    <cacheField name="Nationalité" numFmtId="164">
      <sharedItems containsNonDate="0" containsString="0" containsBlank="1"/>
    </cacheField>
    <cacheField name="Lien de dépendance" numFmtId="164">
      <sharedItems containsNonDate="0" containsString="0" containsBlank="1"/>
    </cacheField>
    <cacheField name="Agrément" numFmtId="164">
      <sharedItems containsNonDate="0" containsBlank="1" count="2">
        <m/>
        <s v="CIR" u="1"/>
      </sharedItems>
    </cacheField>
    <cacheField name="Début Agrément" numFmtId="164">
      <sharedItems containsNonDate="0" containsString="0" containsBlank="1"/>
    </cacheField>
    <cacheField name="Fin Agrément" numFmtId="164">
      <sharedItems containsNonDate="0" containsString="0" containsBlank="1"/>
    </cacheField>
    <cacheField name="Montant HT" numFmtId="164">
      <sharedItems containsNonDate="0" containsString="0" containsBlank="1"/>
    </cacheField>
    <cacheField name="Montant CIR " numFmtId="164">
      <sharedItems containsNonDate="0" containsString="0" containsBlank="1"/>
    </cacheField>
    <cacheField name="x" numFmtId="0">
      <sharedItems containsNonDate="0" containsString="0" containsBlank="1"/>
    </cacheField>
    <cacheField name="Montant   CII" numFmtId="164">
      <sharedItems containsNonDate="0" containsString="0" containsBlank="1"/>
    </cacheField>
    <cacheField name="x2" numFmtId="0">
      <sharedItems containsNonDate="0" containsString="0" containsBlank="1"/>
    </cacheField>
    <cacheField name="Montant   CIC" numFmtId="164">
      <sharedItems containsNonDate="0" containsString="0" containsBlank="1"/>
    </cacheField>
    <cacheField name="x3" numFmtId="0">
      <sharedItems containsNonDate="0" containsString="0" containsBlank="1"/>
    </cacheField>
    <cacheField name="Montant  CICO" numFmtId="164">
      <sharedItems containsNonDate="0" containsString="0" containsBlank="1"/>
    </cacheField>
    <cacheField name="x4" numFmtId="0">
      <sharedItems containsNonDate="0" containsString="0" containsBlank="1"/>
    </cacheField>
    <cacheField name="Ligne 2069-AS-D" numFmtId="0">
      <sharedItems count="2">
        <s v=""/>
        <s v="16a" u="1"/>
      </sharedItems>
    </cacheField>
    <cacheField name="montant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usinove" refreshedDate="46059.741229861109" createdVersion="8" refreshedVersion="8" minRefreshableVersion="3" recordCount="796" xr:uid="{B2BB0461-C80A-4B8D-869D-6C86D2DBF650}">
  <cacheSource type="worksheet">
    <worksheetSource ref="A1:H1048576" sheet="BDD" r:id="rId2"/>
  </cacheSource>
  <cacheFields count="8">
    <cacheField name="Matricule" numFmtId="0">
      <sharedItems containsString="0" containsBlank="1" containsNumber="1" containsInteger="1" minValue="1" maxValue="24" count="10">
        <n v="1"/>
        <n v="2"/>
        <n v="5"/>
        <n v="9"/>
        <n v="10"/>
        <n v="12"/>
        <n v="19"/>
        <n v="22"/>
        <n v="24"/>
        <m/>
      </sharedItems>
    </cacheField>
    <cacheField name="Nom" numFmtId="0">
      <sharedItems containsBlank="1" count="10">
        <s v="PY"/>
        <s v="GASPERIN"/>
        <s v="LA-CORTE"/>
        <s v="WIRTH"/>
        <s v="CILES"/>
        <s v="RALANTOARISON"/>
        <s v="GUENON"/>
        <s v="GOBY"/>
        <s v="KANDIAH"/>
        <m/>
      </sharedItems>
    </cacheField>
    <cacheField name="Prenom" numFmtId="0">
      <sharedItems containsBlank="1" count="10">
        <s v="Elodie"/>
        <s v="Anthony"/>
        <s v="Matias"/>
        <s v="Romain"/>
        <s v="Grégoire"/>
        <s v="Osée"/>
        <s v="William-John"/>
        <s v="Adélaïde"/>
        <s v="Corrège"/>
        <m/>
      </sharedItems>
    </cacheField>
    <cacheField name="Libellé" numFmtId="0">
      <sharedItems containsBlank="1" count="97">
        <s v="Salaire de base"/>
        <s v="Sous-total Salaire de base"/>
        <s v="Maladie non professionnelle "/>
        <s v="Maintien absence maladie 100%"/>
        <s v="Absence pour sortie"/>
        <s v="Férié chômé non payé "/>
        <s v="Absence pour entrée"/>
        <s v="Sous-total Absences"/>
        <s v="IJSS brutes"/>
        <s v="Maladie non professionnelle"/>
        <s v="Absence événement familial (sans retenue)"/>
        <s v="Sous-total Absences (Forfait Jours)"/>
        <s v="Congés payés pris (j)"/>
        <s v="Congés payés acquis (j)"/>
        <s v="Congés payés"/>
        <s v="Indemnités de congés payés"/>
        <s v="RTT pris (j)"/>
        <s v="RTT acquis (j)"/>
        <s v="RTT et autres repos"/>
        <s v="Indemnité compensatrice de congés payés"/>
        <s v="Prime exceptionnelle"/>
        <s v="Sous-total Primes"/>
        <s v="Jours travaillés (forfait jour)"/>
        <s v="Heures normales travaillées"/>
        <s v="Total heures travaillées"/>
        <s v="Ajustement du net"/>
        <s v="Brut recalculé **********"/>
        <s v="Salaire Brut"/>
        <s v="Brut AL Avec RS"/>
        <s v="  Plafond SS"/>
        <s v="  Plafond GMP"/>
        <s v="  Tranche A"/>
        <s v="  Tranche B"/>
        <s v="Maladie - maternité - invalidité - décès - exo part app"/>
        <s v="Maladie - maternité - invalidité - décès"/>
        <s v="Contribution Solidarité Autonomie - exo part apprenti"/>
        <s v="Contribution Solidarité Autonomie"/>
        <s v="Vieillesse déplafonnée - exo part apprenti"/>
        <s v="Vieillesse déplafonnée"/>
        <s v="Vieillesse plafonnée - exo part apprenti"/>
        <s v="Vieillesse plafonnée"/>
        <s v="Allocations familiales - exo part apprenti"/>
        <s v="Allocations familiales"/>
        <s v="Accident du travail - exo part apprenti"/>
        <s v="Accident du travail"/>
        <s v="FNAL plafonné"/>
        <s v="Réduction générale des cotisations patronales"/>
        <s v="CSG déductible"/>
        <s v="CSG non déductible et CRDS"/>
        <s v="Allocations familiales (complément)"/>
        <s v="Maladie (complément)"/>
        <s v="Contribution au dialogue social"/>
        <s v="Assurance chômage TrA+TrB - exo part apprenti"/>
        <s v="Assurance chômage TrA+TrB"/>
        <s v="AGS"/>
        <s v="APEC TrA"/>
        <s v="APEC TrB"/>
        <s v="Retraite TU1 - exo part apprenti"/>
        <s v="Retraite TU1"/>
        <s v="Retraite TU2"/>
        <s v="Contribution d'Equilibre Général TU1 - exo part apprent"/>
        <s v="Contribution d'Equilibre Général TU1"/>
        <s v="Contribution d'Equilibre Général TU2"/>
        <s v="Contribution d'Equilibre Technique TU1"/>
        <s v="Contribution d'Equilibre Technique TU2"/>
        <s v="Réduct. générale des cotisat. pat. retraite"/>
        <s v="Prévoyance supplémentaire TrA"/>
        <s v="Prévoyance supplémentaire TrB"/>
        <s v="Adhésion"/>
        <s v="Titres-restaurant"/>
        <s v="Contribution formation prof. (légal)"/>
        <s v="Taxe d'apprentissage "/>
        <s v="Taxe d'apprentissage (Libératoire)"/>
        <s v="Total des retenues déductibles"/>
        <s v="Total des retenues non déductibles"/>
        <s v="Total des retenues"/>
        <s v="Net imposable"/>
        <s v="IJSS nettes"/>
        <s v="Réintégration fiscale"/>
        <s v="Impôt sur le revenu prélevé à la source - PAS"/>
        <s v="Net à payer avant impôt sur le revenu"/>
        <s v="Rémunération Nette Fiscale"/>
        <s v="Montant net social"/>
        <s v="Abonnement Transport"/>
        <s v="Rbt Abt Annuel Sima"/>
        <s v="Net à payer"/>
        <s v="Total indemnités coût global"/>
        <s v="Coût global"/>
        <s v="Net à payer - GLOBAL"/>
        <s v="Base CSG bulletin"/>
        <s v="Brut"/>
        <s v="Brut (Apprentis exclus)"/>
        <s v="Abattement"/>
        <s v="Base CSG (Apprentis exclus) abattue (1.75%)"/>
        <s v="Réintégration CSG (Apprentis exclus)"/>
        <s v="Base CSG recalculée"/>
        <m/>
      </sharedItems>
    </cacheField>
    <cacheField name="Nom Projet" numFmtId="0">
      <sharedItems containsBlank="1" count="4">
        <s v="_x000a__x000a__x000a_Salarial"/>
        <s v="_x000a__x000a__x000a_Base S."/>
        <s v="_x000a__x000a__x000a_Patronal"/>
        <m/>
      </sharedItems>
    </cacheField>
    <cacheField name="Valeur" numFmtId="0">
      <sharedItems containsString="0" containsBlank="1" containsNumber="1" minValue="-6998.93" maxValue="708005.74"/>
    </cacheField>
    <cacheField name="Typologie" numFmtId="0">
      <sharedItems containsBlank="1" count="11">
        <m/>
        <s v="Contrôle Brut"/>
        <s v="JTRAV-"/>
        <s v="JTRAV-RTT"/>
        <s v="JTRAV"/>
        <s v="HTRAV"/>
        <s v="Salaire Brut"/>
        <s v="CSPO"/>
        <s v="Contrôle CSPO"/>
        <s v="Acc à la rem"/>
        <s v="NE"/>
      </sharedItems>
    </cacheField>
    <cacheField name="Eligibilité" numFmtId="0">
      <sharedItems containsBlank="1" count="3">
        <m/>
        <s v="Non"/>
        <s v="Ou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6">
  <r>
    <x v="0"/>
    <x v="0"/>
    <x v="0"/>
    <x v="0"/>
    <x v="0"/>
    <n v="57999.96"/>
    <x v="0"/>
    <x v="0"/>
  </r>
  <r>
    <x v="1"/>
    <x v="1"/>
    <x v="1"/>
    <x v="0"/>
    <x v="0"/>
    <n v="69999.960000000006"/>
    <x v="0"/>
    <x v="0"/>
  </r>
  <r>
    <x v="2"/>
    <x v="2"/>
    <x v="2"/>
    <x v="0"/>
    <x v="1"/>
    <n v="1213.3599999999999"/>
    <x v="0"/>
    <x v="0"/>
  </r>
  <r>
    <x v="2"/>
    <x v="2"/>
    <x v="2"/>
    <x v="0"/>
    <x v="0"/>
    <n v="10847.04"/>
    <x v="0"/>
    <x v="0"/>
  </r>
  <r>
    <x v="3"/>
    <x v="3"/>
    <x v="3"/>
    <x v="0"/>
    <x v="0"/>
    <n v="36000"/>
    <x v="0"/>
    <x v="0"/>
  </r>
  <r>
    <x v="4"/>
    <x v="4"/>
    <x v="4"/>
    <x v="0"/>
    <x v="0"/>
    <n v="39999.96"/>
    <x v="0"/>
    <x v="0"/>
  </r>
  <r>
    <x v="5"/>
    <x v="5"/>
    <x v="5"/>
    <x v="0"/>
    <x v="0"/>
    <n v="39999.96"/>
    <x v="0"/>
    <x v="0"/>
  </r>
  <r>
    <x v="6"/>
    <x v="6"/>
    <x v="6"/>
    <x v="0"/>
    <x v="1"/>
    <n v="1820.04"/>
    <x v="0"/>
    <x v="0"/>
  </r>
  <r>
    <x v="6"/>
    <x v="6"/>
    <x v="6"/>
    <x v="0"/>
    <x v="0"/>
    <n v="12180.44"/>
    <x v="0"/>
    <x v="0"/>
  </r>
  <r>
    <x v="7"/>
    <x v="7"/>
    <x v="7"/>
    <x v="0"/>
    <x v="1"/>
    <n v="606.67999999999995"/>
    <x v="0"/>
    <x v="0"/>
  </r>
  <r>
    <x v="7"/>
    <x v="7"/>
    <x v="7"/>
    <x v="0"/>
    <x v="0"/>
    <n v="2639.04"/>
    <x v="0"/>
    <x v="0"/>
  </r>
  <r>
    <x v="8"/>
    <x v="8"/>
    <x v="8"/>
    <x v="0"/>
    <x v="1"/>
    <n v="606.67999999999995"/>
    <x v="0"/>
    <x v="0"/>
  </r>
  <r>
    <x v="8"/>
    <x v="8"/>
    <x v="8"/>
    <x v="0"/>
    <x v="0"/>
    <n v="3675.76"/>
    <x v="0"/>
    <x v="0"/>
  </r>
  <r>
    <x v="0"/>
    <x v="0"/>
    <x v="0"/>
    <x v="1"/>
    <x v="0"/>
    <n v="57999.96"/>
    <x v="1"/>
    <x v="1"/>
  </r>
  <r>
    <x v="1"/>
    <x v="1"/>
    <x v="1"/>
    <x v="1"/>
    <x v="0"/>
    <n v="69999.960000000006"/>
    <x v="1"/>
    <x v="1"/>
  </r>
  <r>
    <x v="2"/>
    <x v="2"/>
    <x v="2"/>
    <x v="1"/>
    <x v="1"/>
    <n v="1213.3599999999999"/>
    <x v="0"/>
    <x v="0"/>
  </r>
  <r>
    <x v="2"/>
    <x v="2"/>
    <x v="2"/>
    <x v="1"/>
    <x v="0"/>
    <n v="10847.04"/>
    <x v="1"/>
    <x v="1"/>
  </r>
  <r>
    <x v="3"/>
    <x v="3"/>
    <x v="3"/>
    <x v="1"/>
    <x v="0"/>
    <n v="36000"/>
    <x v="1"/>
    <x v="1"/>
  </r>
  <r>
    <x v="4"/>
    <x v="4"/>
    <x v="4"/>
    <x v="1"/>
    <x v="0"/>
    <n v="39999.96"/>
    <x v="1"/>
    <x v="1"/>
  </r>
  <r>
    <x v="5"/>
    <x v="5"/>
    <x v="5"/>
    <x v="1"/>
    <x v="0"/>
    <n v="39999.96"/>
    <x v="1"/>
    <x v="1"/>
  </r>
  <r>
    <x v="6"/>
    <x v="6"/>
    <x v="6"/>
    <x v="1"/>
    <x v="1"/>
    <n v="1820.04"/>
    <x v="0"/>
    <x v="0"/>
  </r>
  <r>
    <x v="6"/>
    <x v="6"/>
    <x v="6"/>
    <x v="1"/>
    <x v="0"/>
    <n v="12180.44"/>
    <x v="1"/>
    <x v="1"/>
  </r>
  <r>
    <x v="7"/>
    <x v="7"/>
    <x v="7"/>
    <x v="1"/>
    <x v="1"/>
    <n v="606.67999999999995"/>
    <x v="0"/>
    <x v="0"/>
  </r>
  <r>
    <x v="7"/>
    <x v="7"/>
    <x v="7"/>
    <x v="1"/>
    <x v="0"/>
    <n v="2639.04"/>
    <x v="1"/>
    <x v="1"/>
  </r>
  <r>
    <x v="8"/>
    <x v="8"/>
    <x v="8"/>
    <x v="1"/>
    <x v="1"/>
    <n v="606.67999999999995"/>
    <x v="0"/>
    <x v="0"/>
  </r>
  <r>
    <x v="8"/>
    <x v="8"/>
    <x v="8"/>
    <x v="1"/>
    <x v="0"/>
    <n v="3675.76"/>
    <x v="1"/>
    <x v="1"/>
  </r>
  <r>
    <x v="2"/>
    <x v="2"/>
    <x v="2"/>
    <x v="2"/>
    <x v="1"/>
    <n v="-14"/>
    <x v="0"/>
    <x v="0"/>
  </r>
  <r>
    <x v="2"/>
    <x v="2"/>
    <x v="2"/>
    <x v="2"/>
    <x v="0"/>
    <n v="-129.72999999999999"/>
    <x v="0"/>
    <x v="0"/>
  </r>
  <r>
    <x v="6"/>
    <x v="6"/>
    <x v="6"/>
    <x v="2"/>
    <x v="1"/>
    <n v="-14"/>
    <x v="0"/>
    <x v="0"/>
  </r>
  <r>
    <x v="6"/>
    <x v="6"/>
    <x v="6"/>
    <x v="2"/>
    <x v="0"/>
    <n v="-111.43"/>
    <x v="0"/>
    <x v="0"/>
  </r>
  <r>
    <x v="2"/>
    <x v="2"/>
    <x v="2"/>
    <x v="3"/>
    <x v="1"/>
    <n v="129.72999999999999"/>
    <x v="0"/>
    <x v="0"/>
  </r>
  <r>
    <x v="2"/>
    <x v="2"/>
    <x v="2"/>
    <x v="3"/>
    <x v="0"/>
    <n v="129.72999999999999"/>
    <x v="0"/>
    <x v="0"/>
  </r>
  <r>
    <x v="6"/>
    <x v="6"/>
    <x v="6"/>
    <x v="3"/>
    <x v="1"/>
    <n v="111.43"/>
    <x v="0"/>
    <x v="0"/>
  </r>
  <r>
    <x v="6"/>
    <x v="6"/>
    <x v="6"/>
    <x v="3"/>
    <x v="0"/>
    <n v="111.43"/>
    <x v="0"/>
    <x v="0"/>
  </r>
  <r>
    <x v="2"/>
    <x v="2"/>
    <x v="2"/>
    <x v="4"/>
    <x v="1"/>
    <n v="-18.670000000000002"/>
    <x v="0"/>
    <x v="0"/>
  </r>
  <r>
    <x v="2"/>
    <x v="2"/>
    <x v="2"/>
    <x v="4"/>
    <x v="0"/>
    <n v="-173"/>
    <x v="0"/>
    <x v="0"/>
  </r>
  <r>
    <x v="7"/>
    <x v="7"/>
    <x v="7"/>
    <x v="4"/>
    <x v="1"/>
    <n v="-11.67"/>
    <x v="0"/>
    <x v="0"/>
  </r>
  <r>
    <x v="7"/>
    <x v="7"/>
    <x v="7"/>
    <x v="4"/>
    <x v="0"/>
    <n v="-50.76"/>
    <x v="0"/>
    <x v="0"/>
  </r>
  <r>
    <x v="7"/>
    <x v="7"/>
    <x v="7"/>
    <x v="5"/>
    <x v="1"/>
    <n v="-21"/>
    <x v="0"/>
    <x v="0"/>
  </r>
  <r>
    <x v="7"/>
    <x v="7"/>
    <x v="7"/>
    <x v="5"/>
    <x v="0"/>
    <n v="-91.35"/>
    <x v="0"/>
    <x v="0"/>
  </r>
  <r>
    <x v="8"/>
    <x v="8"/>
    <x v="8"/>
    <x v="6"/>
    <x v="1"/>
    <n v="-32.67"/>
    <x v="0"/>
    <x v="0"/>
  </r>
  <r>
    <x v="8"/>
    <x v="8"/>
    <x v="8"/>
    <x v="6"/>
    <x v="0"/>
    <n v="-197.94"/>
    <x v="0"/>
    <x v="0"/>
  </r>
  <r>
    <x v="2"/>
    <x v="2"/>
    <x v="2"/>
    <x v="7"/>
    <x v="1"/>
    <n v="-32.67"/>
    <x v="0"/>
    <x v="0"/>
  </r>
  <r>
    <x v="2"/>
    <x v="2"/>
    <x v="2"/>
    <x v="7"/>
    <x v="0"/>
    <n v="-173"/>
    <x v="1"/>
    <x v="1"/>
  </r>
  <r>
    <x v="6"/>
    <x v="6"/>
    <x v="6"/>
    <x v="7"/>
    <x v="1"/>
    <n v="-14"/>
    <x v="0"/>
    <x v="0"/>
  </r>
  <r>
    <x v="7"/>
    <x v="7"/>
    <x v="7"/>
    <x v="7"/>
    <x v="1"/>
    <n v="-32.67"/>
    <x v="0"/>
    <x v="0"/>
  </r>
  <r>
    <x v="7"/>
    <x v="7"/>
    <x v="7"/>
    <x v="7"/>
    <x v="0"/>
    <n v="-142.11000000000001"/>
    <x v="1"/>
    <x v="1"/>
  </r>
  <r>
    <x v="8"/>
    <x v="8"/>
    <x v="8"/>
    <x v="7"/>
    <x v="1"/>
    <n v="-32.67"/>
    <x v="0"/>
    <x v="0"/>
  </r>
  <r>
    <x v="8"/>
    <x v="8"/>
    <x v="8"/>
    <x v="7"/>
    <x v="0"/>
    <n v="-197.94"/>
    <x v="1"/>
    <x v="1"/>
  </r>
  <r>
    <x v="0"/>
    <x v="0"/>
    <x v="0"/>
    <x v="8"/>
    <x v="1"/>
    <n v="-106.62"/>
    <x v="0"/>
    <x v="0"/>
  </r>
  <r>
    <x v="0"/>
    <x v="0"/>
    <x v="0"/>
    <x v="8"/>
    <x v="0"/>
    <n v="-106.62"/>
    <x v="0"/>
    <x v="0"/>
  </r>
  <r>
    <x v="3"/>
    <x v="3"/>
    <x v="3"/>
    <x v="8"/>
    <x v="1"/>
    <n v="-35.99"/>
    <x v="0"/>
    <x v="0"/>
  </r>
  <r>
    <x v="3"/>
    <x v="3"/>
    <x v="3"/>
    <x v="8"/>
    <x v="0"/>
    <n v="-35.99"/>
    <x v="0"/>
    <x v="0"/>
  </r>
  <r>
    <x v="0"/>
    <x v="0"/>
    <x v="0"/>
    <x v="9"/>
    <x v="1"/>
    <n v="-5"/>
    <x v="0"/>
    <x v="0"/>
  </r>
  <r>
    <x v="0"/>
    <x v="0"/>
    <x v="0"/>
    <x v="9"/>
    <x v="0"/>
    <n v="-1115.21"/>
    <x v="0"/>
    <x v="0"/>
  </r>
  <r>
    <x v="3"/>
    <x v="3"/>
    <x v="3"/>
    <x v="9"/>
    <x v="1"/>
    <n v="-3"/>
    <x v="0"/>
    <x v="0"/>
  </r>
  <r>
    <x v="3"/>
    <x v="3"/>
    <x v="3"/>
    <x v="9"/>
    <x v="0"/>
    <n v="-415.32"/>
    <x v="0"/>
    <x v="0"/>
  </r>
  <r>
    <x v="0"/>
    <x v="0"/>
    <x v="0"/>
    <x v="3"/>
    <x v="1"/>
    <n v="1115.21"/>
    <x v="0"/>
    <x v="0"/>
  </r>
  <r>
    <x v="0"/>
    <x v="0"/>
    <x v="0"/>
    <x v="3"/>
    <x v="0"/>
    <n v="1115.21"/>
    <x v="0"/>
    <x v="0"/>
  </r>
  <r>
    <x v="3"/>
    <x v="3"/>
    <x v="3"/>
    <x v="3"/>
    <x v="1"/>
    <n v="415.32"/>
    <x v="0"/>
    <x v="0"/>
  </r>
  <r>
    <x v="3"/>
    <x v="3"/>
    <x v="3"/>
    <x v="3"/>
    <x v="0"/>
    <n v="415.32"/>
    <x v="0"/>
    <x v="0"/>
  </r>
  <r>
    <x v="3"/>
    <x v="3"/>
    <x v="3"/>
    <x v="10"/>
    <x v="1"/>
    <n v="-3"/>
    <x v="0"/>
    <x v="0"/>
  </r>
  <r>
    <x v="0"/>
    <x v="0"/>
    <x v="0"/>
    <x v="11"/>
    <x v="1"/>
    <n v="-5"/>
    <x v="0"/>
    <x v="0"/>
  </r>
  <r>
    <x v="0"/>
    <x v="0"/>
    <x v="0"/>
    <x v="11"/>
    <x v="0"/>
    <n v="-106.62"/>
    <x v="1"/>
    <x v="1"/>
  </r>
  <r>
    <x v="3"/>
    <x v="3"/>
    <x v="3"/>
    <x v="11"/>
    <x v="1"/>
    <n v="-6"/>
    <x v="0"/>
    <x v="0"/>
  </r>
  <r>
    <x v="3"/>
    <x v="3"/>
    <x v="3"/>
    <x v="11"/>
    <x v="0"/>
    <n v="-35.99"/>
    <x v="1"/>
    <x v="1"/>
  </r>
  <r>
    <x v="0"/>
    <x v="0"/>
    <x v="0"/>
    <x v="12"/>
    <x v="1"/>
    <n v="27"/>
    <x v="0"/>
    <x v="0"/>
  </r>
  <r>
    <x v="1"/>
    <x v="1"/>
    <x v="1"/>
    <x v="12"/>
    <x v="1"/>
    <n v="26"/>
    <x v="0"/>
    <x v="0"/>
  </r>
  <r>
    <x v="2"/>
    <x v="2"/>
    <x v="2"/>
    <x v="12"/>
    <x v="1"/>
    <n v="34"/>
    <x v="0"/>
    <x v="0"/>
  </r>
  <r>
    <x v="3"/>
    <x v="3"/>
    <x v="3"/>
    <x v="12"/>
    <x v="1"/>
    <n v="23"/>
    <x v="0"/>
    <x v="0"/>
  </r>
  <r>
    <x v="4"/>
    <x v="4"/>
    <x v="4"/>
    <x v="12"/>
    <x v="1"/>
    <n v="16"/>
    <x v="0"/>
    <x v="0"/>
  </r>
  <r>
    <x v="5"/>
    <x v="5"/>
    <x v="5"/>
    <x v="12"/>
    <x v="1"/>
    <n v="20"/>
    <x v="0"/>
    <x v="0"/>
  </r>
  <r>
    <x v="6"/>
    <x v="6"/>
    <x v="6"/>
    <x v="12"/>
    <x v="1"/>
    <n v="32.5"/>
    <x v="0"/>
    <x v="0"/>
  </r>
  <r>
    <x v="8"/>
    <x v="8"/>
    <x v="8"/>
    <x v="12"/>
    <x v="1"/>
    <n v="4"/>
    <x v="0"/>
    <x v="0"/>
  </r>
  <r>
    <x v="0"/>
    <x v="0"/>
    <x v="0"/>
    <x v="13"/>
    <x v="1"/>
    <n v="25"/>
    <x v="0"/>
    <x v="0"/>
  </r>
  <r>
    <x v="1"/>
    <x v="1"/>
    <x v="1"/>
    <x v="13"/>
    <x v="1"/>
    <n v="25"/>
    <x v="0"/>
    <x v="0"/>
  </r>
  <r>
    <x v="2"/>
    <x v="2"/>
    <x v="2"/>
    <x v="13"/>
    <x v="1"/>
    <n v="16.45"/>
    <x v="0"/>
    <x v="0"/>
  </r>
  <r>
    <x v="3"/>
    <x v="3"/>
    <x v="3"/>
    <x v="13"/>
    <x v="1"/>
    <n v="25.02"/>
    <x v="0"/>
    <x v="0"/>
  </r>
  <r>
    <x v="4"/>
    <x v="4"/>
    <x v="4"/>
    <x v="13"/>
    <x v="1"/>
    <n v="25"/>
    <x v="0"/>
    <x v="0"/>
  </r>
  <r>
    <x v="5"/>
    <x v="5"/>
    <x v="5"/>
    <x v="13"/>
    <x v="1"/>
    <n v="25"/>
    <x v="0"/>
    <x v="0"/>
  </r>
  <r>
    <x v="6"/>
    <x v="6"/>
    <x v="6"/>
    <x v="13"/>
    <x v="1"/>
    <n v="25.64"/>
    <x v="0"/>
    <x v="0"/>
  </r>
  <r>
    <x v="8"/>
    <x v="8"/>
    <x v="8"/>
    <x v="13"/>
    <x v="1"/>
    <n v="7.85"/>
    <x v="0"/>
    <x v="0"/>
  </r>
  <r>
    <x v="0"/>
    <x v="0"/>
    <x v="0"/>
    <x v="14"/>
    <x v="1"/>
    <n v="-27"/>
    <x v="2"/>
    <x v="0"/>
  </r>
  <r>
    <x v="0"/>
    <x v="0"/>
    <x v="0"/>
    <x v="14"/>
    <x v="0"/>
    <n v="-6022.14"/>
    <x v="1"/>
    <x v="1"/>
  </r>
  <r>
    <x v="1"/>
    <x v="1"/>
    <x v="1"/>
    <x v="14"/>
    <x v="1"/>
    <n v="-26"/>
    <x v="2"/>
    <x v="0"/>
  </r>
  <r>
    <x v="1"/>
    <x v="1"/>
    <x v="1"/>
    <x v="14"/>
    <x v="0"/>
    <n v="-6998.93"/>
    <x v="1"/>
    <x v="1"/>
  </r>
  <r>
    <x v="2"/>
    <x v="2"/>
    <x v="2"/>
    <x v="14"/>
    <x v="1"/>
    <n v="-20"/>
    <x v="2"/>
    <x v="0"/>
  </r>
  <r>
    <x v="2"/>
    <x v="2"/>
    <x v="2"/>
    <x v="14"/>
    <x v="0"/>
    <n v="-1297.1300000000001"/>
    <x v="1"/>
    <x v="1"/>
  </r>
  <r>
    <x v="3"/>
    <x v="3"/>
    <x v="3"/>
    <x v="14"/>
    <x v="1"/>
    <n v="-23"/>
    <x v="2"/>
    <x v="0"/>
  </r>
  <r>
    <x v="3"/>
    <x v="3"/>
    <x v="3"/>
    <x v="14"/>
    <x v="0"/>
    <n v="-3184.12"/>
    <x v="1"/>
    <x v="1"/>
  </r>
  <r>
    <x v="4"/>
    <x v="4"/>
    <x v="4"/>
    <x v="14"/>
    <x v="1"/>
    <n v="-16"/>
    <x v="2"/>
    <x v="0"/>
  </r>
  <r>
    <x v="4"/>
    <x v="4"/>
    <x v="4"/>
    <x v="14"/>
    <x v="0"/>
    <n v="-2461.14"/>
    <x v="1"/>
    <x v="1"/>
  </r>
  <r>
    <x v="5"/>
    <x v="5"/>
    <x v="5"/>
    <x v="14"/>
    <x v="1"/>
    <n v="-20"/>
    <x v="2"/>
    <x v="0"/>
  </r>
  <r>
    <x v="5"/>
    <x v="5"/>
    <x v="5"/>
    <x v="14"/>
    <x v="0"/>
    <n v="-3076.44"/>
    <x v="1"/>
    <x v="1"/>
  </r>
  <r>
    <x v="6"/>
    <x v="6"/>
    <x v="6"/>
    <x v="14"/>
    <x v="1"/>
    <n v="-32.5"/>
    <x v="2"/>
    <x v="0"/>
  </r>
  <r>
    <x v="6"/>
    <x v="6"/>
    <x v="6"/>
    <x v="14"/>
    <x v="0"/>
    <n v="-1511.23"/>
    <x v="1"/>
    <x v="1"/>
  </r>
  <r>
    <x v="8"/>
    <x v="8"/>
    <x v="8"/>
    <x v="14"/>
    <x v="1"/>
    <n v="-4"/>
    <x v="2"/>
    <x v="0"/>
  </r>
  <r>
    <x v="8"/>
    <x v="8"/>
    <x v="8"/>
    <x v="14"/>
    <x v="0"/>
    <n v="-169.62"/>
    <x v="1"/>
    <x v="1"/>
  </r>
  <r>
    <x v="0"/>
    <x v="0"/>
    <x v="0"/>
    <x v="15"/>
    <x v="1"/>
    <n v="6022.14"/>
    <x v="0"/>
    <x v="0"/>
  </r>
  <r>
    <x v="0"/>
    <x v="0"/>
    <x v="0"/>
    <x v="15"/>
    <x v="0"/>
    <n v="6022.14"/>
    <x v="1"/>
    <x v="1"/>
  </r>
  <r>
    <x v="1"/>
    <x v="1"/>
    <x v="1"/>
    <x v="15"/>
    <x v="1"/>
    <n v="6998.93"/>
    <x v="0"/>
    <x v="0"/>
  </r>
  <r>
    <x v="1"/>
    <x v="1"/>
    <x v="1"/>
    <x v="15"/>
    <x v="0"/>
    <n v="6998.93"/>
    <x v="1"/>
    <x v="1"/>
  </r>
  <r>
    <x v="2"/>
    <x v="2"/>
    <x v="2"/>
    <x v="15"/>
    <x v="1"/>
    <n v="1297.1300000000001"/>
    <x v="0"/>
    <x v="0"/>
  </r>
  <r>
    <x v="2"/>
    <x v="2"/>
    <x v="2"/>
    <x v="15"/>
    <x v="0"/>
    <n v="1297.1300000000001"/>
    <x v="1"/>
    <x v="1"/>
  </r>
  <r>
    <x v="3"/>
    <x v="3"/>
    <x v="3"/>
    <x v="15"/>
    <x v="1"/>
    <n v="3184.12"/>
    <x v="0"/>
    <x v="0"/>
  </r>
  <r>
    <x v="3"/>
    <x v="3"/>
    <x v="3"/>
    <x v="15"/>
    <x v="0"/>
    <n v="3184.12"/>
    <x v="1"/>
    <x v="1"/>
  </r>
  <r>
    <x v="4"/>
    <x v="4"/>
    <x v="4"/>
    <x v="15"/>
    <x v="1"/>
    <n v="2461.14"/>
    <x v="0"/>
    <x v="0"/>
  </r>
  <r>
    <x v="4"/>
    <x v="4"/>
    <x v="4"/>
    <x v="15"/>
    <x v="0"/>
    <n v="2461.14"/>
    <x v="1"/>
    <x v="1"/>
  </r>
  <r>
    <x v="5"/>
    <x v="5"/>
    <x v="5"/>
    <x v="15"/>
    <x v="1"/>
    <n v="3076.44"/>
    <x v="0"/>
    <x v="0"/>
  </r>
  <r>
    <x v="5"/>
    <x v="5"/>
    <x v="5"/>
    <x v="15"/>
    <x v="0"/>
    <n v="3076.44"/>
    <x v="1"/>
    <x v="1"/>
  </r>
  <r>
    <x v="6"/>
    <x v="6"/>
    <x v="6"/>
    <x v="15"/>
    <x v="1"/>
    <n v="1547.52"/>
    <x v="0"/>
    <x v="0"/>
  </r>
  <r>
    <x v="6"/>
    <x v="6"/>
    <x v="6"/>
    <x v="15"/>
    <x v="0"/>
    <n v="1547.52"/>
    <x v="1"/>
    <x v="1"/>
  </r>
  <r>
    <x v="8"/>
    <x v="8"/>
    <x v="8"/>
    <x v="15"/>
    <x v="1"/>
    <n v="169.62"/>
    <x v="0"/>
    <x v="0"/>
  </r>
  <r>
    <x v="8"/>
    <x v="8"/>
    <x v="8"/>
    <x v="15"/>
    <x v="0"/>
    <n v="169.62"/>
    <x v="1"/>
    <x v="1"/>
  </r>
  <r>
    <x v="0"/>
    <x v="0"/>
    <x v="0"/>
    <x v="16"/>
    <x v="1"/>
    <n v="10"/>
    <x v="0"/>
    <x v="0"/>
  </r>
  <r>
    <x v="1"/>
    <x v="1"/>
    <x v="1"/>
    <x v="16"/>
    <x v="1"/>
    <n v="10"/>
    <x v="0"/>
    <x v="0"/>
  </r>
  <r>
    <x v="3"/>
    <x v="3"/>
    <x v="3"/>
    <x v="16"/>
    <x v="1"/>
    <n v="10"/>
    <x v="0"/>
    <x v="0"/>
  </r>
  <r>
    <x v="4"/>
    <x v="4"/>
    <x v="4"/>
    <x v="16"/>
    <x v="1"/>
    <n v="8"/>
    <x v="0"/>
    <x v="0"/>
  </r>
  <r>
    <x v="5"/>
    <x v="5"/>
    <x v="5"/>
    <x v="16"/>
    <x v="1"/>
    <n v="10"/>
    <x v="0"/>
    <x v="0"/>
  </r>
  <r>
    <x v="0"/>
    <x v="0"/>
    <x v="0"/>
    <x v="17"/>
    <x v="1"/>
    <n v="10"/>
    <x v="0"/>
    <x v="0"/>
  </r>
  <r>
    <x v="1"/>
    <x v="1"/>
    <x v="1"/>
    <x v="17"/>
    <x v="1"/>
    <n v="10"/>
    <x v="0"/>
    <x v="0"/>
  </r>
  <r>
    <x v="3"/>
    <x v="3"/>
    <x v="3"/>
    <x v="17"/>
    <x v="1"/>
    <n v="10"/>
    <x v="0"/>
    <x v="0"/>
  </r>
  <r>
    <x v="4"/>
    <x v="4"/>
    <x v="4"/>
    <x v="17"/>
    <x v="1"/>
    <n v="10"/>
    <x v="0"/>
    <x v="0"/>
  </r>
  <r>
    <x v="5"/>
    <x v="5"/>
    <x v="5"/>
    <x v="17"/>
    <x v="1"/>
    <n v="10"/>
    <x v="0"/>
    <x v="0"/>
  </r>
  <r>
    <x v="0"/>
    <x v="0"/>
    <x v="0"/>
    <x v="18"/>
    <x v="1"/>
    <n v="-10"/>
    <x v="3"/>
    <x v="0"/>
  </r>
  <r>
    <x v="1"/>
    <x v="1"/>
    <x v="1"/>
    <x v="18"/>
    <x v="1"/>
    <n v="-10"/>
    <x v="3"/>
    <x v="0"/>
  </r>
  <r>
    <x v="3"/>
    <x v="3"/>
    <x v="3"/>
    <x v="18"/>
    <x v="1"/>
    <n v="-10"/>
    <x v="3"/>
    <x v="0"/>
  </r>
  <r>
    <x v="4"/>
    <x v="4"/>
    <x v="4"/>
    <x v="18"/>
    <x v="1"/>
    <n v="-8"/>
    <x v="3"/>
    <x v="0"/>
  </r>
  <r>
    <x v="5"/>
    <x v="5"/>
    <x v="5"/>
    <x v="18"/>
    <x v="1"/>
    <n v="-10"/>
    <x v="3"/>
    <x v="0"/>
  </r>
  <r>
    <x v="2"/>
    <x v="2"/>
    <x v="2"/>
    <x v="19"/>
    <x v="0"/>
    <n v="907.98"/>
    <x v="0"/>
    <x v="0"/>
  </r>
  <r>
    <x v="7"/>
    <x v="7"/>
    <x v="7"/>
    <x v="20"/>
    <x v="0"/>
    <n v="60.9"/>
    <x v="0"/>
    <x v="0"/>
  </r>
  <r>
    <x v="2"/>
    <x v="2"/>
    <x v="2"/>
    <x v="21"/>
    <x v="0"/>
    <n v="907.98"/>
    <x v="1"/>
    <x v="1"/>
  </r>
  <r>
    <x v="7"/>
    <x v="7"/>
    <x v="7"/>
    <x v="21"/>
    <x v="0"/>
    <n v="60.9"/>
    <x v="1"/>
    <x v="1"/>
  </r>
  <r>
    <x v="0"/>
    <x v="0"/>
    <x v="0"/>
    <x v="22"/>
    <x v="1"/>
    <n v="210"/>
    <x v="4"/>
    <x v="0"/>
  </r>
  <r>
    <x v="1"/>
    <x v="1"/>
    <x v="1"/>
    <x v="22"/>
    <x v="1"/>
    <n v="216"/>
    <x v="4"/>
    <x v="0"/>
  </r>
  <r>
    <x v="3"/>
    <x v="3"/>
    <x v="3"/>
    <x v="22"/>
    <x v="1"/>
    <n v="213"/>
    <x v="4"/>
    <x v="0"/>
  </r>
  <r>
    <x v="4"/>
    <x v="4"/>
    <x v="4"/>
    <x v="22"/>
    <x v="1"/>
    <n v="228"/>
    <x v="4"/>
    <x v="0"/>
  </r>
  <r>
    <x v="5"/>
    <x v="5"/>
    <x v="5"/>
    <x v="22"/>
    <x v="1"/>
    <n v="222"/>
    <x v="4"/>
    <x v="0"/>
  </r>
  <r>
    <x v="2"/>
    <x v="2"/>
    <x v="2"/>
    <x v="23"/>
    <x v="1"/>
    <n v="1180.69"/>
    <x v="0"/>
    <x v="0"/>
  </r>
  <r>
    <x v="6"/>
    <x v="6"/>
    <x v="6"/>
    <x v="23"/>
    <x v="1"/>
    <n v="1806.04"/>
    <x v="0"/>
    <x v="0"/>
  </r>
  <r>
    <x v="7"/>
    <x v="7"/>
    <x v="7"/>
    <x v="23"/>
    <x v="1"/>
    <n v="574.01"/>
    <x v="0"/>
    <x v="0"/>
  </r>
  <r>
    <x v="8"/>
    <x v="8"/>
    <x v="8"/>
    <x v="23"/>
    <x v="1"/>
    <n v="574.01"/>
    <x v="0"/>
    <x v="0"/>
  </r>
  <r>
    <x v="2"/>
    <x v="2"/>
    <x v="2"/>
    <x v="24"/>
    <x v="1"/>
    <n v="1180.69"/>
    <x v="5"/>
    <x v="0"/>
  </r>
  <r>
    <x v="6"/>
    <x v="6"/>
    <x v="6"/>
    <x v="24"/>
    <x v="1"/>
    <n v="1806.04"/>
    <x v="5"/>
    <x v="0"/>
  </r>
  <r>
    <x v="7"/>
    <x v="7"/>
    <x v="7"/>
    <x v="24"/>
    <x v="1"/>
    <n v="574.01"/>
    <x v="5"/>
    <x v="0"/>
  </r>
  <r>
    <x v="8"/>
    <x v="8"/>
    <x v="8"/>
    <x v="24"/>
    <x v="1"/>
    <n v="574.01"/>
    <x v="5"/>
    <x v="0"/>
  </r>
  <r>
    <x v="0"/>
    <x v="0"/>
    <x v="0"/>
    <x v="25"/>
    <x v="1"/>
    <n v="-18.86"/>
    <x v="0"/>
    <x v="0"/>
  </r>
  <r>
    <x v="0"/>
    <x v="0"/>
    <x v="0"/>
    <x v="25"/>
    <x v="0"/>
    <n v="-18.86"/>
    <x v="1"/>
    <x v="1"/>
  </r>
  <r>
    <x v="3"/>
    <x v="3"/>
    <x v="3"/>
    <x v="25"/>
    <x v="1"/>
    <n v="-6.76"/>
    <x v="0"/>
    <x v="0"/>
  </r>
  <r>
    <x v="3"/>
    <x v="3"/>
    <x v="3"/>
    <x v="25"/>
    <x v="0"/>
    <n v="-6.76"/>
    <x v="1"/>
    <x v="1"/>
  </r>
  <r>
    <x v="0"/>
    <x v="0"/>
    <x v="0"/>
    <x v="26"/>
    <x v="0"/>
    <n v="57893.34"/>
    <x v="0"/>
    <x v="0"/>
  </r>
  <r>
    <x v="3"/>
    <x v="3"/>
    <x v="3"/>
    <x v="26"/>
    <x v="0"/>
    <n v="35964.01"/>
    <x v="0"/>
    <x v="0"/>
  </r>
  <r>
    <x v="0"/>
    <x v="0"/>
    <x v="0"/>
    <x v="27"/>
    <x v="0"/>
    <n v="57874.48"/>
    <x v="6"/>
    <x v="2"/>
  </r>
  <r>
    <x v="1"/>
    <x v="1"/>
    <x v="1"/>
    <x v="27"/>
    <x v="0"/>
    <n v="69999.960000000006"/>
    <x v="6"/>
    <x v="2"/>
  </r>
  <r>
    <x v="2"/>
    <x v="2"/>
    <x v="2"/>
    <x v="27"/>
    <x v="0"/>
    <n v="11582.02"/>
    <x v="6"/>
    <x v="2"/>
  </r>
  <r>
    <x v="3"/>
    <x v="3"/>
    <x v="3"/>
    <x v="27"/>
    <x v="0"/>
    <n v="35957.25"/>
    <x v="6"/>
    <x v="2"/>
  </r>
  <r>
    <x v="4"/>
    <x v="4"/>
    <x v="4"/>
    <x v="27"/>
    <x v="0"/>
    <n v="39999.96"/>
    <x v="6"/>
    <x v="2"/>
  </r>
  <r>
    <x v="5"/>
    <x v="5"/>
    <x v="5"/>
    <x v="27"/>
    <x v="0"/>
    <n v="39999.96"/>
    <x v="6"/>
    <x v="2"/>
  </r>
  <r>
    <x v="6"/>
    <x v="6"/>
    <x v="6"/>
    <x v="27"/>
    <x v="0"/>
    <n v="12216.73"/>
    <x v="6"/>
    <x v="2"/>
  </r>
  <r>
    <x v="7"/>
    <x v="7"/>
    <x v="7"/>
    <x v="27"/>
    <x v="0"/>
    <n v="2557.83"/>
    <x v="6"/>
    <x v="2"/>
  </r>
  <r>
    <x v="8"/>
    <x v="8"/>
    <x v="8"/>
    <x v="27"/>
    <x v="0"/>
    <n v="3477.82"/>
    <x v="6"/>
    <x v="2"/>
  </r>
  <r>
    <x v="0"/>
    <x v="0"/>
    <x v="0"/>
    <x v="28"/>
    <x v="0"/>
    <n v="57874.48"/>
    <x v="0"/>
    <x v="0"/>
  </r>
  <r>
    <x v="1"/>
    <x v="1"/>
    <x v="1"/>
    <x v="28"/>
    <x v="0"/>
    <n v="69999.960000000006"/>
    <x v="0"/>
    <x v="0"/>
  </r>
  <r>
    <x v="2"/>
    <x v="2"/>
    <x v="2"/>
    <x v="28"/>
    <x v="0"/>
    <n v="11582.02"/>
    <x v="0"/>
    <x v="0"/>
  </r>
  <r>
    <x v="3"/>
    <x v="3"/>
    <x v="3"/>
    <x v="28"/>
    <x v="0"/>
    <n v="35957.25"/>
    <x v="0"/>
    <x v="0"/>
  </r>
  <r>
    <x v="4"/>
    <x v="4"/>
    <x v="4"/>
    <x v="28"/>
    <x v="0"/>
    <n v="39999.96"/>
    <x v="0"/>
    <x v="0"/>
  </r>
  <r>
    <x v="5"/>
    <x v="5"/>
    <x v="5"/>
    <x v="28"/>
    <x v="0"/>
    <n v="39999.96"/>
    <x v="0"/>
    <x v="0"/>
  </r>
  <r>
    <x v="6"/>
    <x v="6"/>
    <x v="6"/>
    <x v="28"/>
    <x v="0"/>
    <n v="12216.73"/>
    <x v="0"/>
    <x v="0"/>
  </r>
  <r>
    <x v="7"/>
    <x v="7"/>
    <x v="7"/>
    <x v="28"/>
    <x v="0"/>
    <n v="60.9"/>
    <x v="0"/>
    <x v="0"/>
  </r>
  <r>
    <x v="8"/>
    <x v="8"/>
    <x v="8"/>
    <x v="28"/>
    <x v="0"/>
    <n v="3477.82"/>
    <x v="0"/>
    <x v="0"/>
  </r>
  <r>
    <x v="0"/>
    <x v="0"/>
    <x v="0"/>
    <x v="29"/>
    <x v="0"/>
    <n v="47100"/>
    <x v="0"/>
    <x v="0"/>
  </r>
  <r>
    <x v="1"/>
    <x v="1"/>
    <x v="1"/>
    <x v="29"/>
    <x v="0"/>
    <n v="47100"/>
    <x v="0"/>
    <x v="0"/>
  </r>
  <r>
    <x v="2"/>
    <x v="2"/>
    <x v="2"/>
    <x v="29"/>
    <x v="0"/>
    <n v="30893.55"/>
    <x v="0"/>
    <x v="0"/>
  </r>
  <r>
    <x v="3"/>
    <x v="3"/>
    <x v="3"/>
    <x v="29"/>
    <x v="0"/>
    <n v="47100"/>
    <x v="0"/>
    <x v="0"/>
  </r>
  <r>
    <x v="4"/>
    <x v="4"/>
    <x v="4"/>
    <x v="29"/>
    <x v="0"/>
    <n v="47100"/>
    <x v="0"/>
    <x v="0"/>
  </r>
  <r>
    <x v="5"/>
    <x v="5"/>
    <x v="5"/>
    <x v="29"/>
    <x v="0"/>
    <n v="47100"/>
    <x v="0"/>
    <x v="0"/>
  </r>
  <r>
    <x v="6"/>
    <x v="6"/>
    <x v="6"/>
    <x v="29"/>
    <x v="0"/>
    <n v="47100"/>
    <x v="0"/>
    <x v="0"/>
  </r>
  <r>
    <x v="7"/>
    <x v="7"/>
    <x v="7"/>
    <x v="29"/>
    <x v="0"/>
    <n v="14670.21"/>
    <x v="0"/>
    <x v="0"/>
  </r>
  <r>
    <x v="8"/>
    <x v="8"/>
    <x v="8"/>
    <x v="29"/>
    <x v="0"/>
    <n v="14784.17"/>
    <x v="0"/>
    <x v="0"/>
  </r>
  <r>
    <x v="0"/>
    <x v="0"/>
    <x v="0"/>
    <x v="30"/>
    <x v="0"/>
    <n v="43977.84"/>
    <x v="0"/>
    <x v="0"/>
  </r>
  <r>
    <x v="1"/>
    <x v="1"/>
    <x v="1"/>
    <x v="30"/>
    <x v="0"/>
    <n v="43977.84"/>
    <x v="0"/>
    <x v="0"/>
  </r>
  <r>
    <x v="2"/>
    <x v="2"/>
    <x v="2"/>
    <x v="30"/>
    <x v="0"/>
    <n v="28845.68"/>
    <x v="0"/>
    <x v="0"/>
  </r>
  <r>
    <x v="3"/>
    <x v="3"/>
    <x v="3"/>
    <x v="30"/>
    <x v="0"/>
    <n v="43977.84"/>
    <x v="0"/>
    <x v="0"/>
  </r>
  <r>
    <x v="4"/>
    <x v="4"/>
    <x v="4"/>
    <x v="30"/>
    <x v="0"/>
    <n v="43977.84"/>
    <x v="0"/>
    <x v="0"/>
  </r>
  <r>
    <x v="5"/>
    <x v="5"/>
    <x v="5"/>
    <x v="30"/>
    <x v="0"/>
    <n v="43977.84"/>
    <x v="0"/>
    <x v="0"/>
  </r>
  <r>
    <x v="6"/>
    <x v="6"/>
    <x v="6"/>
    <x v="30"/>
    <x v="0"/>
    <n v="43977.84"/>
    <x v="0"/>
    <x v="0"/>
  </r>
  <r>
    <x v="7"/>
    <x v="7"/>
    <x v="7"/>
    <x v="30"/>
    <x v="0"/>
    <n v="13697.76"/>
    <x v="0"/>
    <x v="0"/>
  </r>
  <r>
    <x v="8"/>
    <x v="8"/>
    <x v="8"/>
    <x v="30"/>
    <x v="0"/>
    <n v="13804.16"/>
    <x v="0"/>
    <x v="0"/>
  </r>
  <r>
    <x v="0"/>
    <x v="0"/>
    <x v="0"/>
    <x v="31"/>
    <x v="0"/>
    <n v="47100"/>
    <x v="0"/>
    <x v="0"/>
  </r>
  <r>
    <x v="1"/>
    <x v="1"/>
    <x v="1"/>
    <x v="31"/>
    <x v="0"/>
    <n v="47100"/>
    <x v="0"/>
    <x v="0"/>
  </r>
  <r>
    <x v="2"/>
    <x v="2"/>
    <x v="2"/>
    <x v="31"/>
    <x v="0"/>
    <n v="11582.02"/>
    <x v="0"/>
    <x v="0"/>
  </r>
  <r>
    <x v="3"/>
    <x v="3"/>
    <x v="3"/>
    <x v="31"/>
    <x v="0"/>
    <n v="35957.25"/>
    <x v="0"/>
    <x v="0"/>
  </r>
  <r>
    <x v="4"/>
    <x v="4"/>
    <x v="4"/>
    <x v="31"/>
    <x v="0"/>
    <n v="39999.96"/>
    <x v="0"/>
    <x v="0"/>
  </r>
  <r>
    <x v="5"/>
    <x v="5"/>
    <x v="5"/>
    <x v="31"/>
    <x v="0"/>
    <n v="39999.96"/>
    <x v="0"/>
    <x v="0"/>
  </r>
  <r>
    <x v="6"/>
    <x v="6"/>
    <x v="6"/>
    <x v="31"/>
    <x v="0"/>
    <n v="12216.73"/>
    <x v="0"/>
    <x v="0"/>
  </r>
  <r>
    <x v="7"/>
    <x v="7"/>
    <x v="7"/>
    <x v="31"/>
    <x v="0"/>
    <n v="60.9"/>
    <x v="0"/>
    <x v="0"/>
  </r>
  <r>
    <x v="8"/>
    <x v="8"/>
    <x v="8"/>
    <x v="31"/>
    <x v="0"/>
    <n v="3477.82"/>
    <x v="0"/>
    <x v="0"/>
  </r>
  <r>
    <x v="0"/>
    <x v="0"/>
    <x v="0"/>
    <x v="32"/>
    <x v="0"/>
    <n v="10774.48"/>
    <x v="0"/>
    <x v="0"/>
  </r>
  <r>
    <x v="1"/>
    <x v="1"/>
    <x v="1"/>
    <x v="32"/>
    <x v="0"/>
    <n v="22899.96"/>
    <x v="0"/>
    <x v="0"/>
  </r>
  <r>
    <x v="2"/>
    <x v="2"/>
    <x v="2"/>
    <x v="33"/>
    <x v="1"/>
    <n v="10681.39"/>
    <x v="0"/>
    <x v="0"/>
  </r>
  <r>
    <x v="2"/>
    <x v="2"/>
    <x v="2"/>
    <x v="33"/>
    <x v="2"/>
    <n v="747.7"/>
    <x v="7"/>
    <x v="2"/>
  </r>
  <r>
    <x v="6"/>
    <x v="6"/>
    <x v="6"/>
    <x v="33"/>
    <x v="1"/>
    <n v="12216.73"/>
    <x v="0"/>
    <x v="0"/>
  </r>
  <r>
    <x v="6"/>
    <x v="6"/>
    <x v="6"/>
    <x v="33"/>
    <x v="2"/>
    <n v="855.22"/>
    <x v="7"/>
    <x v="2"/>
  </r>
  <r>
    <x v="8"/>
    <x v="8"/>
    <x v="8"/>
    <x v="33"/>
    <x v="1"/>
    <n v="3393.47"/>
    <x v="0"/>
    <x v="0"/>
  </r>
  <r>
    <x v="8"/>
    <x v="8"/>
    <x v="8"/>
    <x v="33"/>
    <x v="2"/>
    <n v="237.53"/>
    <x v="7"/>
    <x v="2"/>
  </r>
  <r>
    <x v="0"/>
    <x v="0"/>
    <x v="0"/>
    <x v="34"/>
    <x v="1"/>
    <n v="57874.48"/>
    <x v="0"/>
    <x v="0"/>
  </r>
  <r>
    <x v="0"/>
    <x v="0"/>
    <x v="0"/>
    <x v="34"/>
    <x v="2"/>
    <n v="4051.18"/>
    <x v="7"/>
    <x v="2"/>
  </r>
  <r>
    <x v="1"/>
    <x v="1"/>
    <x v="1"/>
    <x v="34"/>
    <x v="1"/>
    <n v="69999.960000000006"/>
    <x v="0"/>
    <x v="0"/>
  </r>
  <r>
    <x v="1"/>
    <x v="1"/>
    <x v="1"/>
    <x v="34"/>
    <x v="2"/>
    <n v="4899.96"/>
    <x v="7"/>
    <x v="2"/>
  </r>
  <r>
    <x v="2"/>
    <x v="2"/>
    <x v="2"/>
    <x v="34"/>
    <x v="1"/>
    <n v="900.63"/>
    <x v="0"/>
    <x v="0"/>
  </r>
  <r>
    <x v="2"/>
    <x v="2"/>
    <x v="2"/>
    <x v="34"/>
    <x v="2"/>
    <n v="63.04"/>
    <x v="7"/>
    <x v="2"/>
  </r>
  <r>
    <x v="3"/>
    <x v="3"/>
    <x v="3"/>
    <x v="34"/>
    <x v="1"/>
    <n v="35957.25"/>
    <x v="0"/>
    <x v="0"/>
  </r>
  <r>
    <x v="3"/>
    <x v="3"/>
    <x v="3"/>
    <x v="34"/>
    <x v="2"/>
    <n v="2517.0100000000002"/>
    <x v="7"/>
    <x v="2"/>
  </r>
  <r>
    <x v="4"/>
    <x v="4"/>
    <x v="4"/>
    <x v="34"/>
    <x v="1"/>
    <n v="39999.96"/>
    <x v="0"/>
    <x v="0"/>
  </r>
  <r>
    <x v="4"/>
    <x v="4"/>
    <x v="4"/>
    <x v="34"/>
    <x v="2"/>
    <n v="2799.96"/>
    <x v="7"/>
    <x v="2"/>
  </r>
  <r>
    <x v="5"/>
    <x v="5"/>
    <x v="5"/>
    <x v="34"/>
    <x v="1"/>
    <n v="39999.96"/>
    <x v="0"/>
    <x v="0"/>
  </r>
  <r>
    <x v="5"/>
    <x v="5"/>
    <x v="5"/>
    <x v="34"/>
    <x v="2"/>
    <n v="2799.96"/>
    <x v="7"/>
    <x v="2"/>
  </r>
  <r>
    <x v="7"/>
    <x v="7"/>
    <x v="7"/>
    <x v="34"/>
    <x v="1"/>
    <n v="60.9"/>
    <x v="0"/>
    <x v="0"/>
  </r>
  <r>
    <x v="7"/>
    <x v="7"/>
    <x v="7"/>
    <x v="34"/>
    <x v="2"/>
    <n v="4.26"/>
    <x v="7"/>
    <x v="2"/>
  </r>
  <r>
    <x v="8"/>
    <x v="8"/>
    <x v="8"/>
    <x v="34"/>
    <x v="1"/>
    <n v="84.35"/>
    <x v="0"/>
    <x v="0"/>
  </r>
  <r>
    <x v="8"/>
    <x v="8"/>
    <x v="8"/>
    <x v="34"/>
    <x v="2"/>
    <n v="5.9"/>
    <x v="7"/>
    <x v="2"/>
  </r>
  <r>
    <x v="2"/>
    <x v="2"/>
    <x v="2"/>
    <x v="35"/>
    <x v="1"/>
    <n v="10681.39"/>
    <x v="0"/>
    <x v="0"/>
  </r>
  <r>
    <x v="2"/>
    <x v="2"/>
    <x v="2"/>
    <x v="35"/>
    <x v="2"/>
    <n v="32.06"/>
    <x v="7"/>
    <x v="1"/>
  </r>
  <r>
    <x v="6"/>
    <x v="6"/>
    <x v="6"/>
    <x v="35"/>
    <x v="1"/>
    <n v="12216.73"/>
    <x v="0"/>
    <x v="0"/>
  </r>
  <r>
    <x v="6"/>
    <x v="6"/>
    <x v="6"/>
    <x v="35"/>
    <x v="2"/>
    <n v="36.67"/>
    <x v="7"/>
    <x v="1"/>
  </r>
  <r>
    <x v="8"/>
    <x v="8"/>
    <x v="8"/>
    <x v="35"/>
    <x v="1"/>
    <n v="3393.47"/>
    <x v="0"/>
    <x v="0"/>
  </r>
  <r>
    <x v="8"/>
    <x v="8"/>
    <x v="8"/>
    <x v="35"/>
    <x v="2"/>
    <n v="10.17"/>
    <x v="7"/>
    <x v="1"/>
  </r>
  <r>
    <x v="0"/>
    <x v="0"/>
    <x v="0"/>
    <x v="36"/>
    <x v="1"/>
    <n v="57874.48"/>
    <x v="0"/>
    <x v="0"/>
  </r>
  <r>
    <x v="0"/>
    <x v="0"/>
    <x v="0"/>
    <x v="36"/>
    <x v="2"/>
    <n v="173.62"/>
    <x v="7"/>
    <x v="1"/>
  </r>
  <r>
    <x v="1"/>
    <x v="1"/>
    <x v="1"/>
    <x v="36"/>
    <x v="1"/>
    <n v="69999.960000000006"/>
    <x v="0"/>
    <x v="0"/>
  </r>
  <r>
    <x v="1"/>
    <x v="1"/>
    <x v="1"/>
    <x v="36"/>
    <x v="2"/>
    <n v="210"/>
    <x v="7"/>
    <x v="1"/>
  </r>
  <r>
    <x v="2"/>
    <x v="2"/>
    <x v="2"/>
    <x v="36"/>
    <x v="1"/>
    <n v="900.63"/>
    <x v="0"/>
    <x v="0"/>
  </r>
  <r>
    <x v="2"/>
    <x v="2"/>
    <x v="2"/>
    <x v="36"/>
    <x v="2"/>
    <n v="2.7"/>
    <x v="7"/>
    <x v="1"/>
  </r>
  <r>
    <x v="3"/>
    <x v="3"/>
    <x v="3"/>
    <x v="36"/>
    <x v="1"/>
    <n v="35957.25"/>
    <x v="0"/>
    <x v="0"/>
  </r>
  <r>
    <x v="3"/>
    <x v="3"/>
    <x v="3"/>
    <x v="36"/>
    <x v="2"/>
    <n v="107.87"/>
    <x v="7"/>
    <x v="1"/>
  </r>
  <r>
    <x v="4"/>
    <x v="4"/>
    <x v="4"/>
    <x v="36"/>
    <x v="1"/>
    <n v="39999.96"/>
    <x v="0"/>
    <x v="0"/>
  </r>
  <r>
    <x v="4"/>
    <x v="4"/>
    <x v="4"/>
    <x v="36"/>
    <x v="2"/>
    <n v="120"/>
    <x v="7"/>
    <x v="1"/>
  </r>
  <r>
    <x v="5"/>
    <x v="5"/>
    <x v="5"/>
    <x v="36"/>
    <x v="1"/>
    <n v="39999.96"/>
    <x v="0"/>
    <x v="0"/>
  </r>
  <r>
    <x v="5"/>
    <x v="5"/>
    <x v="5"/>
    <x v="36"/>
    <x v="2"/>
    <n v="120"/>
    <x v="7"/>
    <x v="1"/>
  </r>
  <r>
    <x v="7"/>
    <x v="7"/>
    <x v="7"/>
    <x v="36"/>
    <x v="1"/>
    <n v="60.9"/>
    <x v="0"/>
    <x v="0"/>
  </r>
  <r>
    <x v="7"/>
    <x v="7"/>
    <x v="7"/>
    <x v="36"/>
    <x v="2"/>
    <n v="0.18"/>
    <x v="7"/>
    <x v="1"/>
  </r>
  <r>
    <x v="8"/>
    <x v="8"/>
    <x v="8"/>
    <x v="36"/>
    <x v="1"/>
    <n v="84.35"/>
    <x v="0"/>
    <x v="0"/>
  </r>
  <r>
    <x v="8"/>
    <x v="8"/>
    <x v="8"/>
    <x v="36"/>
    <x v="2"/>
    <n v="0.24"/>
    <x v="7"/>
    <x v="1"/>
  </r>
  <r>
    <x v="2"/>
    <x v="2"/>
    <x v="2"/>
    <x v="37"/>
    <x v="1"/>
    <n v="10681.39"/>
    <x v="0"/>
    <x v="0"/>
  </r>
  <r>
    <x v="2"/>
    <x v="2"/>
    <x v="2"/>
    <x v="37"/>
    <x v="2"/>
    <n v="215.77"/>
    <x v="7"/>
    <x v="2"/>
  </r>
  <r>
    <x v="6"/>
    <x v="6"/>
    <x v="6"/>
    <x v="37"/>
    <x v="1"/>
    <n v="12216.73"/>
    <x v="0"/>
    <x v="0"/>
  </r>
  <r>
    <x v="6"/>
    <x v="6"/>
    <x v="6"/>
    <x v="37"/>
    <x v="2"/>
    <n v="246.78"/>
    <x v="7"/>
    <x v="2"/>
  </r>
  <r>
    <x v="8"/>
    <x v="8"/>
    <x v="8"/>
    <x v="37"/>
    <x v="1"/>
    <n v="3393.47"/>
    <x v="0"/>
    <x v="0"/>
  </r>
  <r>
    <x v="8"/>
    <x v="8"/>
    <x v="8"/>
    <x v="37"/>
    <x v="2"/>
    <n v="68.55"/>
    <x v="7"/>
    <x v="2"/>
  </r>
  <r>
    <x v="0"/>
    <x v="0"/>
    <x v="0"/>
    <x v="38"/>
    <x v="1"/>
    <n v="57874.48"/>
    <x v="0"/>
    <x v="0"/>
  </r>
  <r>
    <x v="0"/>
    <x v="0"/>
    <x v="0"/>
    <x v="38"/>
    <x v="0"/>
    <n v="231.46"/>
    <x v="0"/>
    <x v="0"/>
  </r>
  <r>
    <x v="0"/>
    <x v="0"/>
    <x v="0"/>
    <x v="38"/>
    <x v="2"/>
    <n v="1169.03"/>
    <x v="7"/>
    <x v="2"/>
  </r>
  <r>
    <x v="1"/>
    <x v="1"/>
    <x v="1"/>
    <x v="38"/>
    <x v="1"/>
    <n v="69999.960000000006"/>
    <x v="0"/>
    <x v="0"/>
  </r>
  <r>
    <x v="1"/>
    <x v="1"/>
    <x v="1"/>
    <x v="38"/>
    <x v="0"/>
    <n v="279.95999999999998"/>
    <x v="0"/>
    <x v="0"/>
  </r>
  <r>
    <x v="1"/>
    <x v="1"/>
    <x v="1"/>
    <x v="38"/>
    <x v="2"/>
    <n v="1413.96"/>
    <x v="7"/>
    <x v="2"/>
  </r>
  <r>
    <x v="2"/>
    <x v="2"/>
    <x v="2"/>
    <x v="38"/>
    <x v="1"/>
    <n v="900.63"/>
    <x v="0"/>
    <x v="0"/>
  </r>
  <r>
    <x v="2"/>
    <x v="2"/>
    <x v="2"/>
    <x v="38"/>
    <x v="0"/>
    <n v="3.6"/>
    <x v="0"/>
    <x v="0"/>
  </r>
  <r>
    <x v="2"/>
    <x v="2"/>
    <x v="2"/>
    <x v="38"/>
    <x v="2"/>
    <n v="18.190000000000001"/>
    <x v="7"/>
    <x v="2"/>
  </r>
  <r>
    <x v="3"/>
    <x v="3"/>
    <x v="3"/>
    <x v="38"/>
    <x v="1"/>
    <n v="35957.25"/>
    <x v="0"/>
    <x v="0"/>
  </r>
  <r>
    <x v="3"/>
    <x v="3"/>
    <x v="3"/>
    <x v="38"/>
    <x v="0"/>
    <n v="143.83000000000001"/>
    <x v="0"/>
    <x v="0"/>
  </r>
  <r>
    <x v="3"/>
    <x v="3"/>
    <x v="3"/>
    <x v="38"/>
    <x v="2"/>
    <n v="726.34"/>
    <x v="7"/>
    <x v="2"/>
  </r>
  <r>
    <x v="4"/>
    <x v="4"/>
    <x v="4"/>
    <x v="38"/>
    <x v="1"/>
    <n v="39999.96"/>
    <x v="0"/>
    <x v="0"/>
  </r>
  <r>
    <x v="4"/>
    <x v="4"/>
    <x v="4"/>
    <x v="38"/>
    <x v="0"/>
    <n v="159.96"/>
    <x v="0"/>
    <x v="0"/>
  </r>
  <r>
    <x v="4"/>
    <x v="4"/>
    <x v="4"/>
    <x v="38"/>
    <x v="2"/>
    <n v="807.96"/>
    <x v="7"/>
    <x v="2"/>
  </r>
  <r>
    <x v="5"/>
    <x v="5"/>
    <x v="5"/>
    <x v="38"/>
    <x v="1"/>
    <n v="39999.96"/>
    <x v="0"/>
    <x v="0"/>
  </r>
  <r>
    <x v="5"/>
    <x v="5"/>
    <x v="5"/>
    <x v="38"/>
    <x v="0"/>
    <n v="159.96"/>
    <x v="0"/>
    <x v="0"/>
  </r>
  <r>
    <x v="5"/>
    <x v="5"/>
    <x v="5"/>
    <x v="38"/>
    <x v="2"/>
    <n v="807.96"/>
    <x v="7"/>
    <x v="2"/>
  </r>
  <r>
    <x v="7"/>
    <x v="7"/>
    <x v="7"/>
    <x v="38"/>
    <x v="1"/>
    <n v="60.9"/>
    <x v="0"/>
    <x v="0"/>
  </r>
  <r>
    <x v="7"/>
    <x v="7"/>
    <x v="7"/>
    <x v="38"/>
    <x v="0"/>
    <n v="0.24"/>
    <x v="0"/>
    <x v="0"/>
  </r>
  <r>
    <x v="7"/>
    <x v="7"/>
    <x v="7"/>
    <x v="38"/>
    <x v="2"/>
    <n v="1.23"/>
    <x v="7"/>
    <x v="2"/>
  </r>
  <r>
    <x v="8"/>
    <x v="8"/>
    <x v="8"/>
    <x v="38"/>
    <x v="1"/>
    <n v="84.35"/>
    <x v="0"/>
    <x v="0"/>
  </r>
  <r>
    <x v="8"/>
    <x v="8"/>
    <x v="8"/>
    <x v="38"/>
    <x v="0"/>
    <n v="0.33"/>
    <x v="0"/>
    <x v="0"/>
  </r>
  <r>
    <x v="8"/>
    <x v="8"/>
    <x v="8"/>
    <x v="38"/>
    <x v="2"/>
    <n v="1.69"/>
    <x v="7"/>
    <x v="2"/>
  </r>
  <r>
    <x v="2"/>
    <x v="2"/>
    <x v="2"/>
    <x v="39"/>
    <x v="1"/>
    <n v="10681.39"/>
    <x v="0"/>
    <x v="0"/>
  </r>
  <r>
    <x v="2"/>
    <x v="2"/>
    <x v="2"/>
    <x v="39"/>
    <x v="2"/>
    <n v="913.24"/>
    <x v="7"/>
    <x v="2"/>
  </r>
  <r>
    <x v="6"/>
    <x v="6"/>
    <x v="6"/>
    <x v="39"/>
    <x v="1"/>
    <n v="12216.73"/>
    <x v="0"/>
    <x v="0"/>
  </r>
  <r>
    <x v="6"/>
    <x v="6"/>
    <x v="6"/>
    <x v="39"/>
    <x v="2"/>
    <n v="1044.54"/>
    <x v="7"/>
    <x v="2"/>
  </r>
  <r>
    <x v="8"/>
    <x v="8"/>
    <x v="8"/>
    <x v="39"/>
    <x v="1"/>
    <n v="3393.46"/>
    <x v="0"/>
    <x v="0"/>
  </r>
  <r>
    <x v="8"/>
    <x v="8"/>
    <x v="8"/>
    <x v="39"/>
    <x v="2"/>
    <n v="290.14999999999998"/>
    <x v="7"/>
    <x v="2"/>
  </r>
  <r>
    <x v="0"/>
    <x v="0"/>
    <x v="0"/>
    <x v="40"/>
    <x v="1"/>
    <n v="47100"/>
    <x v="0"/>
    <x v="0"/>
  </r>
  <r>
    <x v="0"/>
    <x v="0"/>
    <x v="0"/>
    <x v="40"/>
    <x v="0"/>
    <n v="3249.96"/>
    <x v="0"/>
    <x v="0"/>
  </r>
  <r>
    <x v="0"/>
    <x v="0"/>
    <x v="0"/>
    <x v="40"/>
    <x v="2"/>
    <n v="4027.08"/>
    <x v="7"/>
    <x v="2"/>
  </r>
  <r>
    <x v="1"/>
    <x v="1"/>
    <x v="1"/>
    <x v="40"/>
    <x v="1"/>
    <n v="47100"/>
    <x v="0"/>
    <x v="0"/>
  </r>
  <r>
    <x v="1"/>
    <x v="1"/>
    <x v="1"/>
    <x v="40"/>
    <x v="0"/>
    <n v="3249.96"/>
    <x v="0"/>
    <x v="0"/>
  </r>
  <r>
    <x v="1"/>
    <x v="1"/>
    <x v="1"/>
    <x v="40"/>
    <x v="2"/>
    <n v="4027.08"/>
    <x v="7"/>
    <x v="2"/>
  </r>
  <r>
    <x v="2"/>
    <x v="2"/>
    <x v="2"/>
    <x v="40"/>
    <x v="1"/>
    <n v="900.63"/>
    <x v="0"/>
    <x v="0"/>
  </r>
  <r>
    <x v="2"/>
    <x v="2"/>
    <x v="2"/>
    <x v="40"/>
    <x v="0"/>
    <n v="62.14"/>
    <x v="0"/>
    <x v="0"/>
  </r>
  <r>
    <x v="2"/>
    <x v="2"/>
    <x v="2"/>
    <x v="40"/>
    <x v="2"/>
    <n v="77"/>
    <x v="7"/>
    <x v="2"/>
  </r>
  <r>
    <x v="3"/>
    <x v="3"/>
    <x v="3"/>
    <x v="40"/>
    <x v="1"/>
    <n v="35957.25"/>
    <x v="0"/>
    <x v="0"/>
  </r>
  <r>
    <x v="3"/>
    <x v="3"/>
    <x v="3"/>
    <x v="40"/>
    <x v="0"/>
    <n v="2481.0500000000002"/>
    <x v="0"/>
    <x v="0"/>
  </r>
  <r>
    <x v="3"/>
    <x v="3"/>
    <x v="3"/>
    <x v="40"/>
    <x v="2"/>
    <n v="3074.34"/>
    <x v="7"/>
    <x v="2"/>
  </r>
  <r>
    <x v="4"/>
    <x v="4"/>
    <x v="4"/>
    <x v="40"/>
    <x v="1"/>
    <n v="39999.96"/>
    <x v="0"/>
    <x v="0"/>
  </r>
  <r>
    <x v="4"/>
    <x v="4"/>
    <x v="4"/>
    <x v="40"/>
    <x v="0"/>
    <n v="2760"/>
    <x v="0"/>
    <x v="0"/>
  </r>
  <r>
    <x v="4"/>
    <x v="4"/>
    <x v="4"/>
    <x v="40"/>
    <x v="2"/>
    <n v="3420"/>
    <x v="7"/>
    <x v="2"/>
  </r>
  <r>
    <x v="5"/>
    <x v="5"/>
    <x v="5"/>
    <x v="40"/>
    <x v="1"/>
    <n v="39999.96"/>
    <x v="0"/>
    <x v="0"/>
  </r>
  <r>
    <x v="5"/>
    <x v="5"/>
    <x v="5"/>
    <x v="40"/>
    <x v="0"/>
    <n v="2760"/>
    <x v="0"/>
    <x v="0"/>
  </r>
  <r>
    <x v="5"/>
    <x v="5"/>
    <x v="5"/>
    <x v="40"/>
    <x v="2"/>
    <n v="3420"/>
    <x v="7"/>
    <x v="2"/>
  </r>
  <r>
    <x v="7"/>
    <x v="7"/>
    <x v="7"/>
    <x v="40"/>
    <x v="1"/>
    <n v="60.9"/>
    <x v="0"/>
    <x v="0"/>
  </r>
  <r>
    <x v="7"/>
    <x v="7"/>
    <x v="7"/>
    <x v="40"/>
    <x v="0"/>
    <n v="4.2"/>
    <x v="0"/>
    <x v="0"/>
  </r>
  <r>
    <x v="7"/>
    <x v="7"/>
    <x v="7"/>
    <x v="40"/>
    <x v="2"/>
    <n v="5.21"/>
    <x v="7"/>
    <x v="2"/>
  </r>
  <r>
    <x v="8"/>
    <x v="8"/>
    <x v="8"/>
    <x v="40"/>
    <x v="1"/>
    <n v="84.36"/>
    <x v="0"/>
    <x v="0"/>
  </r>
  <r>
    <x v="8"/>
    <x v="8"/>
    <x v="8"/>
    <x v="40"/>
    <x v="0"/>
    <n v="5.81"/>
    <x v="0"/>
    <x v="0"/>
  </r>
  <r>
    <x v="8"/>
    <x v="8"/>
    <x v="8"/>
    <x v="40"/>
    <x v="2"/>
    <n v="7.21"/>
    <x v="7"/>
    <x v="2"/>
  </r>
  <r>
    <x v="2"/>
    <x v="2"/>
    <x v="2"/>
    <x v="41"/>
    <x v="1"/>
    <n v="10681.39"/>
    <x v="0"/>
    <x v="0"/>
  </r>
  <r>
    <x v="2"/>
    <x v="2"/>
    <x v="2"/>
    <x v="41"/>
    <x v="2"/>
    <n v="368.52"/>
    <x v="7"/>
    <x v="2"/>
  </r>
  <r>
    <x v="6"/>
    <x v="6"/>
    <x v="6"/>
    <x v="41"/>
    <x v="1"/>
    <n v="12216.73"/>
    <x v="0"/>
    <x v="0"/>
  </r>
  <r>
    <x v="6"/>
    <x v="6"/>
    <x v="6"/>
    <x v="41"/>
    <x v="2"/>
    <n v="421.46"/>
    <x v="7"/>
    <x v="2"/>
  </r>
  <r>
    <x v="8"/>
    <x v="8"/>
    <x v="8"/>
    <x v="41"/>
    <x v="1"/>
    <n v="3393.47"/>
    <x v="0"/>
    <x v="0"/>
  </r>
  <r>
    <x v="8"/>
    <x v="8"/>
    <x v="8"/>
    <x v="41"/>
    <x v="2"/>
    <n v="117.07"/>
    <x v="7"/>
    <x v="2"/>
  </r>
  <r>
    <x v="0"/>
    <x v="0"/>
    <x v="0"/>
    <x v="42"/>
    <x v="1"/>
    <n v="57874.48"/>
    <x v="0"/>
    <x v="0"/>
  </r>
  <r>
    <x v="0"/>
    <x v="0"/>
    <x v="0"/>
    <x v="42"/>
    <x v="2"/>
    <n v="1996.67"/>
    <x v="7"/>
    <x v="2"/>
  </r>
  <r>
    <x v="1"/>
    <x v="1"/>
    <x v="1"/>
    <x v="42"/>
    <x v="1"/>
    <n v="69999.960000000006"/>
    <x v="0"/>
    <x v="0"/>
  </r>
  <r>
    <x v="1"/>
    <x v="1"/>
    <x v="1"/>
    <x v="42"/>
    <x v="2"/>
    <n v="2415"/>
    <x v="7"/>
    <x v="2"/>
  </r>
  <r>
    <x v="2"/>
    <x v="2"/>
    <x v="2"/>
    <x v="42"/>
    <x v="1"/>
    <n v="900.63"/>
    <x v="0"/>
    <x v="0"/>
  </r>
  <r>
    <x v="2"/>
    <x v="2"/>
    <x v="2"/>
    <x v="42"/>
    <x v="2"/>
    <n v="31.07"/>
    <x v="7"/>
    <x v="2"/>
  </r>
  <r>
    <x v="3"/>
    <x v="3"/>
    <x v="3"/>
    <x v="42"/>
    <x v="1"/>
    <n v="35957.25"/>
    <x v="0"/>
    <x v="0"/>
  </r>
  <r>
    <x v="3"/>
    <x v="3"/>
    <x v="3"/>
    <x v="42"/>
    <x v="2"/>
    <n v="1240.53"/>
    <x v="7"/>
    <x v="2"/>
  </r>
  <r>
    <x v="4"/>
    <x v="4"/>
    <x v="4"/>
    <x v="42"/>
    <x v="1"/>
    <n v="39999.96"/>
    <x v="0"/>
    <x v="0"/>
  </r>
  <r>
    <x v="4"/>
    <x v="4"/>
    <x v="4"/>
    <x v="42"/>
    <x v="2"/>
    <n v="1380"/>
    <x v="7"/>
    <x v="2"/>
  </r>
  <r>
    <x v="5"/>
    <x v="5"/>
    <x v="5"/>
    <x v="42"/>
    <x v="1"/>
    <n v="39999.96"/>
    <x v="0"/>
    <x v="0"/>
  </r>
  <r>
    <x v="5"/>
    <x v="5"/>
    <x v="5"/>
    <x v="42"/>
    <x v="2"/>
    <n v="1380"/>
    <x v="7"/>
    <x v="2"/>
  </r>
  <r>
    <x v="7"/>
    <x v="7"/>
    <x v="7"/>
    <x v="42"/>
    <x v="1"/>
    <n v="60.9"/>
    <x v="0"/>
    <x v="0"/>
  </r>
  <r>
    <x v="7"/>
    <x v="7"/>
    <x v="7"/>
    <x v="42"/>
    <x v="2"/>
    <n v="2.1"/>
    <x v="7"/>
    <x v="2"/>
  </r>
  <r>
    <x v="8"/>
    <x v="8"/>
    <x v="8"/>
    <x v="42"/>
    <x v="1"/>
    <n v="84.35"/>
    <x v="0"/>
    <x v="0"/>
  </r>
  <r>
    <x v="8"/>
    <x v="8"/>
    <x v="8"/>
    <x v="42"/>
    <x v="2"/>
    <n v="2.91"/>
    <x v="7"/>
    <x v="2"/>
  </r>
  <r>
    <x v="2"/>
    <x v="2"/>
    <x v="2"/>
    <x v="43"/>
    <x v="1"/>
    <n v="10681.39"/>
    <x v="0"/>
    <x v="0"/>
  </r>
  <r>
    <x v="2"/>
    <x v="2"/>
    <x v="2"/>
    <x v="43"/>
    <x v="2"/>
    <n v="92"/>
    <x v="7"/>
    <x v="2"/>
  </r>
  <r>
    <x v="6"/>
    <x v="6"/>
    <x v="6"/>
    <x v="43"/>
    <x v="1"/>
    <n v="12216.73"/>
    <x v="0"/>
    <x v="0"/>
  </r>
  <r>
    <x v="6"/>
    <x v="6"/>
    <x v="6"/>
    <x v="43"/>
    <x v="2"/>
    <n v="107.98"/>
    <x v="7"/>
    <x v="2"/>
  </r>
  <r>
    <x v="8"/>
    <x v="8"/>
    <x v="8"/>
    <x v="43"/>
    <x v="1"/>
    <n v="3393.47"/>
    <x v="0"/>
    <x v="0"/>
  </r>
  <r>
    <x v="8"/>
    <x v="8"/>
    <x v="8"/>
    <x v="43"/>
    <x v="2"/>
    <n v="31.22"/>
    <x v="7"/>
    <x v="2"/>
  </r>
  <r>
    <x v="0"/>
    <x v="0"/>
    <x v="0"/>
    <x v="44"/>
    <x v="1"/>
    <n v="57874.48"/>
    <x v="0"/>
    <x v="0"/>
  </r>
  <r>
    <x v="0"/>
    <x v="0"/>
    <x v="0"/>
    <x v="44"/>
    <x v="2"/>
    <n v="509.43"/>
    <x v="7"/>
    <x v="2"/>
  </r>
  <r>
    <x v="1"/>
    <x v="1"/>
    <x v="1"/>
    <x v="44"/>
    <x v="1"/>
    <n v="69999.960000000006"/>
    <x v="0"/>
    <x v="0"/>
  </r>
  <r>
    <x v="1"/>
    <x v="1"/>
    <x v="1"/>
    <x v="44"/>
    <x v="2"/>
    <n v="616.04"/>
    <x v="7"/>
    <x v="2"/>
  </r>
  <r>
    <x v="2"/>
    <x v="2"/>
    <x v="2"/>
    <x v="44"/>
    <x v="1"/>
    <n v="900.63"/>
    <x v="0"/>
    <x v="0"/>
  </r>
  <r>
    <x v="2"/>
    <x v="2"/>
    <x v="2"/>
    <x v="44"/>
    <x v="2"/>
    <n v="8.2899999999999991"/>
    <x v="7"/>
    <x v="2"/>
  </r>
  <r>
    <x v="3"/>
    <x v="3"/>
    <x v="3"/>
    <x v="44"/>
    <x v="1"/>
    <n v="35957.25"/>
    <x v="0"/>
    <x v="0"/>
  </r>
  <r>
    <x v="3"/>
    <x v="3"/>
    <x v="3"/>
    <x v="44"/>
    <x v="2"/>
    <n v="316.45999999999998"/>
    <x v="7"/>
    <x v="2"/>
  </r>
  <r>
    <x v="4"/>
    <x v="4"/>
    <x v="4"/>
    <x v="44"/>
    <x v="1"/>
    <n v="39999.96"/>
    <x v="0"/>
    <x v="0"/>
  </r>
  <r>
    <x v="4"/>
    <x v="4"/>
    <x v="4"/>
    <x v="44"/>
    <x v="2"/>
    <n v="352.04"/>
    <x v="7"/>
    <x v="2"/>
  </r>
  <r>
    <x v="5"/>
    <x v="5"/>
    <x v="5"/>
    <x v="44"/>
    <x v="1"/>
    <n v="39999.96"/>
    <x v="0"/>
    <x v="0"/>
  </r>
  <r>
    <x v="5"/>
    <x v="5"/>
    <x v="5"/>
    <x v="44"/>
    <x v="2"/>
    <n v="352.04"/>
    <x v="7"/>
    <x v="2"/>
  </r>
  <r>
    <x v="7"/>
    <x v="7"/>
    <x v="7"/>
    <x v="44"/>
    <x v="1"/>
    <n v="60.9"/>
    <x v="0"/>
    <x v="0"/>
  </r>
  <r>
    <x v="7"/>
    <x v="7"/>
    <x v="7"/>
    <x v="44"/>
    <x v="2"/>
    <n v="0.56000000000000005"/>
    <x v="7"/>
    <x v="2"/>
  </r>
  <r>
    <x v="8"/>
    <x v="8"/>
    <x v="8"/>
    <x v="44"/>
    <x v="1"/>
    <n v="84.35"/>
    <x v="0"/>
    <x v="0"/>
  </r>
  <r>
    <x v="8"/>
    <x v="8"/>
    <x v="8"/>
    <x v="44"/>
    <x v="2"/>
    <n v="0.79"/>
    <x v="7"/>
    <x v="2"/>
  </r>
  <r>
    <x v="0"/>
    <x v="0"/>
    <x v="0"/>
    <x v="45"/>
    <x v="1"/>
    <n v="47100"/>
    <x v="0"/>
    <x v="0"/>
  </r>
  <r>
    <x v="0"/>
    <x v="0"/>
    <x v="0"/>
    <x v="45"/>
    <x v="2"/>
    <n v="47.16"/>
    <x v="7"/>
    <x v="1"/>
  </r>
  <r>
    <x v="1"/>
    <x v="1"/>
    <x v="1"/>
    <x v="45"/>
    <x v="1"/>
    <n v="47100"/>
    <x v="0"/>
    <x v="0"/>
  </r>
  <r>
    <x v="1"/>
    <x v="1"/>
    <x v="1"/>
    <x v="45"/>
    <x v="2"/>
    <n v="47.16"/>
    <x v="7"/>
    <x v="1"/>
  </r>
  <r>
    <x v="2"/>
    <x v="2"/>
    <x v="2"/>
    <x v="45"/>
    <x v="1"/>
    <n v="11582.02"/>
    <x v="0"/>
    <x v="0"/>
  </r>
  <r>
    <x v="2"/>
    <x v="2"/>
    <x v="2"/>
    <x v="45"/>
    <x v="2"/>
    <n v="11.61"/>
    <x v="7"/>
    <x v="1"/>
  </r>
  <r>
    <x v="3"/>
    <x v="3"/>
    <x v="3"/>
    <x v="45"/>
    <x v="1"/>
    <n v="35957.25"/>
    <x v="0"/>
    <x v="0"/>
  </r>
  <r>
    <x v="3"/>
    <x v="3"/>
    <x v="3"/>
    <x v="45"/>
    <x v="2"/>
    <n v="35.96"/>
    <x v="7"/>
    <x v="1"/>
  </r>
  <r>
    <x v="4"/>
    <x v="4"/>
    <x v="4"/>
    <x v="45"/>
    <x v="1"/>
    <n v="39999.96"/>
    <x v="0"/>
    <x v="0"/>
  </r>
  <r>
    <x v="4"/>
    <x v="4"/>
    <x v="4"/>
    <x v="45"/>
    <x v="2"/>
    <n v="39.96"/>
    <x v="7"/>
    <x v="1"/>
  </r>
  <r>
    <x v="5"/>
    <x v="5"/>
    <x v="5"/>
    <x v="45"/>
    <x v="1"/>
    <n v="39999.96"/>
    <x v="0"/>
    <x v="0"/>
  </r>
  <r>
    <x v="5"/>
    <x v="5"/>
    <x v="5"/>
    <x v="45"/>
    <x v="2"/>
    <n v="39.96"/>
    <x v="7"/>
    <x v="1"/>
  </r>
  <r>
    <x v="6"/>
    <x v="6"/>
    <x v="6"/>
    <x v="45"/>
    <x v="1"/>
    <n v="12216.73"/>
    <x v="0"/>
    <x v="0"/>
  </r>
  <r>
    <x v="6"/>
    <x v="6"/>
    <x v="6"/>
    <x v="45"/>
    <x v="2"/>
    <n v="12.24"/>
    <x v="7"/>
    <x v="1"/>
  </r>
  <r>
    <x v="7"/>
    <x v="7"/>
    <x v="7"/>
    <x v="45"/>
    <x v="1"/>
    <n v="60.9"/>
    <x v="0"/>
    <x v="0"/>
  </r>
  <r>
    <x v="7"/>
    <x v="7"/>
    <x v="7"/>
    <x v="45"/>
    <x v="2"/>
    <n v="0.06"/>
    <x v="7"/>
    <x v="1"/>
  </r>
  <r>
    <x v="8"/>
    <x v="8"/>
    <x v="8"/>
    <x v="45"/>
    <x v="1"/>
    <n v="3477.82"/>
    <x v="0"/>
    <x v="0"/>
  </r>
  <r>
    <x v="8"/>
    <x v="8"/>
    <x v="8"/>
    <x v="45"/>
    <x v="2"/>
    <n v="3.48"/>
    <x v="7"/>
    <x v="1"/>
  </r>
  <r>
    <x v="2"/>
    <x v="2"/>
    <x v="2"/>
    <x v="46"/>
    <x v="2"/>
    <n v="-3002.57"/>
    <x v="7"/>
    <x v="2"/>
  </r>
  <r>
    <x v="6"/>
    <x v="6"/>
    <x v="6"/>
    <x v="46"/>
    <x v="2"/>
    <n v="-3166.95"/>
    <x v="7"/>
    <x v="2"/>
  </r>
  <r>
    <x v="8"/>
    <x v="8"/>
    <x v="8"/>
    <x v="46"/>
    <x v="2"/>
    <n v="-901.45"/>
    <x v="7"/>
    <x v="2"/>
  </r>
  <r>
    <x v="0"/>
    <x v="0"/>
    <x v="0"/>
    <x v="47"/>
    <x v="1"/>
    <n v="57968.15"/>
    <x v="0"/>
    <x v="0"/>
  </r>
  <r>
    <x v="0"/>
    <x v="0"/>
    <x v="0"/>
    <x v="47"/>
    <x v="0"/>
    <n v="3941.83"/>
    <x v="0"/>
    <x v="0"/>
  </r>
  <r>
    <x v="1"/>
    <x v="1"/>
    <x v="1"/>
    <x v="47"/>
    <x v="1"/>
    <n v="69982.679999999993"/>
    <x v="0"/>
    <x v="0"/>
  </r>
  <r>
    <x v="1"/>
    <x v="1"/>
    <x v="1"/>
    <x v="47"/>
    <x v="0"/>
    <n v="4758.84"/>
    <x v="0"/>
    <x v="0"/>
  </r>
  <r>
    <x v="3"/>
    <x v="3"/>
    <x v="3"/>
    <x v="47"/>
    <x v="1"/>
    <n v="36287.18"/>
    <x v="0"/>
    <x v="0"/>
  </r>
  <r>
    <x v="3"/>
    <x v="3"/>
    <x v="3"/>
    <x v="47"/>
    <x v="0"/>
    <n v="2467.5700000000002"/>
    <x v="0"/>
    <x v="0"/>
  </r>
  <r>
    <x v="4"/>
    <x v="4"/>
    <x v="4"/>
    <x v="47"/>
    <x v="1"/>
    <n v="40280.04"/>
    <x v="0"/>
    <x v="0"/>
  </r>
  <r>
    <x v="4"/>
    <x v="4"/>
    <x v="4"/>
    <x v="47"/>
    <x v="0"/>
    <n v="2739"/>
    <x v="0"/>
    <x v="0"/>
  </r>
  <r>
    <x v="5"/>
    <x v="5"/>
    <x v="5"/>
    <x v="47"/>
    <x v="1"/>
    <n v="40280.04"/>
    <x v="0"/>
    <x v="0"/>
  </r>
  <r>
    <x v="5"/>
    <x v="5"/>
    <x v="5"/>
    <x v="47"/>
    <x v="0"/>
    <n v="2739"/>
    <x v="0"/>
    <x v="0"/>
  </r>
  <r>
    <x v="7"/>
    <x v="7"/>
    <x v="7"/>
    <x v="47"/>
    <x v="1"/>
    <n v="59.83"/>
    <x v="0"/>
    <x v="0"/>
  </r>
  <r>
    <x v="7"/>
    <x v="7"/>
    <x v="7"/>
    <x v="47"/>
    <x v="0"/>
    <n v="4.07"/>
    <x v="0"/>
    <x v="0"/>
  </r>
  <r>
    <x v="8"/>
    <x v="8"/>
    <x v="8"/>
    <x v="47"/>
    <x v="1"/>
    <n v="100.76"/>
    <x v="0"/>
    <x v="0"/>
  </r>
  <r>
    <x v="8"/>
    <x v="8"/>
    <x v="8"/>
    <x v="47"/>
    <x v="0"/>
    <n v="6.87"/>
    <x v="0"/>
    <x v="0"/>
  </r>
  <r>
    <x v="0"/>
    <x v="0"/>
    <x v="0"/>
    <x v="48"/>
    <x v="1"/>
    <n v="57968.15"/>
    <x v="0"/>
    <x v="0"/>
  </r>
  <r>
    <x v="0"/>
    <x v="0"/>
    <x v="0"/>
    <x v="48"/>
    <x v="0"/>
    <n v="1681.07"/>
    <x v="0"/>
    <x v="0"/>
  </r>
  <r>
    <x v="1"/>
    <x v="1"/>
    <x v="1"/>
    <x v="48"/>
    <x v="1"/>
    <n v="69982.679999999993"/>
    <x v="0"/>
    <x v="0"/>
  </r>
  <r>
    <x v="1"/>
    <x v="1"/>
    <x v="1"/>
    <x v="48"/>
    <x v="0"/>
    <n v="2029.44"/>
    <x v="0"/>
    <x v="0"/>
  </r>
  <r>
    <x v="3"/>
    <x v="3"/>
    <x v="3"/>
    <x v="48"/>
    <x v="1"/>
    <n v="36287.18"/>
    <x v="0"/>
    <x v="0"/>
  </r>
  <r>
    <x v="3"/>
    <x v="3"/>
    <x v="3"/>
    <x v="48"/>
    <x v="0"/>
    <n v="1052.3699999999999"/>
    <x v="0"/>
    <x v="0"/>
  </r>
  <r>
    <x v="4"/>
    <x v="4"/>
    <x v="4"/>
    <x v="48"/>
    <x v="1"/>
    <n v="40280.04"/>
    <x v="0"/>
    <x v="0"/>
  </r>
  <r>
    <x v="4"/>
    <x v="4"/>
    <x v="4"/>
    <x v="48"/>
    <x v="0"/>
    <n v="1168.08"/>
    <x v="0"/>
    <x v="0"/>
  </r>
  <r>
    <x v="5"/>
    <x v="5"/>
    <x v="5"/>
    <x v="48"/>
    <x v="1"/>
    <n v="40280.04"/>
    <x v="0"/>
    <x v="0"/>
  </r>
  <r>
    <x v="5"/>
    <x v="5"/>
    <x v="5"/>
    <x v="48"/>
    <x v="0"/>
    <n v="1168.08"/>
    <x v="0"/>
    <x v="0"/>
  </r>
  <r>
    <x v="7"/>
    <x v="7"/>
    <x v="7"/>
    <x v="48"/>
    <x v="1"/>
    <n v="59.83"/>
    <x v="0"/>
    <x v="0"/>
  </r>
  <r>
    <x v="7"/>
    <x v="7"/>
    <x v="7"/>
    <x v="48"/>
    <x v="0"/>
    <n v="1.74"/>
    <x v="0"/>
    <x v="0"/>
  </r>
  <r>
    <x v="8"/>
    <x v="8"/>
    <x v="8"/>
    <x v="48"/>
    <x v="1"/>
    <n v="100.76"/>
    <x v="0"/>
    <x v="0"/>
  </r>
  <r>
    <x v="8"/>
    <x v="8"/>
    <x v="8"/>
    <x v="48"/>
    <x v="0"/>
    <n v="2.92"/>
    <x v="0"/>
    <x v="0"/>
  </r>
  <r>
    <x v="7"/>
    <x v="7"/>
    <x v="7"/>
    <x v="49"/>
    <x v="1"/>
    <n v="60.9"/>
    <x v="0"/>
    <x v="0"/>
  </r>
  <r>
    <x v="7"/>
    <x v="7"/>
    <x v="7"/>
    <x v="49"/>
    <x v="2"/>
    <n v="1.1000000000000001"/>
    <x v="7"/>
    <x v="2"/>
  </r>
  <r>
    <x v="0"/>
    <x v="0"/>
    <x v="0"/>
    <x v="50"/>
    <x v="1"/>
    <n v="57874.48"/>
    <x v="0"/>
    <x v="0"/>
  </r>
  <r>
    <x v="0"/>
    <x v="0"/>
    <x v="0"/>
    <x v="50"/>
    <x v="2"/>
    <n v="3472.47"/>
    <x v="7"/>
    <x v="2"/>
  </r>
  <r>
    <x v="1"/>
    <x v="1"/>
    <x v="1"/>
    <x v="50"/>
    <x v="1"/>
    <n v="69999.960000000006"/>
    <x v="0"/>
    <x v="0"/>
  </r>
  <r>
    <x v="1"/>
    <x v="1"/>
    <x v="1"/>
    <x v="50"/>
    <x v="2"/>
    <n v="4200"/>
    <x v="7"/>
    <x v="2"/>
  </r>
  <r>
    <x v="7"/>
    <x v="7"/>
    <x v="7"/>
    <x v="50"/>
    <x v="1"/>
    <n v="60.9"/>
    <x v="0"/>
    <x v="0"/>
  </r>
  <r>
    <x v="7"/>
    <x v="7"/>
    <x v="7"/>
    <x v="50"/>
    <x v="2"/>
    <n v="3.65"/>
    <x v="7"/>
    <x v="2"/>
  </r>
  <r>
    <x v="0"/>
    <x v="0"/>
    <x v="0"/>
    <x v="51"/>
    <x v="1"/>
    <n v="57874.48"/>
    <x v="0"/>
    <x v="0"/>
  </r>
  <r>
    <x v="0"/>
    <x v="0"/>
    <x v="0"/>
    <x v="51"/>
    <x v="2"/>
    <n v="9.2200000000000006"/>
    <x v="7"/>
    <x v="1"/>
  </r>
  <r>
    <x v="1"/>
    <x v="1"/>
    <x v="1"/>
    <x v="51"/>
    <x v="1"/>
    <n v="69999.960000000006"/>
    <x v="0"/>
    <x v="0"/>
  </r>
  <r>
    <x v="1"/>
    <x v="1"/>
    <x v="1"/>
    <x v="51"/>
    <x v="2"/>
    <n v="11.16"/>
    <x v="7"/>
    <x v="1"/>
  </r>
  <r>
    <x v="2"/>
    <x v="2"/>
    <x v="2"/>
    <x v="51"/>
    <x v="1"/>
    <n v="11582.02"/>
    <x v="0"/>
    <x v="0"/>
  </r>
  <r>
    <x v="2"/>
    <x v="2"/>
    <x v="2"/>
    <x v="51"/>
    <x v="2"/>
    <n v="1.82"/>
    <x v="7"/>
    <x v="1"/>
  </r>
  <r>
    <x v="3"/>
    <x v="3"/>
    <x v="3"/>
    <x v="51"/>
    <x v="1"/>
    <n v="35957.25"/>
    <x v="0"/>
    <x v="0"/>
  </r>
  <r>
    <x v="3"/>
    <x v="3"/>
    <x v="3"/>
    <x v="51"/>
    <x v="2"/>
    <n v="5.75"/>
    <x v="7"/>
    <x v="1"/>
  </r>
  <r>
    <x v="4"/>
    <x v="4"/>
    <x v="4"/>
    <x v="51"/>
    <x v="1"/>
    <n v="39999.96"/>
    <x v="0"/>
    <x v="0"/>
  </r>
  <r>
    <x v="4"/>
    <x v="4"/>
    <x v="4"/>
    <x v="51"/>
    <x v="2"/>
    <n v="6.36"/>
    <x v="7"/>
    <x v="1"/>
  </r>
  <r>
    <x v="5"/>
    <x v="5"/>
    <x v="5"/>
    <x v="51"/>
    <x v="1"/>
    <n v="39999.96"/>
    <x v="0"/>
    <x v="0"/>
  </r>
  <r>
    <x v="5"/>
    <x v="5"/>
    <x v="5"/>
    <x v="51"/>
    <x v="2"/>
    <n v="6.36"/>
    <x v="7"/>
    <x v="1"/>
  </r>
  <r>
    <x v="6"/>
    <x v="6"/>
    <x v="6"/>
    <x v="51"/>
    <x v="1"/>
    <n v="12216.73"/>
    <x v="0"/>
    <x v="0"/>
  </r>
  <r>
    <x v="6"/>
    <x v="6"/>
    <x v="6"/>
    <x v="51"/>
    <x v="2"/>
    <n v="1.96"/>
    <x v="7"/>
    <x v="1"/>
  </r>
  <r>
    <x v="8"/>
    <x v="8"/>
    <x v="8"/>
    <x v="51"/>
    <x v="1"/>
    <n v="3477.82"/>
    <x v="0"/>
    <x v="0"/>
  </r>
  <r>
    <x v="8"/>
    <x v="8"/>
    <x v="8"/>
    <x v="51"/>
    <x v="2"/>
    <n v="0.56999999999999995"/>
    <x v="7"/>
    <x v="1"/>
  </r>
  <r>
    <x v="2"/>
    <x v="2"/>
    <x v="2"/>
    <x v="52"/>
    <x v="1"/>
    <n v="10681.39"/>
    <x v="0"/>
    <x v="0"/>
  </r>
  <r>
    <x v="2"/>
    <x v="2"/>
    <x v="2"/>
    <x v="52"/>
    <x v="2"/>
    <n v="429.87"/>
    <x v="7"/>
    <x v="2"/>
  </r>
  <r>
    <x v="6"/>
    <x v="6"/>
    <x v="6"/>
    <x v="52"/>
    <x v="1"/>
    <n v="12216.73"/>
    <x v="0"/>
    <x v="0"/>
  </r>
  <r>
    <x v="6"/>
    <x v="6"/>
    <x v="6"/>
    <x v="52"/>
    <x v="2"/>
    <n v="490.53"/>
    <x v="7"/>
    <x v="2"/>
  </r>
  <r>
    <x v="8"/>
    <x v="8"/>
    <x v="8"/>
    <x v="52"/>
    <x v="1"/>
    <n v="3393.47"/>
    <x v="0"/>
    <x v="0"/>
  </r>
  <r>
    <x v="8"/>
    <x v="8"/>
    <x v="8"/>
    <x v="52"/>
    <x v="2"/>
    <n v="135.75"/>
    <x v="7"/>
    <x v="2"/>
  </r>
  <r>
    <x v="0"/>
    <x v="0"/>
    <x v="0"/>
    <x v="53"/>
    <x v="1"/>
    <n v="57874.48"/>
    <x v="0"/>
    <x v="0"/>
  </r>
  <r>
    <x v="0"/>
    <x v="0"/>
    <x v="0"/>
    <x v="53"/>
    <x v="2"/>
    <n v="2324.56"/>
    <x v="7"/>
    <x v="2"/>
  </r>
  <r>
    <x v="1"/>
    <x v="1"/>
    <x v="1"/>
    <x v="53"/>
    <x v="1"/>
    <n v="69999.960000000006"/>
    <x v="0"/>
    <x v="0"/>
  </r>
  <r>
    <x v="1"/>
    <x v="1"/>
    <x v="1"/>
    <x v="53"/>
    <x v="2"/>
    <n v="2811.64"/>
    <x v="7"/>
    <x v="2"/>
  </r>
  <r>
    <x v="2"/>
    <x v="2"/>
    <x v="2"/>
    <x v="53"/>
    <x v="1"/>
    <n v="900.63"/>
    <x v="0"/>
    <x v="0"/>
  </r>
  <r>
    <x v="2"/>
    <x v="2"/>
    <x v="2"/>
    <x v="53"/>
    <x v="2"/>
    <n v="36.03"/>
    <x v="7"/>
    <x v="2"/>
  </r>
  <r>
    <x v="3"/>
    <x v="3"/>
    <x v="3"/>
    <x v="53"/>
    <x v="1"/>
    <n v="35957.25"/>
    <x v="0"/>
    <x v="0"/>
  </r>
  <r>
    <x v="3"/>
    <x v="3"/>
    <x v="3"/>
    <x v="53"/>
    <x v="2"/>
    <n v="1444.27"/>
    <x v="7"/>
    <x v="2"/>
  </r>
  <r>
    <x v="4"/>
    <x v="4"/>
    <x v="4"/>
    <x v="53"/>
    <x v="1"/>
    <n v="39999.96"/>
    <x v="0"/>
    <x v="0"/>
  </r>
  <r>
    <x v="4"/>
    <x v="4"/>
    <x v="4"/>
    <x v="53"/>
    <x v="2"/>
    <n v="1606.64"/>
    <x v="7"/>
    <x v="2"/>
  </r>
  <r>
    <x v="5"/>
    <x v="5"/>
    <x v="5"/>
    <x v="53"/>
    <x v="1"/>
    <n v="39999.96"/>
    <x v="0"/>
    <x v="0"/>
  </r>
  <r>
    <x v="5"/>
    <x v="5"/>
    <x v="5"/>
    <x v="53"/>
    <x v="2"/>
    <n v="1606.64"/>
    <x v="7"/>
    <x v="2"/>
  </r>
  <r>
    <x v="8"/>
    <x v="8"/>
    <x v="8"/>
    <x v="53"/>
    <x v="1"/>
    <n v="84.35"/>
    <x v="0"/>
    <x v="0"/>
  </r>
  <r>
    <x v="8"/>
    <x v="8"/>
    <x v="8"/>
    <x v="53"/>
    <x v="2"/>
    <n v="3.37"/>
    <x v="7"/>
    <x v="2"/>
  </r>
  <r>
    <x v="0"/>
    <x v="0"/>
    <x v="0"/>
    <x v="54"/>
    <x v="1"/>
    <n v="57874.48"/>
    <x v="0"/>
    <x v="0"/>
  </r>
  <r>
    <x v="0"/>
    <x v="0"/>
    <x v="0"/>
    <x v="54"/>
    <x v="2"/>
    <n v="144.65"/>
    <x v="7"/>
    <x v="2"/>
  </r>
  <r>
    <x v="1"/>
    <x v="1"/>
    <x v="1"/>
    <x v="54"/>
    <x v="1"/>
    <n v="69999.960000000006"/>
    <x v="0"/>
    <x v="0"/>
  </r>
  <r>
    <x v="1"/>
    <x v="1"/>
    <x v="1"/>
    <x v="54"/>
    <x v="2"/>
    <n v="174.96"/>
    <x v="7"/>
    <x v="2"/>
  </r>
  <r>
    <x v="2"/>
    <x v="2"/>
    <x v="2"/>
    <x v="54"/>
    <x v="1"/>
    <n v="11582.02"/>
    <x v="0"/>
    <x v="0"/>
  </r>
  <r>
    <x v="2"/>
    <x v="2"/>
    <x v="2"/>
    <x v="54"/>
    <x v="2"/>
    <n v="28.94"/>
    <x v="7"/>
    <x v="2"/>
  </r>
  <r>
    <x v="3"/>
    <x v="3"/>
    <x v="3"/>
    <x v="54"/>
    <x v="1"/>
    <n v="35957.25"/>
    <x v="0"/>
    <x v="0"/>
  </r>
  <r>
    <x v="3"/>
    <x v="3"/>
    <x v="3"/>
    <x v="54"/>
    <x v="2"/>
    <n v="89.89"/>
    <x v="7"/>
    <x v="2"/>
  </r>
  <r>
    <x v="4"/>
    <x v="4"/>
    <x v="4"/>
    <x v="54"/>
    <x v="1"/>
    <n v="39999.96"/>
    <x v="0"/>
    <x v="0"/>
  </r>
  <r>
    <x v="4"/>
    <x v="4"/>
    <x v="4"/>
    <x v="54"/>
    <x v="2"/>
    <n v="99.96"/>
    <x v="7"/>
    <x v="2"/>
  </r>
  <r>
    <x v="5"/>
    <x v="5"/>
    <x v="5"/>
    <x v="54"/>
    <x v="1"/>
    <n v="39999.96"/>
    <x v="0"/>
    <x v="0"/>
  </r>
  <r>
    <x v="5"/>
    <x v="5"/>
    <x v="5"/>
    <x v="54"/>
    <x v="2"/>
    <n v="99.96"/>
    <x v="7"/>
    <x v="2"/>
  </r>
  <r>
    <x v="6"/>
    <x v="6"/>
    <x v="6"/>
    <x v="54"/>
    <x v="1"/>
    <n v="12216.73"/>
    <x v="0"/>
    <x v="0"/>
  </r>
  <r>
    <x v="6"/>
    <x v="6"/>
    <x v="6"/>
    <x v="54"/>
    <x v="2"/>
    <n v="30.57"/>
    <x v="7"/>
    <x v="2"/>
  </r>
  <r>
    <x v="8"/>
    <x v="8"/>
    <x v="8"/>
    <x v="54"/>
    <x v="1"/>
    <n v="3477.82"/>
    <x v="0"/>
    <x v="0"/>
  </r>
  <r>
    <x v="8"/>
    <x v="8"/>
    <x v="8"/>
    <x v="54"/>
    <x v="2"/>
    <n v="8.6999999999999993"/>
    <x v="7"/>
    <x v="2"/>
  </r>
  <r>
    <x v="0"/>
    <x v="0"/>
    <x v="0"/>
    <x v="55"/>
    <x v="1"/>
    <n v="47100"/>
    <x v="0"/>
    <x v="0"/>
  </r>
  <r>
    <x v="0"/>
    <x v="0"/>
    <x v="0"/>
    <x v="55"/>
    <x v="0"/>
    <n v="11.28"/>
    <x v="0"/>
    <x v="0"/>
  </r>
  <r>
    <x v="0"/>
    <x v="0"/>
    <x v="0"/>
    <x v="55"/>
    <x v="2"/>
    <n v="16.920000000000002"/>
    <x v="7"/>
    <x v="1"/>
  </r>
  <r>
    <x v="1"/>
    <x v="1"/>
    <x v="1"/>
    <x v="55"/>
    <x v="1"/>
    <n v="47100"/>
    <x v="0"/>
    <x v="0"/>
  </r>
  <r>
    <x v="1"/>
    <x v="1"/>
    <x v="1"/>
    <x v="55"/>
    <x v="0"/>
    <n v="11.28"/>
    <x v="0"/>
    <x v="0"/>
  </r>
  <r>
    <x v="1"/>
    <x v="1"/>
    <x v="1"/>
    <x v="55"/>
    <x v="2"/>
    <n v="16.920000000000002"/>
    <x v="7"/>
    <x v="1"/>
  </r>
  <r>
    <x v="3"/>
    <x v="3"/>
    <x v="3"/>
    <x v="55"/>
    <x v="1"/>
    <n v="35957.25"/>
    <x v="0"/>
    <x v="0"/>
  </r>
  <r>
    <x v="3"/>
    <x v="3"/>
    <x v="3"/>
    <x v="55"/>
    <x v="0"/>
    <n v="8.6300000000000008"/>
    <x v="0"/>
    <x v="0"/>
  </r>
  <r>
    <x v="3"/>
    <x v="3"/>
    <x v="3"/>
    <x v="55"/>
    <x v="2"/>
    <n v="12.94"/>
    <x v="7"/>
    <x v="1"/>
  </r>
  <r>
    <x v="4"/>
    <x v="4"/>
    <x v="4"/>
    <x v="55"/>
    <x v="1"/>
    <n v="39999.96"/>
    <x v="0"/>
    <x v="0"/>
  </r>
  <r>
    <x v="4"/>
    <x v="4"/>
    <x v="4"/>
    <x v="55"/>
    <x v="0"/>
    <n v="9.6"/>
    <x v="0"/>
    <x v="0"/>
  </r>
  <r>
    <x v="4"/>
    <x v="4"/>
    <x v="4"/>
    <x v="55"/>
    <x v="2"/>
    <n v="14.4"/>
    <x v="7"/>
    <x v="1"/>
  </r>
  <r>
    <x v="5"/>
    <x v="5"/>
    <x v="5"/>
    <x v="55"/>
    <x v="1"/>
    <n v="39999.96"/>
    <x v="0"/>
    <x v="0"/>
  </r>
  <r>
    <x v="5"/>
    <x v="5"/>
    <x v="5"/>
    <x v="55"/>
    <x v="0"/>
    <n v="9.6"/>
    <x v="0"/>
    <x v="0"/>
  </r>
  <r>
    <x v="5"/>
    <x v="5"/>
    <x v="5"/>
    <x v="55"/>
    <x v="2"/>
    <n v="14.4"/>
    <x v="7"/>
    <x v="1"/>
  </r>
  <r>
    <x v="0"/>
    <x v="0"/>
    <x v="0"/>
    <x v="56"/>
    <x v="1"/>
    <n v="10774.48"/>
    <x v="0"/>
    <x v="0"/>
  </r>
  <r>
    <x v="0"/>
    <x v="0"/>
    <x v="0"/>
    <x v="56"/>
    <x v="0"/>
    <n v="2.61"/>
    <x v="0"/>
    <x v="0"/>
  </r>
  <r>
    <x v="0"/>
    <x v="0"/>
    <x v="0"/>
    <x v="56"/>
    <x v="2"/>
    <n v="3.91"/>
    <x v="7"/>
    <x v="1"/>
  </r>
  <r>
    <x v="1"/>
    <x v="1"/>
    <x v="1"/>
    <x v="56"/>
    <x v="1"/>
    <n v="22899.96"/>
    <x v="0"/>
    <x v="0"/>
  </r>
  <r>
    <x v="1"/>
    <x v="1"/>
    <x v="1"/>
    <x v="56"/>
    <x v="0"/>
    <n v="5.52"/>
    <x v="0"/>
    <x v="0"/>
  </r>
  <r>
    <x v="1"/>
    <x v="1"/>
    <x v="1"/>
    <x v="56"/>
    <x v="2"/>
    <n v="8.2799999999999994"/>
    <x v="7"/>
    <x v="1"/>
  </r>
  <r>
    <x v="2"/>
    <x v="2"/>
    <x v="2"/>
    <x v="57"/>
    <x v="1"/>
    <n v="10681.39"/>
    <x v="0"/>
    <x v="0"/>
  </r>
  <r>
    <x v="2"/>
    <x v="2"/>
    <x v="2"/>
    <x v="57"/>
    <x v="2"/>
    <n v="504.18"/>
    <x v="7"/>
    <x v="2"/>
  </r>
  <r>
    <x v="6"/>
    <x v="6"/>
    <x v="6"/>
    <x v="57"/>
    <x v="1"/>
    <n v="12216.73"/>
    <x v="0"/>
    <x v="0"/>
  </r>
  <r>
    <x v="6"/>
    <x v="6"/>
    <x v="6"/>
    <x v="57"/>
    <x v="2"/>
    <n v="576.6"/>
    <x v="7"/>
    <x v="2"/>
  </r>
  <r>
    <x v="8"/>
    <x v="8"/>
    <x v="8"/>
    <x v="57"/>
    <x v="1"/>
    <n v="3393.47"/>
    <x v="0"/>
    <x v="0"/>
  </r>
  <r>
    <x v="8"/>
    <x v="8"/>
    <x v="8"/>
    <x v="57"/>
    <x v="2"/>
    <n v="160.16"/>
    <x v="7"/>
    <x v="2"/>
  </r>
  <r>
    <x v="0"/>
    <x v="0"/>
    <x v="0"/>
    <x v="58"/>
    <x v="1"/>
    <n v="47100"/>
    <x v="0"/>
    <x v="0"/>
  </r>
  <r>
    <x v="0"/>
    <x v="0"/>
    <x v="0"/>
    <x v="58"/>
    <x v="0"/>
    <n v="1483.68"/>
    <x v="0"/>
    <x v="0"/>
  </r>
  <r>
    <x v="0"/>
    <x v="0"/>
    <x v="0"/>
    <x v="58"/>
    <x v="2"/>
    <n v="2223.12"/>
    <x v="7"/>
    <x v="2"/>
  </r>
  <r>
    <x v="1"/>
    <x v="1"/>
    <x v="1"/>
    <x v="58"/>
    <x v="1"/>
    <n v="47100"/>
    <x v="0"/>
    <x v="0"/>
  </r>
  <r>
    <x v="1"/>
    <x v="1"/>
    <x v="1"/>
    <x v="58"/>
    <x v="0"/>
    <n v="1483.68"/>
    <x v="0"/>
    <x v="0"/>
  </r>
  <r>
    <x v="1"/>
    <x v="1"/>
    <x v="1"/>
    <x v="58"/>
    <x v="2"/>
    <n v="2223.12"/>
    <x v="7"/>
    <x v="2"/>
  </r>
  <r>
    <x v="2"/>
    <x v="2"/>
    <x v="2"/>
    <x v="58"/>
    <x v="1"/>
    <n v="900.63"/>
    <x v="0"/>
    <x v="0"/>
  </r>
  <r>
    <x v="2"/>
    <x v="2"/>
    <x v="2"/>
    <x v="58"/>
    <x v="0"/>
    <n v="28.37"/>
    <x v="0"/>
    <x v="0"/>
  </r>
  <r>
    <x v="2"/>
    <x v="2"/>
    <x v="2"/>
    <x v="58"/>
    <x v="2"/>
    <n v="42.51"/>
    <x v="7"/>
    <x v="2"/>
  </r>
  <r>
    <x v="3"/>
    <x v="3"/>
    <x v="3"/>
    <x v="58"/>
    <x v="1"/>
    <n v="35957.25"/>
    <x v="0"/>
    <x v="0"/>
  </r>
  <r>
    <x v="3"/>
    <x v="3"/>
    <x v="3"/>
    <x v="58"/>
    <x v="0"/>
    <n v="1132.6500000000001"/>
    <x v="0"/>
    <x v="0"/>
  </r>
  <r>
    <x v="3"/>
    <x v="3"/>
    <x v="3"/>
    <x v="58"/>
    <x v="2"/>
    <n v="1697.18"/>
    <x v="7"/>
    <x v="2"/>
  </r>
  <r>
    <x v="4"/>
    <x v="4"/>
    <x v="4"/>
    <x v="58"/>
    <x v="1"/>
    <n v="39999.96"/>
    <x v="0"/>
    <x v="0"/>
  </r>
  <r>
    <x v="4"/>
    <x v="4"/>
    <x v="4"/>
    <x v="58"/>
    <x v="0"/>
    <n v="1260"/>
    <x v="0"/>
    <x v="0"/>
  </r>
  <r>
    <x v="4"/>
    <x v="4"/>
    <x v="4"/>
    <x v="58"/>
    <x v="2"/>
    <n v="1887.96"/>
    <x v="7"/>
    <x v="2"/>
  </r>
  <r>
    <x v="5"/>
    <x v="5"/>
    <x v="5"/>
    <x v="58"/>
    <x v="1"/>
    <n v="39999.96"/>
    <x v="0"/>
    <x v="0"/>
  </r>
  <r>
    <x v="5"/>
    <x v="5"/>
    <x v="5"/>
    <x v="58"/>
    <x v="0"/>
    <n v="1260"/>
    <x v="0"/>
    <x v="0"/>
  </r>
  <r>
    <x v="5"/>
    <x v="5"/>
    <x v="5"/>
    <x v="58"/>
    <x v="2"/>
    <n v="1887.96"/>
    <x v="7"/>
    <x v="2"/>
  </r>
  <r>
    <x v="8"/>
    <x v="8"/>
    <x v="8"/>
    <x v="58"/>
    <x v="1"/>
    <n v="84.35"/>
    <x v="0"/>
    <x v="0"/>
  </r>
  <r>
    <x v="8"/>
    <x v="8"/>
    <x v="8"/>
    <x v="58"/>
    <x v="0"/>
    <n v="2.66"/>
    <x v="0"/>
    <x v="0"/>
  </r>
  <r>
    <x v="8"/>
    <x v="8"/>
    <x v="8"/>
    <x v="58"/>
    <x v="2"/>
    <n v="3.98"/>
    <x v="7"/>
    <x v="2"/>
  </r>
  <r>
    <x v="0"/>
    <x v="0"/>
    <x v="0"/>
    <x v="59"/>
    <x v="1"/>
    <n v="10774.48"/>
    <x v="0"/>
    <x v="0"/>
  </r>
  <r>
    <x v="0"/>
    <x v="0"/>
    <x v="0"/>
    <x v="59"/>
    <x v="0"/>
    <n v="930.92"/>
    <x v="0"/>
    <x v="0"/>
  </r>
  <r>
    <x v="0"/>
    <x v="0"/>
    <x v="0"/>
    <x v="59"/>
    <x v="2"/>
    <n v="1395.31"/>
    <x v="7"/>
    <x v="2"/>
  </r>
  <r>
    <x v="1"/>
    <x v="1"/>
    <x v="1"/>
    <x v="59"/>
    <x v="1"/>
    <n v="22899.96"/>
    <x v="0"/>
    <x v="0"/>
  </r>
  <r>
    <x v="1"/>
    <x v="1"/>
    <x v="1"/>
    <x v="59"/>
    <x v="0"/>
    <n v="1978.56"/>
    <x v="0"/>
    <x v="0"/>
  </r>
  <r>
    <x v="1"/>
    <x v="1"/>
    <x v="1"/>
    <x v="59"/>
    <x v="2"/>
    <n v="2965.56"/>
    <x v="7"/>
    <x v="2"/>
  </r>
  <r>
    <x v="2"/>
    <x v="2"/>
    <x v="2"/>
    <x v="60"/>
    <x v="1"/>
    <n v="10681.39"/>
    <x v="0"/>
    <x v="0"/>
  </r>
  <r>
    <x v="2"/>
    <x v="2"/>
    <x v="2"/>
    <x v="60"/>
    <x v="2"/>
    <n v="137.78"/>
    <x v="7"/>
    <x v="2"/>
  </r>
  <r>
    <x v="6"/>
    <x v="6"/>
    <x v="6"/>
    <x v="60"/>
    <x v="1"/>
    <n v="12216.73"/>
    <x v="0"/>
    <x v="0"/>
  </r>
  <r>
    <x v="6"/>
    <x v="6"/>
    <x v="6"/>
    <x v="60"/>
    <x v="2"/>
    <n v="157.55000000000001"/>
    <x v="7"/>
    <x v="2"/>
  </r>
  <r>
    <x v="8"/>
    <x v="8"/>
    <x v="8"/>
    <x v="60"/>
    <x v="1"/>
    <n v="3393.46"/>
    <x v="0"/>
    <x v="0"/>
  </r>
  <r>
    <x v="8"/>
    <x v="8"/>
    <x v="8"/>
    <x v="60"/>
    <x v="2"/>
    <n v="43.77"/>
    <x v="7"/>
    <x v="2"/>
  </r>
  <r>
    <x v="0"/>
    <x v="0"/>
    <x v="0"/>
    <x v="61"/>
    <x v="1"/>
    <n v="47100"/>
    <x v="0"/>
    <x v="0"/>
  </r>
  <r>
    <x v="0"/>
    <x v="0"/>
    <x v="0"/>
    <x v="61"/>
    <x v="0"/>
    <n v="405.12"/>
    <x v="0"/>
    <x v="0"/>
  </r>
  <r>
    <x v="0"/>
    <x v="0"/>
    <x v="0"/>
    <x v="61"/>
    <x v="2"/>
    <n v="607.55999999999995"/>
    <x v="7"/>
    <x v="2"/>
  </r>
  <r>
    <x v="1"/>
    <x v="1"/>
    <x v="1"/>
    <x v="61"/>
    <x v="1"/>
    <n v="47100"/>
    <x v="0"/>
    <x v="0"/>
  </r>
  <r>
    <x v="1"/>
    <x v="1"/>
    <x v="1"/>
    <x v="61"/>
    <x v="0"/>
    <n v="405.12"/>
    <x v="0"/>
    <x v="0"/>
  </r>
  <r>
    <x v="1"/>
    <x v="1"/>
    <x v="1"/>
    <x v="61"/>
    <x v="2"/>
    <n v="607.55999999999995"/>
    <x v="7"/>
    <x v="2"/>
  </r>
  <r>
    <x v="2"/>
    <x v="2"/>
    <x v="2"/>
    <x v="61"/>
    <x v="1"/>
    <n v="900.63"/>
    <x v="0"/>
    <x v="0"/>
  </r>
  <r>
    <x v="2"/>
    <x v="2"/>
    <x v="2"/>
    <x v="61"/>
    <x v="0"/>
    <n v="7.75"/>
    <x v="0"/>
    <x v="0"/>
  </r>
  <r>
    <x v="2"/>
    <x v="2"/>
    <x v="2"/>
    <x v="61"/>
    <x v="2"/>
    <n v="11.62"/>
    <x v="7"/>
    <x v="2"/>
  </r>
  <r>
    <x v="3"/>
    <x v="3"/>
    <x v="3"/>
    <x v="61"/>
    <x v="1"/>
    <n v="35957.25"/>
    <x v="0"/>
    <x v="0"/>
  </r>
  <r>
    <x v="3"/>
    <x v="3"/>
    <x v="3"/>
    <x v="61"/>
    <x v="0"/>
    <n v="309.23"/>
    <x v="0"/>
    <x v="0"/>
  </r>
  <r>
    <x v="3"/>
    <x v="3"/>
    <x v="3"/>
    <x v="61"/>
    <x v="2"/>
    <n v="463.85"/>
    <x v="7"/>
    <x v="2"/>
  </r>
  <r>
    <x v="4"/>
    <x v="4"/>
    <x v="4"/>
    <x v="61"/>
    <x v="1"/>
    <n v="39999.96"/>
    <x v="0"/>
    <x v="0"/>
  </r>
  <r>
    <x v="4"/>
    <x v="4"/>
    <x v="4"/>
    <x v="61"/>
    <x v="0"/>
    <n v="344.04"/>
    <x v="0"/>
    <x v="0"/>
  </r>
  <r>
    <x v="4"/>
    <x v="4"/>
    <x v="4"/>
    <x v="61"/>
    <x v="2"/>
    <n v="516"/>
    <x v="7"/>
    <x v="2"/>
  </r>
  <r>
    <x v="5"/>
    <x v="5"/>
    <x v="5"/>
    <x v="61"/>
    <x v="1"/>
    <n v="39999.96"/>
    <x v="0"/>
    <x v="0"/>
  </r>
  <r>
    <x v="5"/>
    <x v="5"/>
    <x v="5"/>
    <x v="61"/>
    <x v="0"/>
    <n v="344.04"/>
    <x v="0"/>
    <x v="0"/>
  </r>
  <r>
    <x v="5"/>
    <x v="5"/>
    <x v="5"/>
    <x v="61"/>
    <x v="2"/>
    <n v="516"/>
    <x v="7"/>
    <x v="2"/>
  </r>
  <r>
    <x v="8"/>
    <x v="8"/>
    <x v="8"/>
    <x v="61"/>
    <x v="1"/>
    <n v="84.36"/>
    <x v="0"/>
    <x v="0"/>
  </r>
  <r>
    <x v="8"/>
    <x v="8"/>
    <x v="8"/>
    <x v="61"/>
    <x v="0"/>
    <n v="0.71"/>
    <x v="0"/>
    <x v="0"/>
  </r>
  <r>
    <x v="8"/>
    <x v="8"/>
    <x v="8"/>
    <x v="61"/>
    <x v="2"/>
    <n v="1.08"/>
    <x v="7"/>
    <x v="2"/>
  </r>
  <r>
    <x v="0"/>
    <x v="0"/>
    <x v="0"/>
    <x v="62"/>
    <x v="1"/>
    <n v="10774.48"/>
    <x v="0"/>
    <x v="0"/>
  </r>
  <r>
    <x v="0"/>
    <x v="0"/>
    <x v="0"/>
    <x v="62"/>
    <x v="0"/>
    <n v="116.36"/>
    <x v="0"/>
    <x v="0"/>
  </r>
  <r>
    <x v="0"/>
    <x v="0"/>
    <x v="0"/>
    <x v="62"/>
    <x v="2"/>
    <n v="174.49"/>
    <x v="7"/>
    <x v="2"/>
  </r>
  <r>
    <x v="1"/>
    <x v="1"/>
    <x v="1"/>
    <x v="62"/>
    <x v="1"/>
    <n v="22899.96"/>
    <x v="0"/>
    <x v="0"/>
  </r>
  <r>
    <x v="1"/>
    <x v="1"/>
    <x v="1"/>
    <x v="62"/>
    <x v="0"/>
    <n v="247.32"/>
    <x v="0"/>
    <x v="0"/>
  </r>
  <r>
    <x v="1"/>
    <x v="1"/>
    <x v="1"/>
    <x v="62"/>
    <x v="2"/>
    <n v="370.92"/>
    <x v="7"/>
    <x v="2"/>
  </r>
  <r>
    <x v="0"/>
    <x v="0"/>
    <x v="0"/>
    <x v="63"/>
    <x v="1"/>
    <n v="47100"/>
    <x v="0"/>
    <x v="0"/>
  </r>
  <r>
    <x v="0"/>
    <x v="0"/>
    <x v="0"/>
    <x v="63"/>
    <x v="0"/>
    <n v="66"/>
    <x v="0"/>
    <x v="0"/>
  </r>
  <r>
    <x v="0"/>
    <x v="0"/>
    <x v="0"/>
    <x v="63"/>
    <x v="2"/>
    <n v="98.88"/>
    <x v="7"/>
    <x v="2"/>
  </r>
  <r>
    <x v="1"/>
    <x v="1"/>
    <x v="1"/>
    <x v="63"/>
    <x v="1"/>
    <n v="47100"/>
    <x v="0"/>
    <x v="0"/>
  </r>
  <r>
    <x v="1"/>
    <x v="1"/>
    <x v="1"/>
    <x v="63"/>
    <x v="0"/>
    <n v="66"/>
    <x v="0"/>
    <x v="0"/>
  </r>
  <r>
    <x v="1"/>
    <x v="1"/>
    <x v="1"/>
    <x v="63"/>
    <x v="2"/>
    <n v="98.88"/>
    <x v="7"/>
    <x v="2"/>
  </r>
  <r>
    <x v="0"/>
    <x v="0"/>
    <x v="0"/>
    <x v="64"/>
    <x v="1"/>
    <n v="10774.48"/>
    <x v="0"/>
    <x v="0"/>
  </r>
  <r>
    <x v="0"/>
    <x v="0"/>
    <x v="0"/>
    <x v="64"/>
    <x v="0"/>
    <n v="15.07"/>
    <x v="0"/>
    <x v="0"/>
  </r>
  <r>
    <x v="0"/>
    <x v="0"/>
    <x v="0"/>
    <x v="64"/>
    <x v="2"/>
    <n v="22.65"/>
    <x v="7"/>
    <x v="2"/>
  </r>
  <r>
    <x v="1"/>
    <x v="1"/>
    <x v="1"/>
    <x v="64"/>
    <x v="1"/>
    <n v="22899.96"/>
    <x v="0"/>
    <x v="0"/>
  </r>
  <r>
    <x v="1"/>
    <x v="1"/>
    <x v="1"/>
    <x v="64"/>
    <x v="0"/>
    <n v="32.04"/>
    <x v="0"/>
    <x v="0"/>
  </r>
  <r>
    <x v="1"/>
    <x v="1"/>
    <x v="1"/>
    <x v="64"/>
    <x v="2"/>
    <n v="48.12"/>
    <x v="7"/>
    <x v="2"/>
  </r>
  <r>
    <x v="2"/>
    <x v="2"/>
    <x v="2"/>
    <x v="65"/>
    <x v="2"/>
    <n v="-696.09"/>
    <x v="7"/>
    <x v="2"/>
  </r>
  <r>
    <x v="6"/>
    <x v="6"/>
    <x v="6"/>
    <x v="65"/>
    <x v="2"/>
    <n v="-734.22"/>
    <x v="7"/>
    <x v="2"/>
  </r>
  <r>
    <x v="8"/>
    <x v="8"/>
    <x v="8"/>
    <x v="65"/>
    <x v="2"/>
    <n v="-209.02"/>
    <x v="7"/>
    <x v="2"/>
  </r>
  <r>
    <x v="0"/>
    <x v="0"/>
    <x v="0"/>
    <x v="66"/>
    <x v="1"/>
    <n v="47100"/>
    <x v="0"/>
    <x v="0"/>
  </r>
  <r>
    <x v="0"/>
    <x v="0"/>
    <x v="0"/>
    <x v="66"/>
    <x v="0"/>
    <n v="242.52"/>
    <x v="0"/>
    <x v="0"/>
  </r>
  <r>
    <x v="0"/>
    <x v="0"/>
    <x v="0"/>
    <x v="66"/>
    <x v="2"/>
    <n v="242.52"/>
    <x v="7"/>
    <x v="2"/>
  </r>
  <r>
    <x v="1"/>
    <x v="1"/>
    <x v="1"/>
    <x v="66"/>
    <x v="1"/>
    <n v="47100"/>
    <x v="0"/>
    <x v="0"/>
  </r>
  <r>
    <x v="1"/>
    <x v="1"/>
    <x v="1"/>
    <x v="66"/>
    <x v="0"/>
    <n v="242.52"/>
    <x v="0"/>
    <x v="0"/>
  </r>
  <r>
    <x v="1"/>
    <x v="1"/>
    <x v="1"/>
    <x v="66"/>
    <x v="2"/>
    <n v="242.52"/>
    <x v="7"/>
    <x v="2"/>
  </r>
  <r>
    <x v="2"/>
    <x v="2"/>
    <x v="2"/>
    <x v="66"/>
    <x v="1"/>
    <n v="11582.02"/>
    <x v="0"/>
    <x v="0"/>
  </r>
  <r>
    <x v="2"/>
    <x v="2"/>
    <x v="2"/>
    <x v="66"/>
    <x v="0"/>
    <n v="59.66"/>
    <x v="0"/>
    <x v="0"/>
  </r>
  <r>
    <x v="2"/>
    <x v="2"/>
    <x v="2"/>
    <x v="66"/>
    <x v="2"/>
    <n v="59.66"/>
    <x v="7"/>
    <x v="2"/>
  </r>
  <r>
    <x v="3"/>
    <x v="3"/>
    <x v="3"/>
    <x v="66"/>
    <x v="1"/>
    <n v="35957.25"/>
    <x v="0"/>
    <x v="0"/>
  </r>
  <r>
    <x v="3"/>
    <x v="3"/>
    <x v="3"/>
    <x v="66"/>
    <x v="0"/>
    <n v="185.18"/>
    <x v="0"/>
    <x v="0"/>
  </r>
  <r>
    <x v="3"/>
    <x v="3"/>
    <x v="3"/>
    <x v="66"/>
    <x v="2"/>
    <n v="185.18"/>
    <x v="7"/>
    <x v="2"/>
  </r>
  <r>
    <x v="4"/>
    <x v="4"/>
    <x v="4"/>
    <x v="66"/>
    <x v="1"/>
    <n v="39999.96"/>
    <x v="0"/>
    <x v="0"/>
  </r>
  <r>
    <x v="4"/>
    <x v="4"/>
    <x v="4"/>
    <x v="66"/>
    <x v="0"/>
    <n v="206.04"/>
    <x v="0"/>
    <x v="0"/>
  </r>
  <r>
    <x v="4"/>
    <x v="4"/>
    <x v="4"/>
    <x v="66"/>
    <x v="2"/>
    <n v="206.04"/>
    <x v="7"/>
    <x v="2"/>
  </r>
  <r>
    <x v="5"/>
    <x v="5"/>
    <x v="5"/>
    <x v="66"/>
    <x v="1"/>
    <n v="39999.96"/>
    <x v="0"/>
    <x v="0"/>
  </r>
  <r>
    <x v="5"/>
    <x v="5"/>
    <x v="5"/>
    <x v="66"/>
    <x v="0"/>
    <n v="206.04"/>
    <x v="0"/>
    <x v="0"/>
  </r>
  <r>
    <x v="5"/>
    <x v="5"/>
    <x v="5"/>
    <x v="66"/>
    <x v="2"/>
    <n v="206.04"/>
    <x v="7"/>
    <x v="2"/>
  </r>
  <r>
    <x v="6"/>
    <x v="6"/>
    <x v="6"/>
    <x v="66"/>
    <x v="1"/>
    <n v="12216.73"/>
    <x v="0"/>
    <x v="0"/>
  </r>
  <r>
    <x v="6"/>
    <x v="6"/>
    <x v="6"/>
    <x v="66"/>
    <x v="0"/>
    <n v="62.91"/>
    <x v="0"/>
    <x v="0"/>
  </r>
  <r>
    <x v="6"/>
    <x v="6"/>
    <x v="6"/>
    <x v="66"/>
    <x v="2"/>
    <n v="62.91"/>
    <x v="7"/>
    <x v="2"/>
  </r>
  <r>
    <x v="8"/>
    <x v="8"/>
    <x v="8"/>
    <x v="66"/>
    <x v="1"/>
    <n v="3477.82"/>
    <x v="0"/>
    <x v="0"/>
  </r>
  <r>
    <x v="8"/>
    <x v="8"/>
    <x v="8"/>
    <x v="66"/>
    <x v="0"/>
    <n v="17.899999999999999"/>
    <x v="0"/>
    <x v="0"/>
  </r>
  <r>
    <x v="8"/>
    <x v="8"/>
    <x v="8"/>
    <x v="66"/>
    <x v="2"/>
    <n v="17.899999999999999"/>
    <x v="7"/>
    <x v="2"/>
  </r>
  <r>
    <x v="0"/>
    <x v="0"/>
    <x v="0"/>
    <x v="67"/>
    <x v="1"/>
    <n v="10774.48"/>
    <x v="0"/>
    <x v="0"/>
  </r>
  <r>
    <x v="0"/>
    <x v="0"/>
    <x v="0"/>
    <x v="67"/>
    <x v="0"/>
    <n v="89.92"/>
    <x v="0"/>
    <x v="0"/>
  </r>
  <r>
    <x v="0"/>
    <x v="0"/>
    <x v="0"/>
    <x v="67"/>
    <x v="2"/>
    <n v="89.92"/>
    <x v="7"/>
    <x v="2"/>
  </r>
  <r>
    <x v="1"/>
    <x v="1"/>
    <x v="1"/>
    <x v="67"/>
    <x v="1"/>
    <n v="22899.96"/>
    <x v="0"/>
    <x v="0"/>
  </r>
  <r>
    <x v="1"/>
    <x v="1"/>
    <x v="1"/>
    <x v="67"/>
    <x v="0"/>
    <n v="191.16"/>
    <x v="0"/>
    <x v="0"/>
  </r>
  <r>
    <x v="1"/>
    <x v="1"/>
    <x v="1"/>
    <x v="67"/>
    <x v="2"/>
    <n v="191.16"/>
    <x v="7"/>
    <x v="2"/>
  </r>
  <r>
    <x v="0"/>
    <x v="0"/>
    <x v="0"/>
    <x v="68"/>
    <x v="2"/>
    <n v="774"/>
    <x v="7"/>
    <x v="2"/>
  </r>
  <r>
    <x v="1"/>
    <x v="1"/>
    <x v="1"/>
    <x v="68"/>
    <x v="2"/>
    <n v="774"/>
    <x v="7"/>
    <x v="2"/>
  </r>
  <r>
    <x v="3"/>
    <x v="3"/>
    <x v="3"/>
    <x v="68"/>
    <x v="2"/>
    <n v="774"/>
    <x v="7"/>
    <x v="2"/>
  </r>
  <r>
    <x v="4"/>
    <x v="4"/>
    <x v="4"/>
    <x v="68"/>
    <x v="2"/>
    <n v="774"/>
    <x v="7"/>
    <x v="2"/>
  </r>
  <r>
    <x v="5"/>
    <x v="5"/>
    <x v="5"/>
    <x v="68"/>
    <x v="2"/>
    <n v="774"/>
    <x v="7"/>
    <x v="2"/>
  </r>
  <r>
    <x v="0"/>
    <x v="0"/>
    <x v="0"/>
    <x v="69"/>
    <x v="1"/>
    <n v="206"/>
    <x v="0"/>
    <x v="0"/>
  </r>
  <r>
    <x v="0"/>
    <x v="0"/>
    <x v="0"/>
    <x v="69"/>
    <x v="0"/>
    <n v="894.04"/>
    <x v="0"/>
    <x v="0"/>
  </r>
  <r>
    <x v="0"/>
    <x v="0"/>
    <x v="0"/>
    <x v="69"/>
    <x v="2"/>
    <n v="1339"/>
    <x v="7"/>
    <x v="2"/>
  </r>
  <r>
    <x v="1"/>
    <x v="1"/>
    <x v="1"/>
    <x v="69"/>
    <x v="1"/>
    <n v="213"/>
    <x v="0"/>
    <x v="0"/>
  </r>
  <r>
    <x v="1"/>
    <x v="1"/>
    <x v="1"/>
    <x v="69"/>
    <x v="0"/>
    <n v="924.42"/>
    <x v="0"/>
    <x v="0"/>
  </r>
  <r>
    <x v="1"/>
    <x v="1"/>
    <x v="1"/>
    <x v="69"/>
    <x v="2"/>
    <n v="1384.5"/>
    <x v="7"/>
    <x v="2"/>
  </r>
  <r>
    <x v="2"/>
    <x v="2"/>
    <x v="2"/>
    <x v="69"/>
    <x v="1"/>
    <n v="92"/>
    <x v="0"/>
    <x v="0"/>
  </r>
  <r>
    <x v="2"/>
    <x v="2"/>
    <x v="2"/>
    <x v="69"/>
    <x v="0"/>
    <n v="399.28"/>
    <x v="0"/>
    <x v="0"/>
  </r>
  <r>
    <x v="2"/>
    <x v="2"/>
    <x v="2"/>
    <x v="69"/>
    <x v="2"/>
    <n v="598"/>
    <x v="7"/>
    <x v="2"/>
  </r>
  <r>
    <x v="3"/>
    <x v="3"/>
    <x v="3"/>
    <x v="69"/>
    <x v="1"/>
    <n v="209"/>
    <x v="0"/>
    <x v="0"/>
  </r>
  <r>
    <x v="3"/>
    <x v="3"/>
    <x v="3"/>
    <x v="69"/>
    <x v="0"/>
    <n v="907.06"/>
    <x v="0"/>
    <x v="0"/>
  </r>
  <r>
    <x v="3"/>
    <x v="3"/>
    <x v="3"/>
    <x v="69"/>
    <x v="2"/>
    <n v="1358.5"/>
    <x v="7"/>
    <x v="2"/>
  </r>
  <r>
    <x v="4"/>
    <x v="4"/>
    <x v="4"/>
    <x v="69"/>
    <x v="1"/>
    <n v="224"/>
    <x v="0"/>
    <x v="0"/>
  </r>
  <r>
    <x v="4"/>
    <x v="4"/>
    <x v="4"/>
    <x v="69"/>
    <x v="0"/>
    <n v="972.16"/>
    <x v="0"/>
    <x v="0"/>
  </r>
  <r>
    <x v="4"/>
    <x v="4"/>
    <x v="4"/>
    <x v="69"/>
    <x v="2"/>
    <n v="1456"/>
    <x v="7"/>
    <x v="2"/>
  </r>
  <r>
    <x v="5"/>
    <x v="5"/>
    <x v="5"/>
    <x v="69"/>
    <x v="1"/>
    <n v="218"/>
    <x v="0"/>
    <x v="0"/>
  </r>
  <r>
    <x v="5"/>
    <x v="5"/>
    <x v="5"/>
    <x v="69"/>
    <x v="0"/>
    <n v="946.12"/>
    <x v="0"/>
    <x v="0"/>
  </r>
  <r>
    <x v="5"/>
    <x v="5"/>
    <x v="5"/>
    <x v="69"/>
    <x v="2"/>
    <n v="1417"/>
    <x v="7"/>
    <x v="2"/>
  </r>
  <r>
    <x v="6"/>
    <x v="6"/>
    <x v="6"/>
    <x v="69"/>
    <x v="1"/>
    <n v="142"/>
    <x v="0"/>
    <x v="0"/>
  </r>
  <r>
    <x v="6"/>
    <x v="6"/>
    <x v="6"/>
    <x v="69"/>
    <x v="0"/>
    <n v="616.28"/>
    <x v="0"/>
    <x v="0"/>
  </r>
  <r>
    <x v="6"/>
    <x v="6"/>
    <x v="6"/>
    <x v="69"/>
    <x v="2"/>
    <n v="923"/>
    <x v="7"/>
    <x v="2"/>
  </r>
  <r>
    <x v="7"/>
    <x v="7"/>
    <x v="7"/>
    <x v="69"/>
    <x v="1"/>
    <n v="81"/>
    <x v="0"/>
    <x v="0"/>
  </r>
  <r>
    <x v="7"/>
    <x v="7"/>
    <x v="7"/>
    <x v="69"/>
    <x v="0"/>
    <n v="351.54"/>
    <x v="0"/>
    <x v="0"/>
  </r>
  <r>
    <x v="7"/>
    <x v="7"/>
    <x v="7"/>
    <x v="69"/>
    <x v="2"/>
    <n v="526.5"/>
    <x v="7"/>
    <x v="2"/>
  </r>
  <r>
    <x v="8"/>
    <x v="8"/>
    <x v="8"/>
    <x v="69"/>
    <x v="1"/>
    <n v="47"/>
    <x v="0"/>
    <x v="0"/>
  </r>
  <r>
    <x v="8"/>
    <x v="8"/>
    <x v="8"/>
    <x v="69"/>
    <x v="0"/>
    <n v="203.98"/>
    <x v="0"/>
    <x v="0"/>
  </r>
  <r>
    <x v="8"/>
    <x v="8"/>
    <x v="8"/>
    <x v="69"/>
    <x v="2"/>
    <n v="305.5"/>
    <x v="7"/>
    <x v="2"/>
  </r>
  <r>
    <x v="0"/>
    <x v="0"/>
    <x v="0"/>
    <x v="70"/>
    <x v="1"/>
    <n v="57874.48"/>
    <x v="0"/>
    <x v="0"/>
  </r>
  <r>
    <x v="0"/>
    <x v="0"/>
    <x v="0"/>
    <x v="70"/>
    <x v="2"/>
    <n v="318.27"/>
    <x v="7"/>
    <x v="1"/>
  </r>
  <r>
    <x v="1"/>
    <x v="1"/>
    <x v="1"/>
    <x v="70"/>
    <x v="1"/>
    <n v="69999.960000000006"/>
    <x v="0"/>
    <x v="0"/>
  </r>
  <r>
    <x v="1"/>
    <x v="1"/>
    <x v="1"/>
    <x v="70"/>
    <x v="2"/>
    <n v="384.96"/>
    <x v="7"/>
    <x v="1"/>
  </r>
  <r>
    <x v="3"/>
    <x v="3"/>
    <x v="3"/>
    <x v="70"/>
    <x v="1"/>
    <n v="35957.25"/>
    <x v="0"/>
    <x v="0"/>
  </r>
  <r>
    <x v="3"/>
    <x v="3"/>
    <x v="3"/>
    <x v="70"/>
    <x v="2"/>
    <n v="197.76"/>
    <x v="7"/>
    <x v="1"/>
  </r>
  <r>
    <x v="4"/>
    <x v="4"/>
    <x v="4"/>
    <x v="70"/>
    <x v="1"/>
    <n v="39999.96"/>
    <x v="0"/>
    <x v="0"/>
  </r>
  <r>
    <x v="4"/>
    <x v="4"/>
    <x v="4"/>
    <x v="70"/>
    <x v="2"/>
    <n v="219.96"/>
    <x v="7"/>
    <x v="1"/>
  </r>
  <r>
    <x v="5"/>
    <x v="5"/>
    <x v="5"/>
    <x v="70"/>
    <x v="1"/>
    <n v="39999.96"/>
    <x v="0"/>
    <x v="0"/>
  </r>
  <r>
    <x v="5"/>
    <x v="5"/>
    <x v="5"/>
    <x v="70"/>
    <x v="2"/>
    <n v="219.96"/>
    <x v="7"/>
    <x v="1"/>
  </r>
  <r>
    <x v="6"/>
    <x v="6"/>
    <x v="6"/>
    <x v="70"/>
    <x v="1"/>
    <n v="12216.73"/>
    <x v="0"/>
    <x v="0"/>
  </r>
  <r>
    <x v="6"/>
    <x v="6"/>
    <x v="6"/>
    <x v="70"/>
    <x v="2"/>
    <n v="67.16"/>
    <x v="7"/>
    <x v="1"/>
  </r>
  <r>
    <x v="7"/>
    <x v="7"/>
    <x v="7"/>
    <x v="70"/>
    <x v="1"/>
    <n v="60.9"/>
    <x v="0"/>
    <x v="0"/>
  </r>
  <r>
    <x v="7"/>
    <x v="7"/>
    <x v="7"/>
    <x v="70"/>
    <x v="2"/>
    <n v="0.33"/>
    <x v="7"/>
    <x v="1"/>
  </r>
  <r>
    <x v="8"/>
    <x v="8"/>
    <x v="8"/>
    <x v="70"/>
    <x v="1"/>
    <n v="3477.82"/>
    <x v="0"/>
    <x v="0"/>
  </r>
  <r>
    <x v="8"/>
    <x v="8"/>
    <x v="8"/>
    <x v="70"/>
    <x v="2"/>
    <n v="19.12"/>
    <x v="7"/>
    <x v="1"/>
  </r>
  <r>
    <x v="0"/>
    <x v="0"/>
    <x v="0"/>
    <x v="71"/>
    <x v="1"/>
    <n v="57874.48"/>
    <x v="0"/>
    <x v="0"/>
  </r>
  <r>
    <x v="0"/>
    <x v="0"/>
    <x v="0"/>
    <x v="71"/>
    <x v="2"/>
    <n v="341.5"/>
    <x v="7"/>
    <x v="1"/>
  </r>
  <r>
    <x v="1"/>
    <x v="1"/>
    <x v="1"/>
    <x v="71"/>
    <x v="1"/>
    <n v="69999.960000000006"/>
    <x v="0"/>
    <x v="0"/>
  </r>
  <r>
    <x v="1"/>
    <x v="1"/>
    <x v="1"/>
    <x v="71"/>
    <x v="2"/>
    <n v="413.04"/>
    <x v="7"/>
    <x v="1"/>
  </r>
  <r>
    <x v="3"/>
    <x v="3"/>
    <x v="3"/>
    <x v="71"/>
    <x v="1"/>
    <n v="35957.25"/>
    <x v="0"/>
    <x v="0"/>
  </r>
  <r>
    <x v="3"/>
    <x v="3"/>
    <x v="3"/>
    <x v="71"/>
    <x v="2"/>
    <n v="212.15"/>
    <x v="7"/>
    <x v="1"/>
  </r>
  <r>
    <x v="4"/>
    <x v="4"/>
    <x v="4"/>
    <x v="71"/>
    <x v="1"/>
    <n v="39999.96"/>
    <x v="0"/>
    <x v="0"/>
  </r>
  <r>
    <x v="4"/>
    <x v="4"/>
    <x v="4"/>
    <x v="71"/>
    <x v="2"/>
    <n v="236.04"/>
    <x v="7"/>
    <x v="1"/>
  </r>
  <r>
    <x v="5"/>
    <x v="5"/>
    <x v="5"/>
    <x v="71"/>
    <x v="1"/>
    <n v="39999.96"/>
    <x v="0"/>
    <x v="0"/>
  </r>
  <r>
    <x v="5"/>
    <x v="5"/>
    <x v="5"/>
    <x v="71"/>
    <x v="2"/>
    <n v="236.04"/>
    <x v="7"/>
    <x v="1"/>
  </r>
  <r>
    <x v="6"/>
    <x v="6"/>
    <x v="6"/>
    <x v="71"/>
    <x v="1"/>
    <n v="12216.73"/>
    <x v="0"/>
    <x v="0"/>
  </r>
  <r>
    <x v="6"/>
    <x v="6"/>
    <x v="6"/>
    <x v="71"/>
    <x v="2"/>
    <n v="72.06"/>
    <x v="7"/>
    <x v="1"/>
  </r>
  <r>
    <x v="7"/>
    <x v="7"/>
    <x v="7"/>
    <x v="71"/>
    <x v="1"/>
    <n v="60.9"/>
    <x v="0"/>
    <x v="0"/>
  </r>
  <r>
    <x v="7"/>
    <x v="7"/>
    <x v="7"/>
    <x v="71"/>
    <x v="2"/>
    <n v="0.36"/>
    <x v="7"/>
    <x v="1"/>
  </r>
  <r>
    <x v="8"/>
    <x v="8"/>
    <x v="8"/>
    <x v="71"/>
    <x v="1"/>
    <n v="3477.82"/>
    <x v="0"/>
    <x v="0"/>
  </r>
  <r>
    <x v="8"/>
    <x v="8"/>
    <x v="8"/>
    <x v="71"/>
    <x v="2"/>
    <n v="20.51"/>
    <x v="7"/>
    <x v="1"/>
  </r>
  <r>
    <x v="0"/>
    <x v="0"/>
    <x v="0"/>
    <x v="72"/>
    <x v="1"/>
    <n v="57874.48"/>
    <x v="0"/>
    <x v="0"/>
  </r>
  <r>
    <x v="0"/>
    <x v="0"/>
    <x v="0"/>
    <x v="72"/>
    <x v="2"/>
    <n v="52.09"/>
    <x v="7"/>
    <x v="1"/>
  </r>
  <r>
    <x v="1"/>
    <x v="1"/>
    <x v="1"/>
    <x v="72"/>
    <x v="1"/>
    <n v="69999.960000000006"/>
    <x v="0"/>
    <x v="0"/>
  </r>
  <r>
    <x v="1"/>
    <x v="1"/>
    <x v="1"/>
    <x v="72"/>
    <x v="2"/>
    <n v="63"/>
    <x v="7"/>
    <x v="1"/>
  </r>
  <r>
    <x v="3"/>
    <x v="3"/>
    <x v="3"/>
    <x v="72"/>
    <x v="1"/>
    <n v="35957.25"/>
    <x v="0"/>
    <x v="0"/>
  </r>
  <r>
    <x v="3"/>
    <x v="3"/>
    <x v="3"/>
    <x v="72"/>
    <x v="2"/>
    <n v="32.36"/>
    <x v="7"/>
    <x v="1"/>
  </r>
  <r>
    <x v="4"/>
    <x v="4"/>
    <x v="4"/>
    <x v="72"/>
    <x v="1"/>
    <n v="39999.96"/>
    <x v="0"/>
    <x v="0"/>
  </r>
  <r>
    <x v="4"/>
    <x v="4"/>
    <x v="4"/>
    <x v="72"/>
    <x v="2"/>
    <n v="36"/>
    <x v="7"/>
    <x v="1"/>
  </r>
  <r>
    <x v="5"/>
    <x v="5"/>
    <x v="5"/>
    <x v="72"/>
    <x v="1"/>
    <n v="39999.96"/>
    <x v="0"/>
    <x v="0"/>
  </r>
  <r>
    <x v="5"/>
    <x v="5"/>
    <x v="5"/>
    <x v="72"/>
    <x v="2"/>
    <n v="36"/>
    <x v="7"/>
    <x v="1"/>
  </r>
  <r>
    <x v="6"/>
    <x v="6"/>
    <x v="6"/>
    <x v="72"/>
    <x v="1"/>
    <n v="12216.73"/>
    <x v="0"/>
    <x v="0"/>
  </r>
  <r>
    <x v="6"/>
    <x v="6"/>
    <x v="6"/>
    <x v="72"/>
    <x v="2"/>
    <n v="11.03"/>
    <x v="7"/>
    <x v="1"/>
  </r>
  <r>
    <x v="7"/>
    <x v="7"/>
    <x v="7"/>
    <x v="72"/>
    <x v="1"/>
    <n v="60.9"/>
    <x v="0"/>
    <x v="0"/>
  </r>
  <r>
    <x v="7"/>
    <x v="7"/>
    <x v="7"/>
    <x v="72"/>
    <x v="2"/>
    <n v="0.05"/>
    <x v="7"/>
    <x v="1"/>
  </r>
  <r>
    <x v="8"/>
    <x v="8"/>
    <x v="8"/>
    <x v="72"/>
    <x v="1"/>
    <n v="3477.82"/>
    <x v="0"/>
    <x v="0"/>
  </r>
  <r>
    <x v="8"/>
    <x v="8"/>
    <x v="8"/>
    <x v="72"/>
    <x v="2"/>
    <n v="3.14"/>
    <x v="7"/>
    <x v="1"/>
  </r>
  <r>
    <x v="0"/>
    <x v="0"/>
    <x v="0"/>
    <x v="73"/>
    <x v="0"/>
    <n v="10786.73"/>
    <x v="0"/>
    <x v="0"/>
  </r>
  <r>
    <x v="1"/>
    <x v="1"/>
    <x v="1"/>
    <x v="73"/>
    <x v="0"/>
    <n v="12951.96"/>
    <x v="0"/>
    <x v="0"/>
  </r>
  <r>
    <x v="2"/>
    <x v="2"/>
    <x v="2"/>
    <x v="73"/>
    <x v="0"/>
    <n v="161.52000000000001"/>
    <x v="0"/>
    <x v="0"/>
  </r>
  <r>
    <x v="3"/>
    <x v="3"/>
    <x v="3"/>
    <x v="73"/>
    <x v="0"/>
    <n v="6728.14"/>
    <x v="0"/>
    <x v="0"/>
  </r>
  <r>
    <x v="4"/>
    <x v="4"/>
    <x v="4"/>
    <x v="73"/>
    <x v="0"/>
    <n v="7478.64"/>
    <x v="0"/>
    <x v="0"/>
  </r>
  <r>
    <x v="5"/>
    <x v="5"/>
    <x v="5"/>
    <x v="73"/>
    <x v="0"/>
    <n v="7478.64"/>
    <x v="0"/>
    <x v="0"/>
  </r>
  <r>
    <x v="6"/>
    <x v="6"/>
    <x v="6"/>
    <x v="73"/>
    <x v="0"/>
    <n v="62.91"/>
    <x v="0"/>
    <x v="0"/>
  </r>
  <r>
    <x v="7"/>
    <x v="7"/>
    <x v="7"/>
    <x v="73"/>
    <x v="0"/>
    <n v="8.51"/>
    <x v="0"/>
    <x v="0"/>
  </r>
  <r>
    <x v="8"/>
    <x v="8"/>
    <x v="8"/>
    <x v="73"/>
    <x v="0"/>
    <n v="34.28"/>
    <x v="0"/>
    <x v="0"/>
  </r>
  <r>
    <x v="0"/>
    <x v="0"/>
    <x v="0"/>
    <x v="74"/>
    <x v="0"/>
    <n v="2575.11"/>
    <x v="0"/>
    <x v="0"/>
  </r>
  <r>
    <x v="1"/>
    <x v="1"/>
    <x v="1"/>
    <x v="74"/>
    <x v="0"/>
    <n v="2953.86"/>
    <x v="0"/>
    <x v="0"/>
  </r>
  <r>
    <x v="2"/>
    <x v="2"/>
    <x v="2"/>
    <x v="74"/>
    <x v="0"/>
    <n v="399.28"/>
    <x v="0"/>
    <x v="0"/>
  </r>
  <r>
    <x v="3"/>
    <x v="3"/>
    <x v="3"/>
    <x v="74"/>
    <x v="0"/>
    <n v="1959.43"/>
    <x v="0"/>
    <x v="0"/>
  </r>
  <r>
    <x v="4"/>
    <x v="4"/>
    <x v="4"/>
    <x v="74"/>
    <x v="0"/>
    <n v="2140.2399999999998"/>
    <x v="0"/>
    <x v="0"/>
  </r>
  <r>
    <x v="5"/>
    <x v="5"/>
    <x v="5"/>
    <x v="74"/>
    <x v="0"/>
    <n v="2114.1999999999998"/>
    <x v="0"/>
    <x v="0"/>
  </r>
  <r>
    <x v="6"/>
    <x v="6"/>
    <x v="6"/>
    <x v="74"/>
    <x v="0"/>
    <n v="616.28"/>
    <x v="0"/>
    <x v="0"/>
  </r>
  <r>
    <x v="7"/>
    <x v="7"/>
    <x v="7"/>
    <x v="74"/>
    <x v="0"/>
    <n v="353.28"/>
    <x v="0"/>
    <x v="0"/>
  </r>
  <r>
    <x v="8"/>
    <x v="8"/>
    <x v="8"/>
    <x v="74"/>
    <x v="0"/>
    <n v="206.9"/>
    <x v="0"/>
    <x v="0"/>
  </r>
  <r>
    <x v="0"/>
    <x v="0"/>
    <x v="0"/>
    <x v="75"/>
    <x v="0"/>
    <n v="13361.84"/>
    <x v="0"/>
    <x v="0"/>
  </r>
  <r>
    <x v="0"/>
    <x v="0"/>
    <x v="0"/>
    <x v="75"/>
    <x v="2"/>
    <n v="25625.21"/>
    <x v="8"/>
    <x v="1"/>
  </r>
  <r>
    <x v="1"/>
    <x v="1"/>
    <x v="1"/>
    <x v="75"/>
    <x v="0"/>
    <n v="15905.82"/>
    <x v="0"/>
    <x v="0"/>
  </r>
  <r>
    <x v="1"/>
    <x v="1"/>
    <x v="1"/>
    <x v="75"/>
    <x v="2"/>
    <n v="30619.5"/>
    <x v="8"/>
    <x v="1"/>
  </r>
  <r>
    <x v="2"/>
    <x v="2"/>
    <x v="2"/>
    <x v="75"/>
    <x v="0"/>
    <n v="560.79999999999995"/>
    <x v="0"/>
    <x v="0"/>
  </r>
  <r>
    <x v="2"/>
    <x v="2"/>
    <x v="2"/>
    <x v="75"/>
    <x v="2"/>
    <n v="732.94"/>
    <x v="8"/>
    <x v="1"/>
  </r>
  <r>
    <x v="3"/>
    <x v="3"/>
    <x v="3"/>
    <x v="75"/>
    <x v="0"/>
    <n v="8687.57"/>
    <x v="0"/>
    <x v="0"/>
  </r>
  <r>
    <x v="3"/>
    <x v="3"/>
    <x v="3"/>
    <x v="75"/>
    <x v="2"/>
    <n v="14492.34"/>
    <x v="8"/>
    <x v="1"/>
  </r>
  <r>
    <x v="4"/>
    <x v="4"/>
    <x v="4"/>
    <x v="75"/>
    <x v="0"/>
    <n v="9618.8799999999992"/>
    <x v="0"/>
    <x v="0"/>
  </r>
  <r>
    <x v="4"/>
    <x v="4"/>
    <x v="4"/>
    <x v="75"/>
    <x v="2"/>
    <n v="15979.28"/>
    <x v="8"/>
    <x v="1"/>
  </r>
  <r>
    <x v="5"/>
    <x v="5"/>
    <x v="5"/>
    <x v="75"/>
    <x v="0"/>
    <n v="9592.84"/>
    <x v="0"/>
    <x v="0"/>
  </r>
  <r>
    <x v="5"/>
    <x v="5"/>
    <x v="5"/>
    <x v="75"/>
    <x v="2"/>
    <n v="15940.28"/>
    <x v="8"/>
    <x v="1"/>
  </r>
  <r>
    <x v="6"/>
    <x v="6"/>
    <x v="6"/>
    <x v="75"/>
    <x v="0"/>
    <n v="679.19"/>
    <x v="0"/>
    <x v="0"/>
  </r>
  <r>
    <x v="6"/>
    <x v="6"/>
    <x v="6"/>
    <x v="75"/>
    <x v="2"/>
    <n v="1217.0899999999999"/>
    <x v="8"/>
    <x v="1"/>
  </r>
  <r>
    <x v="7"/>
    <x v="7"/>
    <x v="7"/>
    <x v="75"/>
    <x v="0"/>
    <n v="361.79"/>
    <x v="0"/>
    <x v="0"/>
  </r>
  <r>
    <x v="7"/>
    <x v="7"/>
    <x v="7"/>
    <x v="75"/>
    <x v="2"/>
    <n v="545.59"/>
    <x v="8"/>
    <x v="1"/>
  </r>
  <r>
    <x v="8"/>
    <x v="8"/>
    <x v="8"/>
    <x v="75"/>
    <x v="0"/>
    <n v="241.18"/>
    <x v="0"/>
    <x v="0"/>
  </r>
  <r>
    <x v="8"/>
    <x v="8"/>
    <x v="8"/>
    <x v="75"/>
    <x v="2"/>
    <n v="389.99"/>
    <x v="8"/>
    <x v="1"/>
  </r>
  <r>
    <x v="0"/>
    <x v="0"/>
    <x v="0"/>
    <x v="76"/>
    <x v="0"/>
    <n v="47861.75"/>
    <x v="0"/>
    <x v="0"/>
  </r>
  <r>
    <x v="1"/>
    <x v="1"/>
    <x v="1"/>
    <x v="76"/>
    <x v="0"/>
    <n v="57822"/>
    <x v="0"/>
    <x v="0"/>
  </r>
  <r>
    <x v="2"/>
    <x v="2"/>
    <x v="2"/>
    <x v="76"/>
    <x v="0"/>
    <n v="11420.5"/>
    <x v="0"/>
    <x v="0"/>
  </r>
  <r>
    <x v="3"/>
    <x v="3"/>
    <x v="3"/>
    <x v="76"/>
    <x v="0"/>
    <n v="30003.11"/>
    <x v="0"/>
    <x v="0"/>
  </r>
  <r>
    <x v="4"/>
    <x v="4"/>
    <x v="4"/>
    <x v="76"/>
    <x v="0"/>
    <n v="33295.32"/>
    <x v="0"/>
    <x v="0"/>
  </r>
  <r>
    <x v="5"/>
    <x v="5"/>
    <x v="5"/>
    <x v="76"/>
    <x v="0"/>
    <n v="33295.32"/>
    <x v="0"/>
    <x v="0"/>
  </r>
  <r>
    <x v="6"/>
    <x v="6"/>
    <x v="6"/>
    <x v="76"/>
    <x v="0"/>
    <n v="12153.82"/>
    <x v="0"/>
    <x v="0"/>
  </r>
  <r>
    <x v="7"/>
    <x v="7"/>
    <x v="7"/>
    <x v="76"/>
    <x v="0"/>
    <n v="2549.3200000000002"/>
    <x v="0"/>
    <x v="0"/>
  </r>
  <r>
    <x v="8"/>
    <x v="8"/>
    <x v="8"/>
    <x v="76"/>
    <x v="0"/>
    <n v="3443.54"/>
    <x v="0"/>
    <x v="0"/>
  </r>
  <r>
    <x v="0"/>
    <x v="0"/>
    <x v="0"/>
    <x v="77"/>
    <x v="1"/>
    <n v="106.62"/>
    <x v="0"/>
    <x v="0"/>
  </r>
  <r>
    <x v="0"/>
    <x v="0"/>
    <x v="0"/>
    <x v="77"/>
    <x v="0"/>
    <n v="99.48"/>
    <x v="0"/>
    <x v="0"/>
  </r>
  <r>
    <x v="3"/>
    <x v="3"/>
    <x v="3"/>
    <x v="77"/>
    <x v="1"/>
    <n v="35.99"/>
    <x v="0"/>
    <x v="0"/>
  </r>
  <r>
    <x v="3"/>
    <x v="3"/>
    <x v="3"/>
    <x v="77"/>
    <x v="0"/>
    <n v="33.58"/>
    <x v="0"/>
    <x v="0"/>
  </r>
  <r>
    <x v="0"/>
    <x v="0"/>
    <x v="0"/>
    <x v="78"/>
    <x v="1"/>
    <n v="774"/>
    <x v="0"/>
    <x v="0"/>
  </r>
  <r>
    <x v="1"/>
    <x v="1"/>
    <x v="1"/>
    <x v="78"/>
    <x v="1"/>
    <n v="774"/>
    <x v="0"/>
    <x v="0"/>
  </r>
  <r>
    <x v="3"/>
    <x v="3"/>
    <x v="3"/>
    <x v="78"/>
    <x v="1"/>
    <n v="774"/>
    <x v="0"/>
    <x v="0"/>
  </r>
  <r>
    <x v="4"/>
    <x v="4"/>
    <x v="4"/>
    <x v="78"/>
    <x v="1"/>
    <n v="774"/>
    <x v="0"/>
    <x v="0"/>
  </r>
  <r>
    <x v="5"/>
    <x v="5"/>
    <x v="5"/>
    <x v="78"/>
    <x v="1"/>
    <n v="774"/>
    <x v="0"/>
    <x v="0"/>
  </r>
  <r>
    <x v="0"/>
    <x v="0"/>
    <x v="0"/>
    <x v="79"/>
    <x v="1"/>
    <n v="47964.32"/>
    <x v="0"/>
    <x v="0"/>
  </r>
  <r>
    <x v="0"/>
    <x v="0"/>
    <x v="0"/>
    <x v="79"/>
    <x v="0"/>
    <n v="-6187.37"/>
    <x v="0"/>
    <x v="0"/>
  </r>
  <r>
    <x v="1"/>
    <x v="1"/>
    <x v="1"/>
    <x v="79"/>
    <x v="1"/>
    <n v="57822"/>
    <x v="0"/>
    <x v="0"/>
  </r>
  <r>
    <x v="1"/>
    <x v="1"/>
    <x v="1"/>
    <x v="79"/>
    <x v="0"/>
    <n v="-3584.96"/>
    <x v="0"/>
    <x v="0"/>
  </r>
  <r>
    <x v="3"/>
    <x v="3"/>
    <x v="3"/>
    <x v="79"/>
    <x v="1"/>
    <n v="30037.73"/>
    <x v="0"/>
    <x v="0"/>
  </r>
  <r>
    <x v="3"/>
    <x v="3"/>
    <x v="3"/>
    <x v="79"/>
    <x v="0"/>
    <n v="-345.45"/>
    <x v="0"/>
    <x v="0"/>
  </r>
  <r>
    <x v="4"/>
    <x v="4"/>
    <x v="4"/>
    <x v="79"/>
    <x v="1"/>
    <n v="33295.32"/>
    <x v="0"/>
    <x v="0"/>
  </r>
  <r>
    <x v="4"/>
    <x v="4"/>
    <x v="4"/>
    <x v="79"/>
    <x v="0"/>
    <n v="-1548.27"/>
    <x v="0"/>
    <x v="0"/>
  </r>
  <r>
    <x v="5"/>
    <x v="5"/>
    <x v="5"/>
    <x v="79"/>
    <x v="1"/>
    <n v="33295.32"/>
    <x v="0"/>
    <x v="0"/>
  </r>
  <r>
    <x v="0"/>
    <x v="0"/>
    <x v="0"/>
    <x v="80"/>
    <x v="0"/>
    <n v="44612.12"/>
    <x v="0"/>
    <x v="0"/>
  </r>
  <r>
    <x v="1"/>
    <x v="1"/>
    <x v="1"/>
    <x v="80"/>
    <x v="0"/>
    <n v="54094.14"/>
    <x v="0"/>
    <x v="0"/>
  </r>
  <r>
    <x v="2"/>
    <x v="2"/>
    <x v="2"/>
    <x v="80"/>
    <x v="0"/>
    <n v="11021.22"/>
    <x v="0"/>
    <x v="0"/>
  </r>
  <r>
    <x v="3"/>
    <x v="3"/>
    <x v="3"/>
    <x v="80"/>
    <x v="0"/>
    <n v="27303.26"/>
    <x v="0"/>
    <x v="0"/>
  </r>
  <r>
    <x v="4"/>
    <x v="4"/>
    <x v="4"/>
    <x v="80"/>
    <x v="0"/>
    <n v="30953.48"/>
    <x v="0"/>
    <x v="0"/>
  </r>
  <r>
    <x v="5"/>
    <x v="5"/>
    <x v="5"/>
    <x v="80"/>
    <x v="0"/>
    <n v="30536.17"/>
    <x v="0"/>
    <x v="0"/>
  </r>
  <r>
    <x v="6"/>
    <x v="6"/>
    <x v="6"/>
    <x v="80"/>
    <x v="0"/>
    <n v="11537.54"/>
    <x v="0"/>
    <x v="0"/>
  </r>
  <r>
    <x v="7"/>
    <x v="7"/>
    <x v="7"/>
    <x v="80"/>
    <x v="0"/>
    <n v="2196.04"/>
    <x v="0"/>
    <x v="0"/>
  </r>
  <r>
    <x v="8"/>
    <x v="8"/>
    <x v="8"/>
    <x v="80"/>
    <x v="0"/>
    <n v="3236.64"/>
    <x v="0"/>
    <x v="0"/>
  </r>
  <r>
    <x v="0"/>
    <x v="0"/>
    <x v="0"/>
    <x v="81"/>
    <x v="1"/>
    <n v="47861.75"/>
    <x v="0"/>
    <x v="0"/>
  </r>
  <r>
    <x v="1"/>
    <x v="1"/>
    <x v="1"/>
    <x v="81"/>
    <x v="1"/>
    <n v="57822"/>
    <x v="0"/>
    <x v="0"/>
  </r>
  <r>
    <x v="2"/>
    <x v="2"/>
    <x v="2"/>
    <x v="81"/>
    <x v="1"/>
    <n v="11420.5"/>
    <x v="0"/>
    <x v="0"/>
  </r>
  <r>
    <x v="3"/>
    <x v="3"/>
    <x v="3"/>
    <x v="81"/>
    <x v="1"/>
    <n v="30003.11"/>
    <x v="0"/>
    <x v="0"/>
  </r>
  <r>
    <x v="4"/>
    <x v="4"/>
    <x v="4"/>
    <x v="81"/>
    <x v="1"/>
    <n v="33295.32"/>
    <x v="0"/>
    <x v="0"/>
  </r>
  <r>
    <x v="5"/>
    <x v="5"/>
    <x v="5"/>
    <x v="81"/>
    <x v="1"/>
    <n v="33295.32"/>
    <x v="0"/>
    <x v="0"/>
  </r>
  <r>
    <x v="6"/>
    <x v="6"/>
    <x v="6"/>
    <x v="81"/>
    <x v="1"/>
    <n v="12153.82"/>
    <x v="0"/>
    <x v="0"/>
  </r>
  <r>
    <x v="7"/>
    <x v="7"/>
    <x v="7"/>
    <x v="81"/>
    <x v="1"/>
    <n v="2549.3200000000002"/>
    <x v="0"/>
    <x v="0"/>
  </r>
  <r>
    <x v="8"/>
    <x v="8"/>
    <x v="8"/>
    <x v="81"/>
    <x v="1"/>
    <n v="3443.54"/>
    <x v="0"/>
    <x v="0"/>
  </r>
  <r>
    <x v="0"/>
    <x v="0"/>
    <x v="0"/>
    <x v="82"/>
    <x v="1"/>
    <n v="45506.16"/>
    <x v="0"/>
    <x v="0"/>
  </r>
  <r>
    <x v="1"/>
    <x v="1"/>
    <x v="1"/>
    <x v="82"/>
    <x v="1"/>
    <n v="55018.559999999998"/>
    <x v="0"/>
    <x v="0"/>
  </r>
  <r>
    <x v="2"/>
    <x v="2"/>
    <x v="2"/>
    <x v="82"/>
    <x v="1"/>
    <n v="11420.5"/>
    <x v="0"/>
    <x v="0"/>
  </r>
  <r>
    <x v="3"/>
    <x v="3"/>
    <x v="3"/>
    <x v="82"/>
    <x v="1"/>
    <n v="28210.32"/>
    <x v="0"/>
    <x v="0"/>
  </r>
  <r>
    <x v="4"/>
    <x v="4"/>
    <x v="4"/>
    <x v="82"/>
    <x v="1"/>
    <n v="31353.24"/>
    <x v="0"/>
    <x v="0"/>
  </r>
  <r>
    <x v="5"/>
    <x v="5"/>
    <x v="5"/>
    <x v="82"/>
    <x v="1"/>
    <n v="31353.24"/>
    <x v="0"/>
    <x v="0"/>
  </r>
  <r>
    <x v="6"/>
    <x v="6"/>
    <x v="6"/>
    <x v="82"/>
    <x v="1"/>
    <n v="12153.82"/>
    <x v="0"/>
    <x v="0"/>
  </r>
  <r>
    <x v="7"/>
    <x v="7"/>
    <x v="7"/>
    <x v="82"/>
    <x v="1"/>
    <n v="2547.58"/>
    <x v="0"/>
    <x v="0"/>
  </r>
  <r>
    <x v="8"/>
    <x v="8"/>
    <x v="8"/>
    <x v="82"/>
    <x v="1"/>
    <n v="3440.62"/>
    <x v="0"/>
    <x v="0"/>
  </r>
  <r>
    <x v="4"/>
    <x v="4"/>
    <x v="4"/>
    <x v="83"/>
    <x v="1"/>
    <n v="1044.8"/>
    <x v="0"/>
    <x v="0"/>
  </r>
  <r>
    <x v="4"/>
    <x v="4"/>
    <x v="4"/>
    <x v="83"/>
    <x v="0"/>
    <n v="522.4"/>
    <x v="9"/>
    <x v="2"/>
  </r>
  <r>
    <x v="5"/>
    <x v="5"/>
    <x v="5"/>
    <x v="83"/>
    <x v="1"/>
    <n v="258.10000000000002"/>
    <x v="0"/>
    <x v="0"/>
  </r>
  <r>
    <x v="5"/>
    <x v="5"/>
    <x v="5"/>
    <x v="83"/>
    <x v="0"/>
    <n v="129.05000000000001"/>
    <x v="9"/>
    <x v="2"/>
  </r>
  <r>
    <x v="4"/>
    <x v="4"/>
    <x v="4"/>
    <x v="84"/>
    <x v="0"/>
    <n v="50"/>
    <x v="0"/>
    <x v="0"/>
  </r>
  <r>
    <x v="0"/>
    <x v="0"/>
    <x v="0"/>
    <x v="85"/>
    <x v="0"/>
    <n v="38424.75"/>
    <x v="0"/>
    <x v="0"/>
  </r>
  <r>
    <x v="1"/>
    <x v="1"/>
    <x v="1"/>
    <x v="85"/>
    <x v="0"/>
    <n v="50509.18"/>
    <x v="0"/>
    <x v="0"/>
  </r>
  <r>
    <x v="2"/>
    <x v="2"/>
    <x v="2"/>
    <x v="85"/>
    <x v="0"/>
    <n v="11021.22"/>
    <x v="0"/>
    <x v="0"/>
  </r>
  <r>
    <x v="3"/>
    <x v="3"/>
    <x v="3"/>
    <x v="85"/>
    <x v="0"/>
    <n v="26957.81"/>
    <x v="0"/>
    <x v="0"/>
  </r>
  <r>
    <x v="4"/>
    <x v="4"/>
    <x v="4"/>
    <x v="85"/>
    <x v="0"/>
    <n v="29405.21"/>
    <x v="0"/>
    <x v="0"/>
  </r>
  <r>
    <x v="5"/>
    <x v="5"/>
    <x v="5"/>
    <x v="85"/>
    <x v="0"/>
    <n v="30536.17"/>
    <x v="0"/>
    <x v="0"/>
  </r>
  <r>
    <x v="6"/>
    <x v="6"/>
    <x v="6"/>
    <x v="85"/>
    <x v="0"/>
    <n v="11537.54"/>
    <x v="0"/>
    <x v="0"/>
  </r>
  <r>
    <x v="7"/>
    <x v="7"/>
    <x v="7"/>
    <x v="85"/>
    <x v="0"/>
    <n v="2196.04"/>
    <x v="0"/>
    <x v="0"/>
  </r>
  <r>
    <x v="8"/>
    <x v="8"/>
    <x v="8"/>
    <x v="85"/>
    <x v="0"/>
    <n v="3236.64"/>
    <x v="0"/>
    <x v="0"/>
  </r>
  <r>
    <x v="4"/>
    <x v="4"/>
    <x v="4"/>
    <x v="86"/>
    <x v="0"/>
    <n v="572.4"/>
    <x v="0"/>
    <x v="0"/>
  </r>
  <r>
    <x v="5"/>
    <x v="5"/>
    <x v="5"/>
    <x v="86"/>
    <x v="0"/>
    <n v="129.05000000000001"/>
    <x v="0"/>
    <x v="0"/>
  </r>
  <r>
    <x v="0"/>
    <x v="0"/>
    <x v="0"/>
    <x v="87"/>
    <x v="0"/>
    <n v="83499.69"/>
    <x v="0"/>
    <x v="0"/>
  </r>
  <r>
    <x v="1"/>
    <x v="1"/>
    <x v="1"/>
    <x v="87"/>
    <x v="0"/>
    <n v="100619.46"/>
    <x v="0"/>
    <x v="0"/>
  </r>
  <r>
    <x v="2"/>
    <x v="2"/>
    <x v="2"/>
    <x v="87"/>
    <x v="0"/>
    <n v="12314.96"/>
    <x v="0"/>
    <x v="0"/>
  </r>
  <r>
    <x v="3"/>
    <x v="3"/>
    <x v="3"/>
    <x v="87"/>
    <x v="0"/>
    <n v="50449.59"/>
    <x v="0"/>
    <x v="0"/>
  </r>
  <r>
    <x v="4"/>
    <x v="4"/>
    <x v="4"/>
    <x v="87"/>
    <x v="0"/>
    <n v="56551.64"/>
    <x v="0"/>
    <x v="0"/>
  </r>
  <r>
    <x v="5"/>
    <x v="5"/>
    <x v="5"/>
    <x v="87"/>
    <x v="0"/>
    <n v="56069.29"/>
    <x v="0"/>
    <x v="0"/>
  </r>
  <r>
    <x v="6"/>
    <x v="6"/>
    <x v="6"/>
    <x v="87"/>
    <x v="0"/>
    <n v="13433.82"/>
    <x v="0"/>
    <x v="0"/>
  </r>
  <r>
    <x v="7"/>
    <x v="7"/>
    <x v="7"/>
    <x v="87"/>
    <x v="0"/>
    <n v="3103.42"/>
    <x v="0"/>
    <x v="0"/>
  </r>
  <r>
    <x v="8"/>
    <x v="8"/>
    <x v="8"/>
    <x v="87"/>
    <x v="0"/>
    <n v="3867.81"/>
    <x v="0"/>
    <x v="0"/>
  </r>
  <r>
    <x v="0"/>
    <x v="0"/>
    <x v="0"/>
    <x v="88"/>
    <x v="0"/>
    <n v="518915.04"/>
    <x v="0"/>
    <x v="0"/>
  </r>
  <r>
    <x v="0"/>
    <x v="0"/>
    <x v="0"/>
    <x v="89"/>
    <x v="0"/>
    <n v="665540.73"/>
    <x v="0"/>
    <x v="0"/>
  </r>
  <r>
    <x v="0"/>
    <x v="0"/>
    <x v="0"/>
    <x v="89"/>
    <x v="2"/>
    <n v="121065.05"/>
    <x v="10"/>
    <x v="1"/>
  </r>
  <r>
    <x v="0"/>
    <x v="0"/>
    <x v="0"/>
    <x v="90"/>
    <x v="0"/>
    <n v="708005.74"/>
    <x v="0"/>
    <x v="0"/>
  </r>
  <r>
    <x v="0"/>
    <x v="0"/>
    <x v="0"/>
    <x v="91"/>
    <x v="0"/>
    <n v="669788.47"/>
    <x v="0"/>
    <x v="0"/>
  </r>
  <r>
    <x v="0"/>
    <x v="0"/>
    <x v="0"/>
    <x v="91"/>
    <x v="2"/>
    <n v="38217.269999999997"/>
    <x v="10"/>
    <x v="1"/>
  </r>
  <r>
    <x v="0"/>
    <x v="0"/>
    <x v="0"/>
    <x v="92"/>
    <x v="0"/>
    <n v="11607.26"/>
    <x v="0"/>
    <x v="0"/>
  </r>
  <r>
    <x v="0"/>
    <x v="0"/>
    <x v="0"/>
    <x v="93"/>
    <x v="0"/>
    <n v="651664.81999999995"/>
    <x v="0"/>
    <x v="0"/>
  </r>
  <r>
    <x v="0"/>
    <x v="0"/>
    <x v="0"/>
    <x v="94"/>
    <x v="0"/>
    <n v="13774.88"/>
    <x v="0"/>
    <x v="0"/>
  </r>
  <r>
    <x v="0"/>
    <x v="0"/>
    <x v="0"/>
    <x v="94"/>
    <x v="2"/>
    <n v="712.82"/>
    <x v="10"/>
    <x v="1"/>
  </r>
  <r>
    <x v="0"/>
    <x v="0"/>
    <x v="0"/>
    <x v="95"/>
    <x v="0"/>
    <n v="665439.69999999995"/>
    <x v="0"/>
    <x v="0"/>
  </r>
  <r>
    <x v="0"/>
    <x v="0"/>
    <x v="0"/>
    <x v="95"/>
    <x v="2"/>
    <n v="101.03"/>
    <x v="10"/>
    <x v="1"/>
  </r>
  <r>
    <x v="9"/>
    <x v="9"/>
    <x v="9"/>
    <x v="96"/>
    <x v="3"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7D3CF-1E7F-4D1D-A46B-31FD22AA3E6B}" name="Tableau croisé dynamique1" cacheId="34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11:G13" firstHeaderRow="1" firstDataRow="1" firstDataCol="5"/>
  <pivotFields count="22"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5"/>
    <field x="8"/>
    <field x="20"/>
  </rowFields>
  <rowItems count="2">
    <i>
      <x/>
      <x/>
      <x/>
      <x/>
      <x/>
    </i>
    <i t="grand">
      <x/>
    </i>
  </rowItems>
  <colItems count="1">
    <i/>
  </colItems>
  <dataFields count="1">
    <dataField name="Somme de montant" fld="21" baseField="0" baseItem="0" numFmtId="164"/>
  </dataFields>
  <formats count="10">
    <format dxfId="98">
      <pivotArea field="0" type="button" dataOnly="0" labelOnly="1" outline="0" axis="axisRow" fieldPosition="0"/>
    </format>
    <format dxfId="97">
      <pivotArea field="1" type="button" dataOnly="0" labelOnly="1" outline="0" axis="axisRow" fieldPosition="1"/>
    </format>
    <format dxfId="96">
      <pivotArea field="5" type="button" dataOnly="0" labelOnly="1" outline="0" axis="axisRow" fieldPosition="2"/>
    </format>
    <format dxfId="95">
      <pivotArea field="8" type="button" dataOnly="0" labelOnly="1" outline="0" axis="axisRow" fieldPosition="3"/>
    </format>
    <format dxfId="94">
      <pivotArea field="20" type="button" dataOnly="0" labelOnly="1" outline="0" axis="axisRow" fieldPosition="4"/>
    </format>
    <format dxfId="93">
      <pivotArea dataOnly="0" labelOnly="1" outline="0" axis="axisValues" fieldPosition="0"/>
    </format>
    <format dxfId="92">
      <pivotArea grandRow="1" outline="0" collapsedLevelsAreSubtotals="1" fieldPosition="0"/>
    </format>
    <format dxfId="91">
      <pivotArea dataOnly="0" labelOnly="1" grandRow="1" outline="0" fieldPosition="0"/>
    </format>
    <format dxfId="90">
      <pivotArea grandRow="1" outline="0" collapsedLevelsAreSubtotals="1" fieldPosition="0"/>
    </format>
    <format dxfId="8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B3320-362A-47B3-B2AD-0248D6C3F866}" name="Tableau croisé dynamique5" cacheId="34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A3:G14" firstHeaderRow="1" firstDataRow="2" firstDataCol="3" rowPageCount="1" colPageCount="1"/>
  <pivotFields count="8"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10">
        <item x="4"/>
        <item x="1"/>
        <item x="7"/>
        <item x="6"/>
        <item x="8"/>
        <item x="2"/>
        <item x="0"/>
        <item x="5"/>
        <item x="3"/>
        <item x="9"/>
      </items>
    </pivotField>
    <pivotField axis="axisRow" compact="0" outline="0" showAll="0" defaultSubtotal="0">
      <items count="10">
        <item x="7"/>
        <item x="1"/>
        <item x="8"/>
        <item x="0"/>
        <item x="4"/>
        <item x="2"/>
        <item x="5"/>
        <item x="3"/>
        <item x="6"/>
        <item x="9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axis="axisCol" compact="0" outline="0" showAll="0" defaultSubtotal="0">
      <items count="11">
        <item h="1" x="1"/>
        <item h="1" x="8"/>
        <item x="7"/>
        <item h="1" x="5"/>
        <item h="1" x="4"/>
        <item h="1" x="2"/>
        <item h="1" x="3"/>
        <item h="1" x="10"/>
        <item x="6"/>
        <item h="1" x="0"/>
        <item x="9"/>
      </items>
    </pivotField>
    <pivotField axis="axisPage" compact="0" outline="0" showAll="0" defaultSubtotal="0">
      <items count="3">
        <item x="1"/>
        <item x="2"/>
        <item x="0"/>
      </items>
    </pivotField>
  </pivotFields>
  <rowFields count="3">
    <field x="0"/>
    <field x="1"/>
    <field x="2"/>
  </rowFields>
  <rowItems count="10">
    <i>
      <x/>
      <x v="6"/>
      <x v="3"/>
    </i>
    <i>
      <x v="1"/>
      <x v="1"/>
      <x v="1"/>
    </i>
    <i>
      <x v="2"/>
      <x v="5"/>
      <x v="5"/>
    </i>
    <i>
      <x v="3"/>
      <x v="8"/>
      <x v="7"/>
    </i>
    <i>
      <x v="4"/>
      <x/>
      <x v="4"/>
    </i>
    <i>
      <x v="5"/>
      <x v="7"/>
      <x v="6"/>
    </i>
    <i>
      <x v="6"/>
      <x v="3"/>
      <x v="8"/>
    </i>
    <i>
      <x v="7"/>
      <x v="2"/>
      <x/>
    </i>
    <i>
      <x v="8"/>
      <x v="4"/>
      <x v="2"/>
    </i>
    <i t="grand">
      <x/>
    </i>
  </rowItems>
  <colFields count="1">
    <field x="6"/>
  </colFields>
  <colItems count="4">
    <i>
      <x v="2"/>
    </i>
    <i>
      <x v="8"/>
    </i>
    <i>
      <x v="10"/>
    </i>
    <i t="grand">
      <x/>
    </i>
  </colItems>
  <pageFields count="1">
    <pageField fld="7" item="1" hier="-1"/>
  </pageFields>
  <dataFields count="1">
    <dataField name="Somme de Valeur" fld="5" baseField="0" baseItem="0" numFmtId="164"/>
  </dataFields>
  <formats count="1">
    <format dxfId="6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5-01-05T15:14:43.87" personId="{8A14008D-280F-4885-A0E1-5DCECC99CC53}" id="{A0A06C9E-AE6B-4859-8AC2-9339FD2BAB14}">
    <text>Responsable technique</text>
  </threadedComment>
  <threadedComment ref="D7" dT="2025-01-05T15:14:55.15" personId="{8A14008D-280F-4885-A0E1-5DCECC99CC53}" id="{5433DF04-9B24-4BF3-8819-37A5B6A26972}">
    <text>Responsable Financier</text>
  </threadedComment>
  <threadedComment ref="E7" dT="2025-01-05T15:15:09.09" personId="{8A14008D-280F-4885-A0E1-5DCECC99CC53}" id="{982D5CEF-7F6C-40D8-A14B-2C13BDD9F464}">
    <text>Chargé de valo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581FB7E1-1222-4BF7-A827-8376BC7F5834}">
    <text>À mettre en négatif</text>
  </threadedComment>
  <threadedComment ref="B23" dT="2025-01-28T09:49:15.30" personId="{8A14008D-280F-4885-A0E1-5DCECC99CC53}" id="{523E7389-523E-4912-9704-7F3605D0E065}">
    <text xml:space="preserve">À mettre en négatif
</text>
  </threadedComment>
  <threadedComment ref="B39" dT="2025-01-28T09:48:36.92" personId="{8A14008D-280F-4885-A0E1-5DCECC99CC53}" id="{CA02F8D9-7C8D-435C-AE5D-92CBD4C71355}">
    <text>À mettre en négatif</text>
  </threadedComment>
  <threadedComment ref="B40" dT="2025-01-28T09:51:03.07" personId="{8A14008D-280F-4885-A0E1-5DCECC99CC53}" id="{997435A3-C05A-4592-A1BD-A4F31487A7F1}">
    <text>À mettre en négatif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78FE1F9A-0F11-4BDE-B2FC-FA1B76193E29}">
    <text>À mettre en négatif</text>
  </threadedComment>
  <threadedComment ref="B23" dT="2025-01-28T09:49:15.30" personId="{8A14008D-280F-4885-A0E1-5DCECC99CC53}" id="{5698FB2C-C254-4FE7-B970-EFE366DEC3BC}">
    <text xml:space="preserve">À mettre en négatif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4" dT="2025-01-05T11:41:22.64" personId="{8A14008D-280F-4885-A0E1-5DCECC99CC53}" id="{8AEE1F03-4037-48A3-8825-7BEE5F72A40F}">
    <text>BDS = bulletin de salaire</text>
  </threadedComment>
  <threadedComment ref="F4" dT="2025-01-05T11:41:59.43" personId="{8A14008D-280F-4885-A0E1-5DCECC99CC53}" id="{4A133AFA-17B6-4693-A682-3293DD4F38F1}">
    <text>Mat = matricule</text>
  </threadedComment>
  <threadedComment ref="R4" dT="2025-01-05T11:45:23.78" personId="{8A14008D-280F-4885-A0E1-5DCECC99CC53}" id="{16E4C409-6659-4EB3-900F-B1E1B8548384}">
    <text>Total cotisations patronales</text>
  </threadedComment>
  <threadedComment ref="S4" dT="2025-01-05T11:47:41.23" personId="{8A14008D-280F-4885-A0E1-5DCECC99CC53}" id="{412DD86C-8386-4302-A79C-FD57C06329B5}">
    <text>Cotisations sociales patronales obligatoires</text>
  </threadedComment>
  <threadedComment ref="X14" dT="2025-01-05T14:53:25.66" personId="{8A14008D-280F-4885-A0E1-5DCECC99CC53}" id="{53F4684C-D403-45E9-998D-FB8FF0C7E4DF}">
    <text>JD = Jeune docteur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2" dT="2025-01-05T11:41:59.43" personId="{8A14008D-280F-4885-A0E1-5DCECC99CC53}" id="{B19365E4-335D-4C5A-BD4E-61BB662DF0F2}">
    <text>Mat = matricule</text>
  </threadedComment>
  <threadedComment ref="I2" dT="2025-01-05T11:45:23.78" personId="{8A14008D-280F-4885-A0E1-5DCECC99CC53}" id="{4F2DBC2E-BA12-44E9-8A29-2DF13C97BD6B}">
    <text>Total cotisations patronales</text>
  </threadedComment>
  <threadedComment ref="J2" dT="2025-01-05T11:47:41.23" personId="{8A14008D-280F-4885-A0E1-5DCECC99CC53}" id="{E9A0FA66-E376-432F-91A1-1DB5647133C1}">
    <text>Cotisations sociales patronales obligatoires</text>
  </threadedComment>
  <threadedComment ref="M17" dT="2025-01-05T14:53:25.66" personId="{8A14008D-280F-4885-A0E1-5DCECC99CC53}" id="{CE668B72-4A46-42FA-9136-A24679920894}">
    <text>JD = Jeune docteur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5" dT="2026-01-07T09:45:44.47" personId="{4C5E0A47-8BAB-4B48-93BF-699FDB757C57}" id="{7412BF08-4287-44AC-90D6-105CB45E6262}">
    <text>Supprimer si découpage HRECH précis (cas2)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D4EDA18-9922-4A22-845F-2F822E6D345A}">
    <text>N° compta qui apparait dans le grand livre qui est souvent différent du n°facture</text>
  </threadedComment>
  <threadedComment ref="G4" dT="2025-01-05T20:33:16.53" personId="{8A14008D-280F-4885-A0E1-5DCECC99CC53}" id="{D428C2FA-41E4-4F97-A760-D21A3F3CC432}">
    <text>Enregistré en compta et non celui de la facture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E528AF7-2EFB-4BA1-89BD-9CDA25654234}">
    <text>N° compta qui apparait dans le grand livre qui est souvent différent du n°facture</text>
  </threadedComment>
  <threadedComment ref="G4" dT="2025-01-05T20:33:16.53" personId="{8A14008D-280F-4885-A0E1-5DCECC99CC53}" id="{E19EB2BA-6E6D-47C8-B736-15C48710D42C}">
    <text>Enregistré en compta et non celui de la facture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E4" dT="2025-01-05T20:29:19.42" personId="{8A14008D-280F-4885-A0E1-5DCECC99CC53}" id="{F36165FE-3EFA-440A-A9C0-F96AB06A5FA5}">
    <text>N° compta qui apparait dans le grand livre qui est souvent différent du n°facture</text>
  </threadedComment>
  <threadedComment ref="F4" dT="2025-01-05T20:33:16.53" personId="{8A14008D-280F-4885-A0E1-5DCECC99CC53}" id="{38283587-6948-4C9C-964A-E5E40E6A5197}">
    <text>Enregistré en compta et non celui de la facture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R229" dT="2024-10-30T14:42:43.79" personId="{96B9FA46-3D79-4ACB-8AFA-579B23196C89}" id="{1D929FD6-219F-460A-B725-9FC189A8A141}">
    <text>Calculé sur les heures Lées comme dans la valo</text>
  </threadedComment>
  <threadedComment ref="F277" dT="2024-10-30T14:02:20.19" personId="{96B9FA46-3D79-4ACB-8AFA-579B23196C89}" id="{E9CAE8B9-B2B8-492C-B350-A8F8179A9CCF}">
    <text>Au minimum : à préciser</text>
  </threadedComment>
  <threadedComment ref="F278" dT="2024-10-30T14:03:02.94" personId="{96B9FA46-3D79-4ACB-8AFA-579B23196C89}" id="{B30FF3A8-DC69-4A9D-AEA1-C80552269DC2}">
    <text>Ne fait pas partie de l’effectif</text>
  </threadedComment>
  <threadedComment ref="N278" dT="2024-10-30T13:33:57.39" personId="{96B9FA46-3D79-4ACB-8AFA-579B23196C89}" id="{C3798CA0-AE08-4FB5-AC95-03D45BFE798E}">
    <text>100% du temps qu’il passe 60% sur Excelleria</text>
  </threadedComment>
  <threadedComment ref="F279" dT="2024-10-30T14:03:58.58" personId="{96B9FA46-3D79-4ACB-8AFA-579B23196C89}" id="{49279C25-C707-46C5-86F4-26AB7EAB9B17}">
    <text>Au minimum. A préciser</text>
  </threadedComment>
  <threadedComment ref="H279" dT="2024-10-30T14:04:58.08" personId="{96B9FA46-3D79-4ACB-8AFA-579B23196C89}" id="{92853BF3-894C-4C11-A2ED-D80173C4D791}">
    <text>A préciser</text>
  </threadedComment>
  <threadedComment ref="F280" dT="2024-10-30T14:06:35.01" personId="{96B9FA46-3D79-4ACB-8AFA-579B23196C89}" id="{5A429818-E65B-47A1-9BF7-B56F5B89C39F}">
    <text>A préciser</text>
  </threadedComment>
  <threadedComment ref="F281" dT="2024-10-30T14:06:40.33" personId="{96B9FA46-3D79-4ACB-8AFA-579B23196C89}" id="{4AC9597A-2746-4819-B772-9F71A42FAA05}">
    <text>A préciser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microsoft.com/office/2017/10/relationships/threadedComment" Target="../threadedComments/threadedComment2.xml"/><Relationship Id="rId4" Type="http://schemas.openxmlformats.org/officeDocument/2006/relationships/ctrlProp" Target="../ctrlProps/ctrlProp2.xml"/><Relationship Id="rId9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10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9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EDACE-6AE0-4271-B0B3-E43F3746B25F}">
  <sheetPr codeName="Feuil10"/>
  <dimension ref="A1:B10"/>
  <sheetViews>
    <sheetView workbookViewId="0"/>
  </sheetViews>
  <sheetFormatPr baseColWidth="10" defaultColWidth="11.42578125" defaultRowHeight="15" x14ac:dyDescent="0.25"/>
  <cols>
    <col min="1" max="1" width="10.85546875" bestFit="1" customWidth="1"/>
    <col min="2" max="2" width="66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73">
        <v>45690</v>
      </c>
      <c r="B2" t="s">
        <v>2</v>
      </c>
    </row>
    <row r="3" spans="1:2" x14ac:dyDescent="0.25">
      <c r="A3" s="73">
        <v>45690</v>
      </c>
      <c r="B3" t="s">
        <v>3</v>
      </c>
    </row>
    <row r="4" spans="1:2" x14ac:dyDescent="0.25">
      <c r="A4" s="73">
        <v>45690</v>
      </c>
      <c r="B4" t="s">
        <v>4</v>
      </c>
    </row>
    <row r="5" spans="1:2" x14ac:dyDescent="0.25">
      <c r="A5" s="73">
        <v>45690</v>
      </c>
      <c r="B5" t="s">
        <v>5</v>
      </c>
    </row>
    <row r="6" spans="1:2" x14ac:dyDescent="0.25">
      <c r="A6" s="73">
        <v>45690</v>
      </c>
      <c r="B6" t="s">
        <v>6</v>
      </c>
    </row>
    <row r="7" spans="1:2" x14ac:dyDescent="0.25">
      <c r="A7" s="73">
        <v>45690</v>
      </c>
      <c r="B7" t="s">
        <v>7</v>
      </c>
    </row>
    <row r="8" spans="1:2" x14ac:dyDescent="0.25">
      <c r="A8" s="73">
        <v>45690</v>
      </c>
      <c r="B8" t="s">
        <v>8</v>
      </c>
    </row>
    <row r="9" spans="1:2" x14ac:dyDescent="0.25">
      <c r="A9" s="73">
        <v>45690</v>
      </c>
      <c r="B9" t="s">
        <v>9</v>
      </c>
    </row>
    <row r="10" spans="1:2" x14ac:dyDescent="0.25">
      <c r="A10" s="73">
        <v>45691</v>
      </c>
      <c r="B10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786B-1FB6-40CD-9116-0F7CEECCE56F}">
  <sheetPr codeName="Feuil1"/>
  <dimension ref="A1:V35"/>
  <sheetViews>
    <sheetView topLeftCell="A10" workbookViewId="0">
      <selection activeCell="J32" sqref="J32"/>
    </sheetView>
  </sheetViews>
  <sheetFormatPr baseColWidth="10" defaultColWidth="11.42578125" defaultRowHeight="15" x14ac:dyDescent="0.25"/>
  <cols>
    <col min="1" max="1" width="12" bestFit="1" customWidth="1"/>
    <col min="9" max="9" width="13" bestFit="1" customWidth="1"/>
    <col min="13" max="13" width="27.7109375" bestFit="1" customWidth="1"/>
    <col min="16" max="16" width="31.5703125" bestFit="1" customWidth="1"/>
    <col min="18" max="18" width="15" bestFit="1" customWidth="1"/>
    <col min="19" max="19" width="25.7109375" bestFit="1" customWidth="1"/>
  </cols>
  <sheetData>
    <row r="1" spans="1:22" x14ac:dyDescent="0.25">
      <c r="A1" t="s">
        <v>11</v>
      </c>
      <c r="B1">
        <v>2</v>
      </c>
      <c r="C1">
        <v>3</v>
      </c>
      <c r="D1">
        <v>4</v>
      </c>
      <c r="E1" t="s">
        <v>12</v>
      </c>
    </row>
    <row r="2" spans="1:22" x14ac:dyDescent="0.25">
      <c r="A2" t="s">
        <v>13</v>
      </c>
      <c r="B2" t="s">
        <v>13</v>
      </c>
      <c r="C2" t="s">
        <v>14</v>
      </c>
      <c r="D2" t="s">
        <v>14</v>
      </c>
      <c r="E2" t="s">
        <v>15</v>
      </c>
      <c r="F2" t="s">
        <v>16</v>
      </c>
      <c r="G2" t="s">
        <v>17</v>
      </c>
      <c r="H2" t="s">
        <v>15</v>
      </c>
      <c r="I2" t="s">
        <v>18</v>
      </c>
      <c r="J2" t="s">
        <v>19</v>
      </c>
      <c r="K2" t="s">
        <v>15</v>
      </c>
      <c r="L2" t="s">
        <v>20</v>
      </c>
      <c r="M2" t="s">
        <v>21</v>
      </c>
      <c r="P2" t="s">
        <v>22</v>
      </c>
      <c r="Q2" s="97" t="s">
        <v>23</v>
      </c>
      <c r="S2" t="s">
        <v>24</v>
      </c>
      <c r="U2" t="s">
        <v>13</v>
      </c>
      <c r="V2" t="s">
        <v>25</v>
      </c>
    </row>
    <row r="3" spans="1:22" x14ac:dyDescent="0.25">
      <c r="A3" t="s">
        <v>26</v>
      </c>
      <c r="B3" t="s">
        <v>13</v>
      </c>
      <c r="C3" t="s">
        <v>27</v>
      </c>
      <c r="D3" t="s">
        <v>14</v>
      </c>
      <c r="E3" t="s">
        <v>28</v>
      </c>
      <c r="F3" t="s">
        <v>29</v>
      </c>
      <c r="G3" t="s">
        <v>30</v>
      </c>
      <c r="H3" t="s">
        <v>28</v>
      </c>
      <c r="I3" t="s">
        <v>31</v>
      </c>
      <c r="J3" t="s">
        <v>32</v>
      </c>
      <c r="K3" t="s">
        <v>28</v>
      </c>
      <c r="L3" t="s">
        <v>33</v>
      </c>
      <c r="M3" t="s">
        <v>34</v>
      </c>
      <c r="P3" t="s">
        <v>35</v>
      </c>
      <c r="Q3" s="97" t="s">
        <v>36</v>
      </c>
      <c r="S3" t="s">
        <v>37</v>
      </c>
      <c r="U3" t="s">
        <v>38</v>
      </c>
      <c r="V3" t="s">
        <v>39</v>
      </c>
    </row>
    <row r="4" spans="1:22" x14ac:dyDescent="0.25">
      <c r="A4" t="s">
        <v>40</v>
      </c>
      <c r="B4" t="s">
        <v>13</v>
      </c>
      <c r="C4" t="s">
        <v>27</v>
      </c>
      <c r="D4" t="s">
        <v>41</v>
      </c>
      <c r="G4" t="s">
        <v>42</v>
      </c>
      <c r="I4" t="s">
        <v>43</v>
      </c>
      <c r="J4" t="s">
        <v>44</v>
      </c>
      <c r="K4" t="s">
        <v>45</v>
      </c>
      <c r="L4" t="s">
        <v>46</v>
      </c>
      <c r="M4" t="s">
        <v>47</v>
      </c>
      <c r="P4" t="s">
        <v>48</v>
      </c>
      <c r="Q4" s="97" t="s">
        <v>49</v>
      </c>
      <c r="S4" t="s">
        <v>50</v>
      </c>
      <c r="U4" t="s">
        <v>27</v>
      </c>
    </row>
    <row r="5" spans="1:22" x14ac:dyDescent="0.25">
      <c r="A5" t="s">
        <v>27</v>
      </c>
      <c r="B5" t="s">
        <v>27</v>
      </c>
      <c r="C5" t="s">
        <v>14</v>
      </c>
      <c r="D5" t="s">
        <v>14</v>
      </c>
      <c r="J5" t="s">
        <v>51</v>
      </c>
      <c r="L5" t="s">
        <v>52</v>
      </c>
      <c r="M5" t="s">
        <v>53</v>
      </c>
      <c r="P5" t="s">
        <v>54</v>
      </c>
      <c r="U5" t="s">
        <v>41</v>
      </c>
    </row>
    <row r="6" spans="1:22" x14ac:dyDescent="0.25">
      <c r="A6" t="s">
        <v>55</v>
      </c>
      <c r="B6" t="s">
        <v>13</v>
      </c>
      <c r="C6" t="s">
        <v>38</v>
      </c>
      <c r="D6" t="s">
        <v>14</v>
      </c>
      <c r="J6" t="s">
        <v>56</v>
      </c>
      <c r="M6" t="s">
        <v>57</v>
      </c>
      <c r="P6" t="s">
        <v>58</v>
      </c>
    </row>
    <row r="7" spans="1:22" x14ac:dyDescent="0.25">
      <c r="A7" t="s">
        <v>59</v>
      </c>
      <c r="B7" t="s">
        <v>13</v>
      </c>
      <c r="C7" t="s">
        <v>27</v>
      </c>
      <c r="D7" t="s">
        <v>38</v>
      </c>
      <c r="M7" t="s">
        <v>60</v>
      </c>
      <c r="P7" t="s">
        <v>61</v>
      </c>
    </row>
    <row r="8" spans="1:22" x14ac:dyDescent="0.25">
      <c r="A8" t="s">
        <v>62</v>
      </c>
      <c r="B8" t="s">
        <v>13</v>
      </c>
      <c r="C8" t="s">
        <v>41</v>
      </c>
      <c r="D8" t="s">
        <v>14</v>
      </c>
      <c r="P8" t="s">
        <v>63</v>
      </c>
    </row>
    <row r="9" spans="1:22" x14ac:dyDescent="0.25">
      <c r="A9" t="s">
        <v>38</v>
      </c>
      <c r="B9" t="s">
        <v>38</v>
      </c>
      <c r="C9" t="s">
        <v>14</v>
      </c>
      <c r="D9" t="s">
        <v>14</v>
      </c>
      <c r="P9" t="s">
        <v>64</v>
      </c>
    </row>
    <row r="10" spans="1:22" x14ac:dyDescent="0.25">
      <c r="B10" t="s">
        <v>14</v>
      </c>
      <c r="C10" t="s">
        <v>14</v>
      </c>
      <c r="D10" t="s">
        <v>14</v>
      </c>
      <c r="P10" t="s">
        <v>65</v>
      </c>
    </row>
    <row r="11" spans="1:22" x14ac:dyDescent="0.25">
      <c r="P11" t="s">
        <v>60</v>
      </c>
    </row>
    <row r="13" spans="1:22" x14ac:dyDescent="0.25">
      <c r="A13" s="73">
        <v>45658</v>
      </c>
      <c r="I13" t="s">
        <v>66</v>
      </c>
      <c r="K13" t="s">
        <v>15</v>
      </c>
    </row>
    <row r="14" spans="1:22" x14ac:dyDescent="0.25">
      <c r="A14" s="73">
        <v>46022</v>
      </c>
      <c r="I14" t="s">
        <v>67</v>
      </c>
      <c r="K14" t="s">
        <v>28</v>
      </c>
    </row>
    <row r="15" spans="1:22" x14ac:dyDescent="0.25">
      <c r="I15" t="s">
        <v>68</v>
      </c>
      <c r="K15" t="s">
        <v>69</v>
      </c>
    </row>
    <row r="16" spans="1:22" x14ac:dyDescent="0.25">
      <c r="B16" t="s">
        <v>794</v>
      </c>
    </row>
    <row r="17" spans="1:3" x14ac:dyDescent="0.25">
      <c r="A17" t="s">
        <v>795</v>
      </c>
      <c r="B17" t="str">
        <f>'REP cout'!B4</f>
        <v>Opération 1</v>
      </c>
    </row>
    <row r="18" spans="1:3" x14ac:dyDescent="0.25">
      <c r="A18" t="s">
        <v>796</v>
      </c>
    </row>
    <row r="19" spans="1:3" x14ac:dyDescent="0.25">
      <c r="A19" t="s">
        <v>797</v>
      </c>
    </row>
    <row r="20" spans="1:3" x14ac:dyDescent="0.25">
      <c r="A20" t="s">
        <v>798</v>
      </c>
    </row>
    <row r="21" spans="1:3" x14ac:dyDescent="0.25">
      <c r="A21" t="s">
        <v>799</v>
      </c>
    </row>
    <row r="22" spans="1:3" x14ac:dyDescent="0.25">
      <c r="A22" t="s">
        <v>800</v>
      </c>
    </row>
    <row r="23" spans="1:3" x14ac:dyDescent="0.25">
      <c r="A23" t="s">
        <v>801</v>
      </c>
    </row>
    <row r="24" spans="1:3" x14ac:dyDescent="0.25">
      <c r="A24" t="s">
        <v>802</v>
      </c>
    </row>
    <row r="25" spans="1:3" x14ac:dyDescent="0.25">
      <c r="A25" t="s">
        <v>803</v>
      </c>
    </row>
    <row r="26" spans="1:3" x14ac:dyDescent="0.25">
      <c r="A26" t="s">
        <v>804</v>
      </c>
    </row>
    <row r="28" spans="1:3" x14ac:dyDescent="0.25">
      <c r="A28" t="s">
        <v>13</v>
      </c>
      <c r="C28">
        <v>2023</v>
      </c>
    </row>
    <row r="29" spans="1:3" x14ac:dyDescent="0.25">
      <c r="A29" t="s">
        <v>27</v>
      </c>
      <c r="C29">
        <v>2024</v>
      </c>
    </row>
    <row r="30" spans="1:3" x14ac:dyDescent="0.25">
      <c r="A30" t="s">
        <v>38</v>
      </c>
      <c r="C30">
        <v>2025</v>
      </c>
    </row>
    <row r="31" spans="1:3" x14ac:dyDescent="0.25">
      <c r="A31" t="s">
        <v>41</v>
      </c>
      <c r="C31">
        <v>2026</v>
      </c>
    </row>
    <row r="32" spans="1:3" x14ac:dyDescent="0.25">
      <c r="A32" t="s">
        <v>818</v>
      </c>
      <c r="C32">
        <v>2027</v>
      </c>
    </row>
    <row r="33" spans="1:3" x14ac:dyDescent="0.25">
      <c r="A33" t="s">
        <v>819</v>
      </c>
      <c r="C33">
        <v>2028</v>
      </c>
    </row>
    <row r="34" spans="1:3" x14ac:dyDescent="0.25">
      <c r="C34">
        <v>2029</v>
      </c>
    </row>
    <row r="35" spans="1:3" x14ac:dyDescent="0.25">
      <c r="C35">
        <v>2030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7769-2E43-4B74-B384-46ACB7BF7733}">
  <sheetPr codeName="Feuil8">
    <tabColor theme="1" tint="0.499984740745262"/>
  </sheetPr>
  <dimension ref="B1:G170"/>
  <sheetViews>
    <sheetView showGridLines="0" topLeftCell="B1" zoomScaleNormal="100" workbookViewId="0">
      <selection activeCell="B1" sqref="B1:D1048576"/>
    </sheetView>
  </sheetViews>
  <sheetFormatPr baseColWidth="10" defaultColWidth="11.42578125" defaultRowHeight="15" x14ac:dyDescent="0.25"/>
  <cols>
    <col min="2" max="2" width="99" style="101" customWidth="1"/>
    <col min="3" max="3" width="38.140625" style="101" customWidth="1"/>
    <col min="4" max="4" width="26.7109375" style="101" bestFit="1" customWidth="1"/>
    <col min="5" max="5" width="11.5703125" style="42"/>
    <col min="6" max="6" width="14.85546875" style="42" customWidth="1"/>
  </cols>
  <sheetData>
    <row r="1" spans="2:4" x14ac:dyDescent="0.25">
      <c r="D1" s="102"/>
    </row>
    <row r="2" spans="2:4" ht="15.6" customHeight="1" x14ac:dyDescent="0.25">
      <c r="B2" s="488" t="s">
        <v>832</v>
      </c>
      <c r="C2" s="488" t="s">
        <v>70</v>
      </c>
      <c r="D2" s="488" t="s">
        <v>71</v>
      </c>
    </row>
    <row r="3" spans="2:4" x14ac:dyDescent="0.25">
      <c r="B3" s="489"/>
      <c r="C3" s="489"/>
      <c r="D3" s="489"/>
    </row>
    <row r="4" spans="2:4" ht="15.75" thickBot="1" x14ac:dyDescent="0.3">
      <c r="B4" s="490"/>
      <c r="C4" s="490"/>
      <c r="D4" s="490"/>
    </row>
    <row r="5" spans="2:4" ht="16.5" thickBot="1" x14ac:dyDescent="0.35">
      <c r="B5" s="160" t="s">
        <v>72</v>
      </c>
      <c r="C5" s="102" t="str">
        <f>IF('parametres chiffrage'!B2="non","01/01/2025",'parametres chiffrage'!C2)</f>
        <v>01/01/2025</v>
      </c>
      <c r="D5" s="102" t="str">
        <f>IF('parametres chiffrage'!B2="non","31/12/2025",'parametres chiffrage'!D2)</f>
        <v>31/12/2025</v>
      </c>
    </row>
    <row r="6" spans="2:4" ht="16.5" thickBot="1" x14ac:dyDescent="0.35">
      <c r="B6" s="160" t="s">
        <v>73</v>
      </c>
      <c r="C6" s="103" t="s">
        <v>938</v>
      </c>
    </row>
    <row r="7" spans="2:4" ht="16.5" thickBot="1" x14ac:dyDescent="0.35">
      <c r="B7" s="160" t="s">
        <v>74</v>
      </c>
      <c r="C7" s="104">
        <v>949961684</v>
      </c>
    </row>
    <row r="8" spans="2:4" ht="16.5" thickBot="1" x14ac:dyDescent="0.35">
      <c r="B8" s="160" t="s">
        <v>75</v>
      </c>
      <c r="C8" s="105" t="s">
        <v>936</v>
      </c>
    </row>
    <row r="9" spans="2:4" ht="16.5" thickBot="1" x14ac:dyDescent="0.35">
      <c r="B9" s="160" t="s">
        <v>76</v>
      </c>
      <c r="C9" s="106" t="s">
        <v>641</v>
      </c>
    </row>
    <row r="10" spans="2:4" ht="16.5" thickBot="1" x14ac:dyDescent="0.35">
      <c r="B10" s="160" t="s">
        <v>77</v>
      </c>
      <c r="C10" s="107" t="s">
        <v>937</v>
      </c>
    </row>
    <row r="11" spans="2:4" ht="16.5" thickBot="1" x14ac:dyDescent="0.35">
      <c r="B11" s="160" t="s">
        <v>78</v>
      </c>
      <c r="C11" s="107"/>
    </row>
    <row r="12" spans="2:4" ht="16.5" thickBot="1" x14ac:dyDescent="0.35">
      <c r="B12" s="160" t="s">
        <v>79</v>
      </c>
      <c r="C12" s="108"/>
    </row>
    <row r="13" spans="2:4" ht="16.5" thickBot="1" x14ac:dyDescent="0.35">
      <c r="B13" s="160" t="s">
        <v>80</v>
      </c>
      <c r="C13" s="108"/>
    </row>
    <row r="14" spans="2:4" ht="16.5" thickBot="1" x14ac:dyDescent="0.35">
      <c r="B14" s="160" t="s">
        <v>81</v>
      </c>
      <c r="C14" s="108"/>
    </row>
    <row r="15" spans="2:4" ht="16.5" thickBot="1" x14ac:dyDescent="0.35">
      <c r="B15" s="160" t="s">
        <v>82</v>
      </c>
      <c r="C15" s="230"/>
    </row>
    <row r="16" spans="2:4" ht="16.5" thickBot="1" x14ac:dyDescent="0.35">
      <c r="B16" s="160" t="s">
        <v>83</v>
      </c>
      <c r="C16" s="231"/>
    </row>
    <row r="17" spans="2:6" ht="16.5" thickBot="1" x14ac:dyDescent="0.35">
      <c r="B17" s="160" t="s">
        <v>84</v>
      </c>
      <c r="C17" s="231"/>
    </row>
    <row r="18" spans="2:6" ht="16.5" thickBot="1" x14ac:dyDescent="0.35">
      <c r="B18" s="160" t="s">
        <v>85</v>
      </c>
      <c r="C18" s="231" t="s">
        <v>15</v>
      </c>
    </row>
    <row r="19" spans="2:6" ht="16.5" thickBot="1" x14ac:dyDescent="0.35">
      <c r="B19" s="160" t="s">
        <v>86</v>
      </c>
      <c r="C19" s="231"/>
    </row>
    <row r="20" spans="2:6" ht="16.5" thickBot="1" x14ac:dyDescent="0.35">
      <c r="B20" s="160" t="s">
        <v>87</v>
      </c>
      <c r="C20" s="231"/>
    </row>
    <row r="21" spans="2:6" ht="16.5" thickBot="1" x14ac:dyDescent="0.35">
      <c r="B21" s="160" t="s">
        <v>88</v>
      </c>
      <c r="C21" s="231">
        <v>7</v>
      </c>
    </row>
    <row r="22" spans="2:6" ht="16.5" thickBot="1" x14ac:dyDescent="0.35">
      <c r="B22" s="160" t="s">
        <v>89</v>
      </c>
      <c r="C22" s="231">
        <v>0</v>
      </c>
    </row>
    <row r="23" spans="2:6" s="112" customFormat="1" x14ac:dyDescent="0.25">
      <c r="B23" s="109"/>
      <c r="C23" s="110"/>
      <c r="D23" s="111"/>
      <c r="E23" s="174"/>
      <c r="F23" s="174"/>
    </row>
    <row r="24" spans="2:6" x14ac:dyDescent="0.25">
      <c r="B24" s="113" t="s">
        <v>90</v>
      </c>
      <c r="C24" s="113"/>
      <c r="D24" s="113"/>
    </row>
    <row r="25" spans="2:6" x14ac:dyDescent="0.25">
      <c r="B25" s="113" t="s">
        <v>91</v>
      </c>
      <c r="C25" s="481" t="s">
        <v>833</v>
      </c>
      <c r="D25" s="481"/>
    </row>
    <row r="26" spans="2:6" ht="27.95" customHeight="1" x14ac:dyDescent="0.25">
      <c r="B26" s="484" t="s">
        <v>92</v>
      </c>
      <c r="C26" s="484"/>
      <c r="D26" s="484"/>
    </row>
    <row r="27" spans="2:6" ht="27.95" customHeight="1" x14ac:dyDescent="0.25">
      <c r="B27" s="115" t="s">
        <v>93</v>
      </c>
      <c r="C27" s="116" t="s">
        <v>94</v>
      </c>
      <c r="D27" s="117">
        <f>SYNTHESE!C5</f>
        <v>0</v>
      </c>
    </row>
    <row r="28" spans="2:6" ht="27.95" customHeight="1" x14ac:dyDescent="0.25">
      <c r="B28" s="118" t="s">
        <v>95</v>
      </c>
      <c r="C28" s="116" t="s">
        <v>96</v>
      </c>
      <c r="D28" s="119"/>
      <c r="F28" s="42" t="s">
        <v>97</v>
      </c>
    </row>
    <row r="29" spans="2:6" ht="27.95" customHeight="1" x14ac:dyDescent="0.25">
      <c r="B29" s="120" t="s">
        <v>98</v>
      </c>
      <c r="C29" s="116" t="s">
        <v>859</v>
      </c>
      <c r="D29" s="117">
        <f>SYNTHESE!C6</f>
        <v>0</v>
      </c>
    </row>
    <row r="30" spans="2:6" ht="27.95" customHeight="1" x14ac:dyDescent="0.25">
      <c r="B30" s="120" t="s">
        <v>856</v>
      </c>
      <c r="C30" s="116" t="s">
        <v>860</v>
      </c>
      <c r="D30" s="119"/>
      <c r="F30" s="42" t="s">
        <v>97</v>
      </c>
    </row>
    <row r="31" spans="2:6" ht="27.95" customHeight="1" x14ac:dyDescent="0.25">
      <c r="B31" s="118" t="s">
        <v>99</v>
      </c>
      <c r="C31" s="116" t="s">
        <v>100</v>
      </c>
      <c r="D31" s="119"/>
      <c r="F31" s="42" t="s">
        <v>97</v>
      </c>
    </row>
    <row r="32" spans="2:6" ht="27.95" customHeight="1" x14ac:dyDescent="0.25">
      <c r="B32" s="120" t="s">
        <v>101</v>
      </c>
      <c r="C32" s="116" t="s">
        <v>102</v>
      </c>
      <c r="D32" s="117">
        <f>SYNTHESE!C7</f>
        <v>0</v>
      </c>
    </row>
    <row r="33" spans="2:7" ht="90" x14ac:dyDescent="0.25">
      <c r="B33" s="465" t="s">
        <v>857</v>
      </c>
      <c r="C33" s="116" t="s">
        <v>103</v>
      </c>
      <c r="D33" s="117">
        <f>SYNTHESE!C8</f>
        <v>0</v>
      </c>
      <c r="E33" s="42" t="b">
        <f>D33='REP cout'!D8</f>
        <v>1</v>
      </c>
    </row>
    <row r="34" spans="2:7" ht="27.95" customHeight="1" x14ac:dyDescent="0.25">
      <c r="B34" s="120" t="s">
        <v>858</v>
      </c>
      <c r="C34" s="116" t="s">
        <v>104</v>
      </c>
      <c r="D34" s="122">
        <f>SYNTHESE!C5+SYNTHESE!C6+SYNTHESE!C7+SYNTHESE!C8</f>
        <v>0</v>
      </c>
      <c r="E34" s="42" t="b">
        <f>D34=SUM('REP cout'!D5:D8)</f>
        <v>1</v>
      </c>
    </row>
    <row r="35" spans="2:7" ht="27.95" customHeight="1" x14ac:dyDescent="0.25">
      <c r="B35" s="120" t="s">
        <v>861</v>
      </c>
      <c r="C35" s="116" t="s">
        <v>105</v>
      </c>
      <c r="D35" s="117">
        <f>SYNTHESE!C9</f>
        <v>0</v>
      </c>
    </row>
    <row r="36" spans="2:7" ht="33" customHeight="1" x14ac:dyDescent="0.25">
      <c r="B36" s="120" t="s">
        <v>862</v>
      </c>
      <c r="C36" s="116" t="s">
        <v>106</v>
      </c>
      <c r="D36" s="119">
        <f>SYNTHESE!C10</f>
        <v>0</v>
      </c>
    </row>
    <row r="37" spans="2:7" ht="27.95" customHeight="1" x14ac:dyDescent="0.25">
      <c r="B37" s="120" t="s">
        <v>863</v>
      </c>
      <c r="C37" s="116" t="s">
        <v>107</v>
      </c>
      <c r="D37" s="119">
        <f>SYNTHESE!C11</f>
        <v>0</v>
      </c>
    </row>
    <row r="38" spans="2:7" ht="27.95" customHeight="1" x14ac:dyDescent="0.25">
      <c r="B38" s="118" t="s">
        <v>108</v>
      </c>
      <c r="C38" s="116" t="s">
        <v>109</v>
      </c>
      <c r="D38" s="119">
        <f>SYNTHESE!C12</f>
        <v>0</v>
      </c>
    </row>
    <row r="39" spans="2:7" ht="60" x14ac:dyDescent="0.25">
      <c r="B39" s="120" t="s">
        <v>864</v>
      </c>
      <c r="C39" s="116" t="s">
        <v>110</v>
      </c>
      <c r="D39" s="117">
        <f>SYNTHESE!C13</f>
        <v>0</v>
      </c>
    </row>
    <row r="40" spans="2:7" ht="27.95" customHeight="1" x14ac:dyDescent="0.25">
      <c r="B40" s="120" t="s">
        <v>865</v>
      </c>
      <c r="C40" s="116" t="s">
        <v>111</v>
      </c>
      <c r="D40" s="117">
        <f>SYNTHESE!C14</f>
        <v>0</v>
      </c>
    </row>
    <row r="41" spans="2:7" ht="27.95" customHeight="1" x14ac:dyDescent="0.25">
      <c r="B41" s="120" t="s">
        <v>112</v>
      </c>
      <c r="C41" s="161" t="s">
        <v>113</v>
      </c>
      <c r="D41" s="123">
        <f>SUM(SYNTHESE!C5:C14)</f>
        <v>0</v>
      </c>
      <c r="E41" s="42" t="b">
        <f>D41=SUM(D34:D40)</f>
        <v>1</v>
      </c>
      <c r="G41" s="175"/>
    </row>
    <row r="42" spans="2:7" ht="27.95" customHeight="1" x14ac:dyDescent="0.25">
      <c r="B42" s="124"/>
      <c r="C42" s="125"/>
      <c r="D42" s="126"/>
    </row>
    <row r="43" spans="2:7" ht="27.95" customHeight="1" x14ac:dyDescent="0.25">
      <c r="B43" s="485" t="s">
        <v>114</v>
      </c>
      <c r="C43" s="485"/>
      <c r="D43" s="485"/>
    </row>
    <row r="44" spans="2:7" ht="27.95" customHeight="1" x14ac:dyDescent="0.25">
      <c r="B44" s="127" t="s">
        <v>115</v>
      </c>
      <c r="C44" s="116" t="s">
        <v>116</v>
      </c>
      <c r="D44" s="119">
        <f>SYNTHESE!C17</f>
        <v>0</v>
      </c>
    </row>
    <row r="45" spans="2:7" ht="27.95" customHeight="1" x14ac:dyDescent="0.25">
      <c r="B45" s="127" t="s">
        <v>117</v>
      </c>
      <c r="C45" s="116" t="s">
        <v>118</v>
      </c>
      <c r="D45" s="119">
        <f>SYNTHESE!C18</f>
        <v>0</v>
      </c>
    </row>
    <row r="46" spans="2:7" ht="27.95" customHeight="1" x14ac:dyDescent="0.25">
      <c r="B46" s="127" t="s">
        <v>119</v>
      </c>
      <c r="C46" s="116" t="s">
        <v>120</v>
      </c>
      <c r="D46" s="119">
        <f>SYNTHESE!C15</f>
        <v>0</v>
      </c>
    </row>
    <row r="47" spans="2:7" ht="27.95" customHeight="1" x14ac:dyDescent="0.25">
      <c r="B47" s="127" t="s">
        <v>121</v>
      </c>
      <c r="C47" s="116" t="s">
        <v>122</v>
      </c>
      <c r="D47" s="119">
        <f>SYNTHESE!C16</f>
        <v>0</v>
      </c>
    </row>
    <row r="48" spans="2:7" ht="27.95" customHeight="1" x14ac:dyDescent="0.25">
      <c r="B48" s="128" t="s">
        <v>123</v>
      </c>
      <c r="C48" s="116" t="s">
        <v>124</v>
      </c>
      <c r="D48" s="129">
        <f>SUM(D44:D47)</f>
        <v>0</v>
      </c>
    </row>
    <row r="49" spans="2:6" ht="60" x14ac:dyDescent="0.25">
      <c r="B49" s="130" t="s">
        <v>125</v>
      </c>
      <c r="C49" s="116" t="s">
        <v>126</v>
      </c>
      <c r="D49" s="129">
        <f>IF(SYNTHESE!Q18="non",SYNTHESE!R18,'2069 A'!D48)</f>
        <v>0</v>
      </c>
    </row>
    <row r="50" spans="2:6" ht="63.6" customHeight="1" x14ac:dyDescent="0.25">
      <c r="B50" s="120" t="s">
        <v>127</v>
      </c>
      <c r="C50" s="116" t="s">
        <v>128</v>
      </c>
      <c r="D50" s="129">
        <f>IF(D44+D45&gt;2000000,2000000,D44+D45)</f>
        <v>0</v>
      </c>
    </row>
    <row r="51" spans="2:6" ht="90.6" customHeight="1" x14ac:dyDescent="0.25">
      <c r="B51" s="120" t="s">
        <v>129</v>
      </c>
      <c r="C51" s="116" t="s">
        <v>130</v>
      </c>
      <c r="D51" s="129">
        <f>IF(SUM(D44:D47)&gt;10000000,10000000-D50,D46+D47)</f>
        <v>0</v>
      </c>
    </row>
    <row r="52" spans="2:6" ht="27.95" customHeight="1" x14ac:dyDescent="0.25">
      <c r="B52" s="120" t="s">
        <v>131</v>
      </c>
      <c r="C52" s="161" t="s">
        <v>132</v>
      </c>
      <c r="D52" s="162">
        <f>IF(D50+D51&gt;D49,D49,D50+D51)</f>
        <v>0</v>
      </c>
      <c r="E52" s="42" t="b">
        <f>D52/3&lt;D41+1</f>
        <v>1</v>
      </c>
    </row>
    <row r="53" spans="2:6" ht="27.95" customHeight="1" x14ac:dyDescent="0.25">
      <c r="B53" s="131"/>
      <c r="C53" s="132"/>
      <c r="D53" s="133"/>
    </row>
    <row r="54" spans="2:6" ht="27.95" customHeight="1" x14ac:dyDescent="0.25">
      <c r="B54" s="114" t="s">
        <v>133</v>
      </c>
      <c r="C54" s="481" t="s">
        <v>834</v>
      </c>
      <c r="D54" s="481"/>
    </row>
    <row r="55" spans="2:6" ht="27.95" customHeight="1" x14ac:dyDescent="0.25">
      <c r="B55" s="130" t="s">
        <v>134</v>
      </c>
      <c r="C55" s="161" t="s">
        <v>135</v>
      </c>
      <c r="D55" s="162">
        <f>D41+D52</f>
        <v>0</v>
      </c>
      <c r="E55" s="42" t="b">
        <f>D55=SYNTHESE!C19</f>
        <v>1</v>
      </c>
    </row>
    <row r="56" spans="2:6" ht="27.95" customHeight="1" x14ac:dyDescent="0.25">
      <c r="B56" s="118" t="s">
        <v>136</v>
      </c>
      <c r="C56" s="163" t="s">
        <v>137</v>
      </c>
      <c r="D56" s="164">
        <f>SYNTHESE!C21*-1</f>
        <v>0</v>
      </c>
    </row>
    <row r="57" spans="2:6" ht="27.95" customHeight="1" x14ac:dyDescent="0.25">
      <c r="B57" s="120" t="s">
        <v>138</v>
      </c>
      <c r="C57" s="163" t="s">
        <v>139</v>
      </c>
      <c r="D57" s="164">
        <f>SYNTHESE!C23*-1</f>
        <v>0</v>
      </c>
    </row>
    <row r="58" spans="2:6" ht="27.95" customHeight="1" x14ac:dyDescent="0.25">
      <c r="B58" s="120" t="s">
        <v>140</v>
      </c>
      <c r="C58" s="163" t="s">
        <v>141</v>
      </c>
      <c r="D58" s="164">
        <f>SYNTHESE!C24*-1</f>
        <v>0</v>
      </c>
    </row>
    <row r="59" spans="2:6" ht="27.95" customHeight="1" x14ac:dyDescent="0.25">
      <c r="B59" s="118" t="s">
        <v>142</v>
      </c>
      <c r="C59" s="163" t="s">
        <v>143</v>
      </c>
      <c r="D59" s="164">
        <f>SYNTHESE!C22</f>
        <v>0</v>
      </c>
    </row>
    <row r="60" spans="2:6" ht="27.95" customHeight="1" x14ac:dyDescent="0.25">
      <c r="B60" s="120" t="s">
        <v>144</v>
      </c>
      <c r="C60" s="161" t="s">
        <v>145</v>
      </c>
      <c r="D60" s="162">
        <f>D55-D56-D57-D58+D59</f>
        <v>0</v>
      </c>
      <c r="E60" s="42" t="b">
        <f>D60=SYNTHESE!C25</f>
        <v>1</v>
      </c>
    </row>
    <row r="61" spans="2:6" ht="27.95" customHeight="1" x14ac:dyDescent="0.25">
      <c r="B61" s="134" t="s">
        <v>146</v>
      </c>
      <c r="C61" s="165" t="s">
        <v>147</v>
      </c>
      <c r="D61" s="166"/>
      <c r="F61" s="42" t="s">
        <v>97</v>
      </c>
    </row>
    <row r="62" spans="2:6" ht="27.95" customHeight="1" x14ac:dyDescent="0.25">
      <c r="C62" s="125"/>
    </row>
    <row r="63" spans="2:6" ht="27.95" customHeight="1" x14ac:dyDescent="0.25">
      <c r="B63" s="113" t="s">
        <v>148</v>
      </c>
      <c r="C63" s="481" t="s">
        <v>834</v>
      </c>
      <c r="D63" s="481"/>
    </row>
    <row r="64" spans="2:6" ht="27.95" customHeight="1" x14ac:dyDescent="0.25">
      <c r="B64" s="135" t="s">
        <v>149</v>
      </c>
      <c r="C64" s="167" t="s">
        <v>150</v>
      </c>
      <c r="D64" s="168">
        <f>SYNTHESE!G19-SYNTHESE!G10</f>
        <v>0</v>
      </c>
    </row>
    <row r="65" spans="2:6" ht="27.95" customHeight="1" x14ac:dyDescent="0.25">
      <c r="B65" s="135" t="s">
        <v>151</v>
      </c>
      <c r="C65" s="167" t="s">
        <v>152</v>
      </c>
      <c r="D65" s="168">
        <f>SYNTHESE!G10</f>
        <v>0</v>
      </c>
    </row>
    <row r="66" spans="2:6" ht="27.95" customHeight="1" x14ac:dyDescent="0.25">
      <c r="B66" s="135" t="s">
        <v>153</v>
      </c>
      <c r="C66" s="167" t="s">
        <v>154</v>
      </c>
      <c r="D66" s="168">
        <f>D64+D65</f>
        <v>0</v>
      </c>
      <c r="E66" s="42" t="b">
        <f>D66=SYNTHESE!G19</f>
        <v>1</v>
      </c>
    </row>
    <row r="67" spans="2:6" ht="27.95" customHeight="1" x14ac:dyDescent="0.25">
      <c r="B67" s="135" t="s">
        <v>136</v>
      </c>
      <c r="C67" s="167" t="s">
        <v>155</v>
      </c>
      <c r="D67" s="168">
        <f>SYNTHESE!G21*-1</f>
        <v>0</v>
      </c>
    </row>
    <row r="68" spans="2:6" ht="27.95" customHeight="1" x14ac:dyDescent="0.25">
      <c r="B68" s="135" t="s">
        <v>156</v>
      </c>
      <c r="C68" s="167" t="s">
        <v>157</v>
      </c>
      <c r="D68" s="168">
        <f>SYNTHESE!G24*-1</f>
        <v>0</v>
      </c>
    </row>
    <row r="69" spans="2:6" ht="27.95" customHeight="1" x14ac:dyDescent="0.25">
      <c r="B69" s="135" t="s">
        <v>142</v>
      </c>
      <c r="C69" s="167" t="s">
        <v>158</v>
      </c>
      <c r="D69" s="168">
        <f>SYNTHESE!G22</f>
        <v>0</v>
      </c>
    </row>
    <row r="70" spans="2:6" ht="27.95" customHeight="1" x14ac:dyDescent="0.25">
      <c r="B70" s="136" t="s">
        <v>159</v>
      </c>
      <c r="C70" s="167" t="s">
        <v>160</v>
      </c>
      <c r="D70" s="168">
        <f>D66-D67-D68+D69</f>
        <v>0</v>
      </c>
      <c r="E70" s="42" t="b">
        <f>D70=SYNTHESE!G25</f>
        <v>1</v>
      </c>
    </row>
    <row r="71" spans="2:6" ht="27.95" customHeight="1" x14ac:dyDescent="0.25">
      <c r="B71" s="137" t="s">
        <v>161</v>
      </c>
      <c r="C71" s="167" t="s">
        <v>162</v>
      </c>
      <c r="D71" s="168"/>
      <c r="F71" s="42" t="s">
        <v>97</v>
      </c>
    </row>
    <row r="72" spans="2:6" ht="27.95" customHeight="1" x14ac:dyDescent="0.25">
      <c r="C72" s="169"/>
      <c r="D72" s="111"/>
    </row>
    <row r="73" spans="2:6" ht="27.95" customHeight="1" x14ac:dyDescent="0.25">
      <c r="B73" s="134" t="s">
        <v>163</v>
      </c>
      <c r="C73" s="161" t="s">
        <v>164</v>
      </c>
      <c r="D73" s="162">
        <f>D60+D70</f>
        <v>0</v>
      </c>
    </row>
    <row r="74" spans="2:6" ht="27.95" customHeight="1" x14ac:dyDescent="0.25">
      <c r="B74" s="134" t="s">
        <v>165</v>
      </c>
      <c r="C74" s="165" t="s">
        <v>166</v>
      </c>
      <c r="D74" s="166"/>
      <c r="F74" s="42" t="s">
        <v>97</v>
      </c>
    </row>
    <row r="75" spans="2:6" ht="27.95" customHeight="1" x14ac:dyDescent="0.25">
      <c r="C75" s="125"/>
    </row>
    <row r="76" spans="2:6" ht="27.95" customHeight="1" x14ac:dyDescent="0.25">
      <c r="B76" s="487" t="s">
        <v>167</v>
      </c>
      <c r="C76" s="487"/>
      <c r="D76" s="487"/>
    </row>
    <row r="77" spans="2:6" ht="27.95" customHeight="1" x14ac:dyDescent="0.25">
      <c r="B77" s="484" t="s">
        <v>168</v>
      </c>
      <c r="C77" s="484"/>
      <c r="D77" s="484"/>
    </row>
    <row r="78" spans="2:6" ht="27.95" customHeight="1" x14ac:dyDescent="0.25">
      <c r="B78" s="484" t="s">
        <v>169</v>
      </c>
      <c r="C78" s="484"/>
      <c r="D78" s="484"/>
    </row>
    <row r="79" spans="2:6" ht="27.95" customHeight="1" x14ac:dyDescent="0.25">
      <c r="B79" s="120" t="s">
        <v>170</v>
      </c>
      <c r="C79" s="161" t="s">
        <v>171</v>
      </c>
      <c r="D79" s="162">
        <f>D60</f>
        <v>0</v>
      </c>
      <c r="F79" s="54"/>
    </row>
    <row r="80" spans="2:6" ht="27.95" customHeight="1" x14ac:dyDescent="0.25">
      <c r="B80" s="120" t="s">
        <v>172</v>
      </c>
      <c r="C80" s="165" t="s">
        <v>173</v>
      </c>
      <c r="D80" s="166"/>
      <c r="F80" s="54" t="s">
        <v>97</v>
      </c>
    </row>
    <row r="81" spans="2:6" ht="27.95" customHeight="1" x14ac:dyDescent="0.25">
      <c r="B81" s="120" t="s">
        <v>174</v>
      </c>
      <c r="C81" s="163" t="s">
        <v>175</v>
      </c>
      <c r="D81" s="170">
        <f>D79*0.3</f>
        <v>0</v>
      </c>
      <c r="F81" s="54"/>
    </row>
    <row r="82" spans="2:6" ht="45.95" customHeight="1" x14ac:dyDescent="0.25">
      <c r="B82" s="120" t="s">
        <v>176</v>
      </c>
      <c r="C82" s="163" t="s">
        <v>177</v>
      </c>
      <c r="D82" s="170"/>
      <c r="F82" s="54" t="s">
        <v>97</v>
      </c>
    </row>
    <row r="83" spans="2:6" ht="27.95" customHeight="1" x14ac:dyDescent="0.25">
      <c r="B83" s="130" t="s">
        <v>178</v>
      </c>
      <c r="C83" s="163" t="s">
        <v>179</v>
      </c>
      <c r="D83" s="170">
        <f>D81+D82</f>
        <v>0</v>
      </c>
      <c r="F83" s="54"/>
    </row>
    <row r="84" spans="2:6" ht="27.95" customHeight="1" x14ac:dyDescent="0.25">
      <c r="B84" s="120" t="s">
        <v>180</v>
      </c>
      <c r="C84" s="163" t="s">
        <v>181</v>
      </c>
      <c r="D84" s="170"/>
      <c r="F84" s="54" t="s">
        <v>97</v>
      </c>
    </row>
    <row r="85" spans="2:6" ht="27.95" customHeight="1" x14ac:dyDescent="0.25">
      <c r="C85" s="125"/>
    </row>
    <row r="86" spans="2:6" ht="27.95" customHeight="1" x14ac:dyDescent="0.25">
      <c r="B86" s="484" t="s">
        <v>182</v>
      </c>
      <c r="C86" s="484"/>
      <c r="D86" s="484"/>
    </row>
    <row r="87" spans="2:6" ht="27.95" customHeight="1" x14ac:dyDescent="0.25">
      <c r="B87" s="118" t="s">
        <v>183</v>
      </c>
      <c r="C87" s="163" t="s">
        <v>184</v>
      </c>
      <c r="D87" s="170">
        <f>D70</f>
        <v>0</v>
      </c>
    </row>
    <row r="88" spans="2:6" ht="27.95" customHeight="1" x14ac:dyDescent="0.25">
      <c r="B88" s="130" t="s">
        <v>185</v>
      </c>
      <c r="C88" s="163" t="s">
        <v>186</v>
      </c>
      <c r="D88" s="170"/>
      <c r="F88" s="42" t="s">
        <v>97</v>
      </c>
    </row>
    <row r="89" spans="2:6" ht="27.95" customHeight="1" x14ac:dyDescent="0.25">
      <c r="B89" s="130" t="s">
        <v>187</v>
      </c>
      <c r="C89" s="163" t="s">
        <v>188</v>
      </c>
      <c r="D89" s="170">
        <f>D87*0.3</f>
        <v>0</v>
      </c>
    </row>
    <row r="90" spans="2:6" ht="27.95" customHeight="1" x14ac:dyDescent="0.25">
      <c r="B90" s="130" t="s">
        <v>189</v>
      </c>
      <c r="C90" s="163" t="s">
        <v>190</v>
      </c>
      <c r="D90" s="170"/>
      <c r="F90" s="42" t="s">
        <v>97</v>
      </c>
    </row>
    <row r="91" spans="2:6" ht="27.95" customHeight="1" x14ac:dyDescent="0.25">
      <c r="B91" s="120" t="s">
        <v>191</v>
      </c>
      <c r="C91" s="163" t="s">
        <v>192</v>
      </c>
      <c r="D91" s="170">
        <f>D89+D90</f>
        <v>0</v>
      </c>
    </row>
    <row r="92" spans="2:6" ht="27.95" customHeight="1" x14ac:dyDescent="0.25">
      <c r="B92" s="120" t="s">
        <v>193</v>
      </c>
      <c r="C92" s="163" t="s">
        <v>194</v>
      </c>
      <c r="D92" s="170"/>
      <c r="F92" s="42" t="s">
        <v>97</v>
      </c>
    </row>
    <row r="93" spans="2:6" ht="41.45" customHeight="1" x14ac:dyDescent="0.25">
      <c r="B93" s="120" t="s">
        <v>195</v>
      </c>
      <c r="C93" s="163" t="s">
        <v>196</v>
      </c>
      <c r="D93" s="170"/>
      <c r="F93" s="176" t="s">
        <v>197</v>
      </c>
    </row>
    <row r="94" spans="2:6" ht="30" x14ac:dyDescent="0.25">
      <c r="B94" s="120" t="s">
        <v>198</v>
      </c>
      <c r="C94" s="163" t="s">
        <v>199</v>
      </c>
      <c r="D94" s="170">
        <f>D92+D93</f>
        <v>0</v>
      </c>
    </row>
    <row r="95" spans="2:6" ht="62.1" customHeight="1" x14ac:dyDescent="0.25">
      <c r="B95" s="120" t="s">
        <v>200</v>
      </c>
      <c r="C95" s="163" t="s">
        <v>201</v>
      </c>
      <c r="D95" s="170"/>
      <c r="F95" s="176" t="s">
        <v>197</v>
      </c>
    </row>
    <row r="96" spans="2:6" ht="27.95" customHeight="1" x14ac:dyDescent="0.25">
      <c r="B96" s="130" t="s">
        <v>202</v>
      </c>
      <c r="C96" s="163" t="s">
        <v>203</v>
      </c>
      <c r="D96" s="170"/>
      <c r="F96" s="42" t="s">
        <v>97</v>
      </c>
    </row>
    <row r="97" spans="2:6" ht="27.95" customHeight="1" x14ac:dyDescent="0.25">
      <c r="B97" s="115"/>
      <c r="C97" s="163"/>
      <c r="D97" s="171"/>
    </row>
    <row r="98" spans="2:6" ht="27.95" customHeight="1" x14ac:dyDescent="0.25">
      <c r="B98" s="139" t="s">
        <v>204</v>
      </c>
      <c r="C98" s="161" t="s">
        <v>205</v>
      </c>
      <c r="D98" s="162">
        <f>D83+D95</f>
        <v>0</v>
      </c>
    </row>
    <row r="99" spans="2:6" ht="27.95" customHeight="1" x14ac:dyDescent="0.25">
      <c r="B99" s="134" t="s">
        <v>206</v>
      </c>
      <c r="C99" s="165" t="s">
        <v>207</v>
      </c>
      <c r="D99" s="166"/>
      <c r="F99" s="42" t="s">
        <v>97</v>
      </c>
    </row>
    <row r="100" spans="2:6" ht="27.95" customHeight="1" x14ac:dyDescent="0.25">
      <c r="B100" s="140"/>
      <c r="C100" s="141"/>
      <c r="D100" s="140"/>
    </row>
    <row r="101" spans="2:6" ht="27.95" customHeight="1" x14ac:dyDescent="0.25">
      <c r="B101" s="485" t="s">
        <v>208</v>
      </c>
      <c r="C101" s="485"/>
      <c r="D101" s="485"/>
    </row>
    <row r="102" spans="2:6" ht="27.95" customHeight="1" x14ac:dyDescent="0.25">
      <c r="B102" s="486" t="s">
        <v>209</v>
      </c>
      <c r="C102" s="486"/>
      <c r="D102" s="486"/>
    </row>
    <row r="103" spans="2:6" ht="27.95" customHeight="1" x14ac:dyDescent="0.25">
      <c r="B103" s="130" t="s">
        <v>210</v>
      </c>
      <c r="C103" s="116" t="s">
        <v>211</v>
      </c>
      <c r="D103" s="138"/>
      <c r="F103" s="483" t="s">
        <v>212</v>
      </c>
    </row>
    <row r="104" spans="2:6" ht="27.95" customHeight="1" x14ac:dyDescent="0.25">
      <c r="B104" s="120" t="s">
        <v>213</v>
      </c>
      <c r="C104" s="116" t="s">
        <v>214</v>
      </c>
      <c r="D104" s="138"/>
      <c r="F104" s="483"/>
    </row>
    <row r="105" spans="2:6" ht="27.95" customHeight="1" x14ac:dyDescent="0.25">
      <c r="B105" s="120" t="s">
        <v>215</v>
      </c>
      <c r="C105" s="116" t="s">
        <v>216</v>
      </c>
      <c r="D105" s="138"/>
      <c r="F105" s="483"/>
    </row>
    <row r="106" spans="2:6" ht="27.95" customHeight="1" x14ac:dyDescent="0.25">
      <c r="B106" s="130" t="s">
        <v>217</v>
      </c>
      <c r="C106" s="116" t="s">
        <v>218</v>
      </c>
      <c r="D106" s="138"/>
      <c r="F106" s="483"/>
    </row>
    <row r="107" spans="2:6" ht="27.95" customHeight="1" x14ac:dyDescent="0.25">
      <c r="B107" s="130" t="s">
        <v>219</v>
      </c>
      <c r="C107" s="116" t="s">
        <v>220</v>
      </c>
      <c r="D107" s="138"/>
      <c r="F107" s="483"/>
    </row>
    <row r="108" spans="2:6" ht="27.95" customHeight="1" x14ac:dyDescent="0.25">
      <c r="B108" s="130" t="s">
        <v>221</v>
      </c>
      <c r="C108" s="116" t="s">
        <v>222</v>
      </c>
      <c r="D108" s="138"/>
      <c r="F108" s="483"/>
    </row>
    <row r="109" spans="2:6" ht="45.6" customHeight="1" x14ac:dyDescent="0.25">
      <c r="B109" s="120" t="s">
        <v>223</v>
      </c>
      <c r="C109" s="116" t="s">
        <v>224</v>
      </c>
      <c r="D109" s="138"/>
      <c r="F109" s="483"/>
    </row>
    <row r="110" spans="2:6" ht="27.95" customHeight="1" x14ac:dyDescent="0.25">
      <c r="B110" s="130" t="s">
        <v>225</v>
      </c>
      <c r="C110" s="116" t="s">
        <v>226</v>
      </c>
      <c r="D110" s="138"/>
      <c r="F110" s="483"/>
    </row>
    <row r="111" spans="2:6" ht="27.95" customHeight="1" x14ac:dyDescent="0.25">
      <c r="B111" s="120" t="s">
        <v>180</v>
      </c>
      <c r="C111" s="116" t="s">
        <v>227</v>
      </c>
      <c r="D111" s="138"/>
      <c r="F111" s="483"/>
    </row>
    <row r="112" spans="2:6" ht="27.95" customHeight="1" x14ac:dyDescent="0.25">
      <c r="B112" s="140"/>
      <c r="C112" s="141"/>
      <c r="D112" s="140"/>
      <c r="F112" s="483"/>
    </row>
    <row r="113" spans="2:6" ht="27.95" customHeight="1" x14ac:dyDescent="0.25">
      <c r="B113" s="484" t="s">
        <v>228</v>
      </c>
      <c r="C113" s="484"/>
      <c r="D113" s="484"/>
      <c r="F113" s="483"/>
    </row>
    <row r="114" spans="2:6" ht="27.95" customHeight="1" x14ac:dyDescent="0.25">
      <c r="B114" s="118" t="s">
        <v>183</v>
      </c>
      <c r="C114" s="116" t="s">
        <v>229</v>
      </c>
      <c r="D114" s="138"/>
      <c r="F114" s="483"/>
    </row>
    <row r="115" spans="2:6" ht="27.95" customHeight="1" x14ac:dyDescent="0.25">
      <c r="B115" s="130" t="s">
        <v>230</v>
      </c>
      <c r="C115" s="116" t="s">
        <v>231</v>
      </c>
      <c r="D115" s="138"/>
      <c r="F115" s="483"/>
    </row>
    <row r="116" spans="2:6" ht="27.95" customHeight="1" x14ac:dyDescent="0.25">
      <c r="B116" s="130" t="s">
        <v>232</v>
      </c>
      <c r="C116" s="116" t="s">
        <v>233</v>
      </c>
      <c r="D116" s="138"/>
      <c r="F116" s="483"/>
    </row>
    <row r="117" spans="2:6" ht="44.1" customHeight="1" x14ac:dyDescent="0.25">
      <c r="B117" s="120" t="s">
        <v>234</v>
      </c>
      <c r="C117" s="116" t="s">
        <v>235</v>
      </c>
      <c r="D117" s="138"/>
      <c r="F117" s="483"/>
    </row>
    <row r="118" spans="2:6" ht="27.95" customHeight="1" x14ac:dyDescent="0.25">
      <c r="B118" s="120" t="s">
        <v>236</v>
      </c>
      <c r="C118" s="116" t="s">
        <v>237</v>
      </c>
      <c r="D118" s="138"/>
      <c r="F118" s="483"/>
    </row>
    <row r="119" spans="2:6" ht="27.95" customHeight="1" x14ac:dyDescent="0.25">
      <c r="B119" s="118" t="s">
        <v>238</v>
      </c>
      <c r="C119" s="116" t="s">
        <v>239</v>
      </c>
      <c r="D119" s="138"/>
      <c r="F119" s="483"/>
    </row>
    <row r="120" spans="2:6" ht="41.45" customHeight="1" x14ac:dyDescent="0.25">
      <c r="B120" s="120" t="s">
        <v>240</v>
      </c>
      <c r="C120" s="116" t="s">
        <v>241</v>
      </c>
      <c r="D120" s="138"/>
      <c r="F120" s="483"/>
    </row>
    <row r="121" spans="2:6" ht="27.95" customHeight="1" x14ac:dyDescent="0.25">
      <c r="B121" s="130" t="s">
        <v>242</v>
      </c>
      <c r="C121" s="116" t="s">
        <v>243</v>
      </c>
      <c r="D121" s="138"/>
      <c r="F121" s="483"/>
    </row>
    <row r="122" spans="2:6" ht="47.45" customHeight="1" x14ac:dyDescent="0.25">
      <c r="B122" s="120" t="s">
        <v>244</v>
      </c>
      <c r="C122" s="116" t="s">
        <v>245</v>
      </c>
      <c r="D122" s="138"/>
      <c r="F122" s="483"/>
    </row>
    <row r="123" spans="2:6" ht="27.95" customHeight="1" x14ac:dyDescent="0.25">
      <c r="B123" s="130" t="s">
        <v>246</v>
      </c>
      <c r="C123" s="116" t="s">
        <v>247</v>
      </c>
      <c r="D123" s="138"/>
      <c r="F123" s="483"/>
    </row>
    <row r="124" spans="2:6" ht="60" x14ac:dyDescent="0.25">
      <c r="B124" s="120" t="s">
        <v>248</v>
      </c>
      <c r="C124" s="116" t="s">
        <v>249</v>
      </c>
      <c r="D124" s="138"/>
      <c r="F124" s="483"/>
    </row>
    <row r="125" spans="2:6" ht="27.95" customHeight="1" x14ac:dyDescent="0.25">
      <c r="B125" s="120" t="s">
        <v>250</v>
      </c>
      <c r="C125" s="116" t="s">
        <v>251</v>
      </c>
      <c r="D125" s="138"/>
      <c r="F125" s="483"/>
    </row>
    <row r="126" spans="2:6" ht="27.95" customHeight="1" x14ac:dyDescent="0.25">
      <c r="B126" s="134" t="s">
        <v>252</v>
      </c>
      <c r="C126" s="116" t="s">
        <v>253</v>
      </c>
      <c r="D126" s="138"/>
      <c r="F126" s="483"/>
    </row>
    <row r="127" spans="2:6" ht="42.95" customHeight="1" x14ac:dyDescent="0.25">
      <c r="B127" s="134" t="s">
        <v>254</v>
      </c>
      <c r="C127" s="116" t="s">
        <v>255</v>
      </c>
      <c r="D127" s="138"/>
      <c r="F127" s="483"/>
    </row>
    <row r="128" spans="2:6" ht="27.95" customHeight="1" x14ac:dyDescent="0.25">
      <c r="B128" s="140"/>
      <c r="C128" s="141"/>
      <c r="D128" s="140"/>
    </row>
    <row r="129" spans="2:6" ht="27.95" customHeight="1" x14ac:dyDescent="0.25">
      <c r="B129" s="142" t="s">
        <v>256</v>
      </c>
      <c r="C129" s="482" t="s">
        <v>833</v>
      </c>
      <c r="D129" s="482"/>
    </row>
    <row r="130" spans="2:6" ht="27.95" customHeight="1" x14ac:dyDescent="0.25">
      <c r="B130" s="479" t="s">
        <v>257</v>
      </c>
      <c r="C130" s="479"/>
      <c r="D130" s="479"/>
    </row>
    <row r="131" spans="2:6" ht="27.95" customHeight="1" x14ac:dyDescent="0.25">
      <c r="B131" s="130" t="s">
        <v>258</v>
      </c>
      <c r="C131" s="163" t="s">
        <v>259</v>
      </c>
      <c r="D131" s="170">
        <f>SYNTHESE!D5</f>
        <v>1803.8582636643459</v>
      </c>
    </row>
    <row r="132" spans="2:6" ht="27.95" customHeight="1" x14ac:dyDescent="0.25">
      <c r="B132" s="120" t="s">
        <v>260</v>
      </c>
      <c r="C132" s="163" t="s">
        <v>261</v>
      </c>
      <c r="D132" s="170">
        <f>SYNTHESE!D6</f>
        <v>157130.66716306127</v>
      </c>
    </row>
    <row r="133" spans="2:6" ht="27.95" customHeight="1" x14ac:dyDescent="0.25">
      <c r="B133" s="130" t="s">
        <v>262</v>
      </c>
      <c r="C133" s="163" t="s">
        <v>263</v>
      </c>
      <c r="D133" s="170">
        <f>SYNTHESE!D9</f>
        <v>0</v>
      </c>
    </row>
    <row r="134" spans="2:6" ht="27.95" customHeight="1" x14ac:dyDescent="0.25">
      <c r="B134" s="118" t="s">
        <v>264</v>
      </c>
      <c r="C134" s="163" t="s">
        <v>265</v>
      </c>
      <c r="D134" s="170">
        <f>SYNTHESE!D10</f>
        <v>0</v>
      </c>
    </row>
    <row r="135" spans="2:6" ht="27.95" customHeight="1" x14ac:dyDescent="0.25">
      <c r="B135" s="118" t="s">
        <v>266</v>
      </c>
      <c r="C135" s="163" t="s">
        <v>267</v>
      </c>
      <c r="D135" s="170">
        <f>SYNTHESE!D15</f>
        <v>0</v>
      </c>
    </row>
    <row r="136" spans="2:6" ht="27.95" customHeight="1" x14ac:dyDescent="0.25">
      <c r="B136" s="120" t="s">
        <v>268</v>
      </c>
      <c r="C136" s="161" t="s">
        <v>269</v>
      </c>
      <c r="D136" s="162">
        <f>SUM(D131:D135)</f>
        <v>158934.52542672562</v>
      </c>
      <c r="E136" s="42" t="b">
        <f>D136=SYNTHESE!D19</f>
        <v>1</v>
      </c>
    </row>
    <row r="137" spans="2:6" ht="27.95" customHeight="1" x14ac:dyDescent="0.25">
      <c r="B137" s="130" t="s">
        <v>270</v>
      </c>
      <c r="C137" s="161" t="s">
        <v>271</v>
      </c>
      <c r="D137" s="162">
        <f>IF(D136&gt;400000,400000,D136)</f>
        <v>158934.52542672562</v>
      </c>
    </row>
    <row r="138" spans="2:6" ht="27.95" customHeight="1" x14ac:dyDescent="0.25">
      <c r="B138" s="118" t="s">
        <v>136</v>
      </c>
      <c r="C138" s="163" t="s">
        <v>272</v>
      </c>
      <c r="D138" s="170">
        <f>SYNTHESE!D21*-1</f>
        <v>0</v>
      </c>
    </row>
    <row r="139" spans="2:6" ht="27.95" customHeight="1" x14ac:dyDescent="0.25">
      <c r="B139" s="118" t="s">
        <v>273</v>
      </c>
      <c r="C139" s="163" t="s">
        <v>274</v>
      </c>
      <c r="D139" s="170">
        <f>SYNTHESE!D23*-1</f>
        <v>0</v>
      </c>
    </row>
    <row r="140" spans="2:6" ht="27.95" customHeight="1" x14ac:dyDescent="0.25">
      <c r="B140" s="120" t="s">
        <v>275</v>
      </c>
      <c r="C140" s="163" t="s">
        <v>276</v>
      </c>
      <c r="D140" s="170">
        <f>SYNTHESE!D24*-1</f>
        <v>7583</v>
      </c>
    </row>
    <row r="141" spans="2:6" ht="27.95" customHeight="1" x14ac:dyDescent="0.25">
      <c r="B141" s="118" t="s">
        <v>142</v>
      </c>
      <c r="C141" s="163" t="s">
        <v>277</v>
      </c>
      <c r="D141" s="170">
        <f>SYNTHESE!D22</f>
        <v>0</v>
      </c>
    </row>
    <row r="142" spans="2:6" ht="27.95" customHeight="1" x14ac:dyDescent="0.25">
      <c r="B142" s="130" t="s">
        <v>278</v>
      </c>
      <c r="C142" s="163" t="s">
        <v>279</v>
      </c>
      <c r="D142" s="170">
        <f>D137-D138-D139-D140+D141</f>
        <v>151351.52542672562</v>
      </c>
      <c r="E142" s="42" t="b">
        <f>D142=SYNTHESE!D25</f>
        <v>1</v>
      </c>
    </row>
    <row r="143" spans="2:6" ht="27.95" customHeight="1" x14ac:dyDescent="0.25">
      <c r="B143" s="121" t="s">
        <v>280</v>
      </c>
      <c r="C143" s="163" t="s">
        <v>281</v>
      </c>
      <c r="D143" s="170"/>
      <c r="F143" s="42" t="s">
        <v>97</v>
      </c>
    </row>
    <row r="144" spans="2:6" ht="27.95" customHeight="1" x14ac:dyDescent="0.25">
      <c r="B144" s="130" t="s">
        <v>282</v>
      </c>
      <c r="C144" s="163" t="s">
        <v>283</v>
      </c>
      <c r="D144" s="170"/>
      <c r="F144" s="42" t="s">
        <v>97</v>
      </c>
    </row>
    <row r="145" spans="2:6" ht="27.95" customHeight="1" x14ac:dyDescent="0.25">
      <c r="B145" s="130" t="s">
        <v>284</v>
      </c>
      <c r="C145" s="163" t="s">
        <v>285</v>
      </c>
      <c r="D145" s="170"/>
      <c r="F145" s="42" t="s">
        <v>97</v>
      </c>
    </row>
    <row r="146" spans="2:6" ht="45" x14ac:dyDescent="0.25">
      <c r="B146" s="130" t="s">
        <v>866</v>
      </c>
      <c r="C146" s="163" t="s">
        <v>286</v>
      </c>
      <c r="D146" s="561">
        <f>D142*0.2</f>
        <v>30270.305085345128</v>
      </c>
      <c r="E146" s="42" t="b">
        <f>D146=SYNTHESE!D28</f>
        <v>1</v>
      </c>
    </row>
    <row r="147" spans="2:6" ht="44.1" customHeight="1" x14ac:dyDescent="0.25">
      <c r="B147" s="130" t="s">
        <v>287</v>
      </c>
      <c r="C147" s="163" t="s">
        <v>288</v>
      </c>
      <c r="D147" s="170"/>
      <c r="F147" s="42" t="s">
        <v>97</v>
      </c>
    </row>
    <row r="148" spans="2:6" ht="44.1" customHeight="1" x14ac:dyDescent="0.25">
      <c r="B148" s="120" t="s">
        <v>289</v>
      </c>
      <c r="C148" s="163" t="s">
        <v>290</v>
      </c>
      <c r="D148" s="170">
        <f>D146+D147</f>
        <v>30270.305085345128</v>
      </c>
    </row>
    <row r="149" spans="2:6" ht="44.1" customHeight="1" x14ac:dyDescent="0.25">
      <c r="B149" s="120" t="s">
        <v>291</v>
      </c>
      <c r="C149" s="163" t="s">
        <v>292</v>
      </c>
      <c r="D149" s="170"/>
      <c r="F149" s="42" t="s">
        <v>97</v>
      </c>
    </row>
    <row r="150" spans="2:6" ht="44.1" customHeight="1" x14ac:dyDescent="0.25">
      <c r="B150" s="120" t="s">
        <v>293</v>
      </c>
      <c r="C150" s="163" t="s">
        <v>294</v>
      </c>
      <c r="D150" s="170"/>
      <c r="F150" s="42" t="s">
        <v>97</v>
      </c>
    </row>
    <row r="151" spans="2:6" ht="27.95" customHeight="1" x14ac:dyDescent="0.25">
      <c r="B151" s="139" t="s">
        <v>295</v>
      </c>
      <c r="C151" s="161" t="s">
        <v>296</v>
      </c>
      <c r="D151" s="162">
        <f>D98+D148</f>
        <v>30270.305085345128</v>
      </c>
    </row>
    <row r="152" spans="2:6" ht="48.6" customHeight="1" x14ac:dyDescent="0.25">
      <c r="B152" s="139" t="s">
        <v>297</v>
      </c>
      <c r="C152" s="163" t="s">
        <v>298</v>
      </c>
      <c r="D152" s="166"/>
      <c r="F152" s="42" t="s">
        <v>97</v>
      </c>
    </row>
    <row r="153" spans="2:6" ht="27.95" customHeight="1" x14ac:dyDescent="0.25">
      <c r="C153" s="125"/>
    </row>
    <row r="154" spans="2:6" ht="27.95" customHeight="1" x14ac:dyDescent="0.25">
      <c r="B154" s="480" t="s">
        <v>299</v>
      </c>
      <c r="C154" s="481"/>
      <c r="D154" s="481"/>
    </row>
    <row r="155" spans="2:6" ht="27.95" customHeight="1" x14ac:dyDescent="0.25">
      <c r="B155" s="142" t="s">
        <v>300</v>
      </c>
      <c r="C155" s="482" t="s">
        <v>833</v>
      </c>
      <c r="D155" s="482"/>
    </row>
    <row r="156" spans="2:6" ht="50.1" customHeight="1" x14ac:dyDescent="0.25">
      <c r="B156" s="130" t="s">
        <v>301</v>
      </c>
      <c r="C156" s="116" t="s">
        <v>302</v>
      </c>
      <c r="D156" s="138">
        <f>SYNTHESE!C35+SYNTHESE!C36</f>
        <v>0</v>
      </c>
    </row>
    <row r="157" spans="2:6" ht="27.95" customHeight="1" x14ac:dyDescent="0.25">
      <c r="B157" s="143" t="s">
        <v>303</v>
      </c>
      <c r="C157" s="116" t="s">
        <v>304</v>
      </c>
      <c r="D157" s="138">
        <f>SYNTHESE!C35</f>
        <v>0</v>
      </c>
    </row>
    <row r="158" spans="2:6" ht="27.95" customHeight="1" x14ac:dyDescent="0.25">
      <c r="B158" s="143" t="s">
        <v>305</v>
      </c>
      <c r="C158" s="116" t="s">
        <v>306</v>
      </c>
      <c r="D158" s="138">
        <f>SYNTHESE!C36</f>
        <v>0</v>
      </c>
    </row>
    <row r="159" spans="2:6" ht="45" x14ac:dyDescent="0.25">
      <c r="B159" s="130" t="s">
        <v>307</v>
      </c>
      <c r="C159" s="116" t="s">
        <v>308</v>
      </c>
      <c r="D159" s="138">
        <f>SYNTHESE!C37</f>
        <v>0</v>
      </c>
    </row>
    <row r="160" spans="2:6" ht="27.95" customHeight="1" x14ac:dyDescent="0.25">
      <c r="B160" s="115" t="s">
        <v>309</v>
      </c>
      <c r="C160" s="116" t="s">
        <v>310</v>
      </c>
      <c r="D160" s="138">
        <f>SYNTHESE!C39*-1</f>
        <v>0</v>
      </c>
    </row>
    <row r="161" spans="2:6" ht="27.95" customHeight="1" x14ac:dyDescent="0.25">
      <c r="B161" s="115" t="s">
        <v>311</v>
      </c>
      <c r="C161" s="116" t="s">
        <v>312</v>
      </c>
      <c r="D161" s="138">
        <f>SYNTHESE!C40</f>
        <v>0</v>
      </c>
    </row>
    <row r="162" spans="2:6" ht="27.95" customHeight="1" x14ac:dyDescent="0.25">
      <c r="B162" s="130" t="s">
        <v>313</v>
      </c>
      <c r="C162" s="116" t="s">
        <v>314</v>
      </c>
      <c r="D162" s="138">
        <f>D159-D160+D161</f>
        <v>0</v>
      </c>
    </row>
    <row r="163" spans="2:6" ht="27.95" customHeight="1" x14ac:dyDescent="0.25">
      <c r="B163" s="115" t="s">
        <v>315</v>
      </c>
      <c r="C163" s="116" t="s">
        <v>316</v>
      </c>
      <c r="D163" s="138">
        <f>IF('parametres chiffrage'!B3="Oui",'2069 A'!D162,"")</f>
        <v>0</v>
      </c>
    </row>
    <row r="164" spans="2:6" ht="27.95" customHeight="1" x14ac:dyDescent="0.25">
      <c r="B164" s="130" t="s">
        <v>317</v>
      </c>
      <c r="C164" s="116" t="s">
        <v>318</v>
      </c>
      <c r="D164" s="138">
        <f>IF('parametres chiffrage'!B3="Oui",'2069 A'!D163*0.5,'2069 A'!D162*0.4)</f>
        <v>0</v>
      </c>
      <c r="E164" s="42" t="b">
        <f>D164=SYNTHESE!C45</f>
        <v>1</v>
      </c>
    </row>
    <row r="165" spans="2:6" ht="50.1" customHeight="1" x14ac:dyDescent="0.25">
      <c r="B165" s="130" t="s">
        <v>319</v>
      </c>
      <c r="C165" s="116" t="s">
        <v>320</v>
      </c>
      <c r="D165" s="138"/>
      <c r="F165" s="42" t="s">
        <v>97</v>
      </c>
    </row>
    <row r="166" spans="2:6" ht="27.95" customHeight="1" x14ac:dyDescent="0.25">
      <c r="B166" s="130" t="s">
        <v>321</v>
      </c>
      <c r="C166" s="144" t="s">
        <v>322</v>
      </c>
      <c r="D166" s="145">
        <f>D164+D165</f>
        <v>0</v>
      </c>
    </row>
    <row r="169" spans="2:6" x14ac:dyDescent="0.25">
      <c r="D169" s="146" t="s">
        <v>323</v>
      </c>
    </row>
    <row r="170" spans="2:6" x14ac:dyDescent="0.25">
      <c r="D170" s="147" t="s">
        <v>324</v>
      </c>
    </row>
  </sheetData>
  <mergeCells count="20">
    <mergeCell ref="B43:D43"/>
    <mergeCell ref="B2:B4"/>
    <mergeCell ref="C2:C4"/>
    <mergeCell ref="D2:D4"/>
    <mergeCell ref="C25:D25"/>
    <mergeCell ref="B26:D26"/>
    <mergeCell ref="C54:D54"/>
    <mergeCell ref="C63:D63"/>
    <mergeCell ref="B76:D76"/>
    <mergeCell ref="B77:D77"/>
    <mergeCell ref="B78:D78"/>
    <mergeCell ref="B130:D130"/>
    <mergeCell ref="B154:D154"/>
    <mergeCell ref="C155:D155"/>
    <mergeCell ref="F103:F127"/>
    <mergeCell ref="B86:D86"/>
    <mergeCell ref="B101:D101"/>
    <mergeCell ref="B102:D102"/>
    <mergeCell ref="B113:D113"/>
    <mergeCell ref="C129:D129"/>
  </mergeCells>
  <conditionalFormatting sqref="C7">
    <cfRule type="containsText" dxfId="150" priority="46" operator="containsText" text="GRANDS COMPTES">
      <formula>NOT(ISERROR(SEARCH("GRANDS COMPTES",C7)))</formula>
    </cfRule>
    <cfRule type="containsText" dxfId="149" priority="47" operator="containsText" text="STANDARD">
      <formula>NOT(ISERROR(SEARCH("STANDARD",C7)))</formula>
    </cfRule>
    <cfRule type="containsText" dxfId="148" priority="48" operator="containsText" text="PREMIUM">
      <formula>NOT(ISERROR(SEARCH("PREMIUM",C7)))</formula>
    </cfRule>
    <cfRule type="containsText" dxfId="147" priority="49" operator="containsText" text="CIRANO">
      <formula>NOT(ISERROR(SEARCH("CIRANO",C7)))</formula>
    </cfRule>
    <cfRule type="cellIs" dxfId="146" priority="50" operator="equal">
      <formula>"""CIRANO"""</formula>
    </cfRule>
  </conditionalFormatting>
  <conditionalFormatting sqref="C9">
    <cfRule type="cellIs" dxfId="145" priority="40" operator="equal">
      <formula>"Industrie"</formula>
    </cfRule>
    <cfRule type="cellIs" dxfId="144" priority="41" operator="equal">
      <formula>"Énergie"</formula>
    </cfRule>
    <cfRule type="cellIs" dxfId="143" priority="42" operator="equal">
      <formula>"Digital"</formula>
    </cfRule>
    <cfRule type="cellIs" dxfId="142" priority="43" operator="equal">
      <formula>"Biotech"</formula>
    </cfRule>
  </conditionalFormatting>
  <conditionalFormatting sqref="C18:C20">
    <cfRule type="containsText" dxfId="141" priority="28" operator="containsText" text="GRANDS COMPTES">
      <formula>NOT(ISERROR(SEARCH("GRANDS COMPTES",C18)))</formula>
    </cfRule>
    <cfRule type="containsText" dxfId="140" priority="29" operator="containsText" text="STANDARD">
      <formula>NOT(ISERROR(SEARCH("STANDARD",C18)))</formula>
    </cfRule>
    <cfRule type="containsText" dxfId="139" priority="30" operator="containsText" text="PREMIUM">
      <formula>NOT(ISERROR(SEARCH("PREMIUM",C18)))</formula>
    </cfRule>
    <cfRule type="containsText" dxfId="138" priority="31" operator="containsText" text="CIRANO">
      <formula>NOT(ISERROR(SEARCH("CIRANO",C18)))</formula>
    </cfRule>
    <cfRule type="cellIs" dxfId="137" priority="32" operator="equal">
      <formula>"""CIRANO"""</formula>
    </cfRule>
  </conditionalFormatting>
  <conditionalFormatting sqref="C21">
    <cfRule type="containsText" dxfId="136" priority="21" operator="containsText" text="GRANDS COMPTES">
      <formula>NOT(ISERROR(SEARCH("GRANDS COMPTES",C21)))</formula>
    </cfRule>
    <cfRule type="containsText" dxfId="135" priority="22" operator="containsText" text="STANDARD">
      <formula>NOT(ISERROR(SEARCH("STANDARD",C21)))</formula>
    </cfRule>
    <cfRule type="containsText" dxfId="134" priority="23" operator="containsText" text="PREMIUM">
      <formula>NOT(ISERROR(SEARCH("PREMIUM",C21)))</formula>
    </cfRule>
    <cfRule type="containsText" dxfId="133" priority="24" operator="containsText" text="CIRANO">
      <formula>NOT(ISERROR(SEARCH("CIRANO",C21)))</formula>
    </cfRule>
    <cfRule type="cellIs" dxfId="132" priority="25" operator="equal">
      <formula>"""CIRANO"""</formula>
    </cfRule>
  </conditionalFormatting>
  <conditionalFormatting sqref="C22:C23">
    <cfRule type="containsText" dxfId="131" priority="14" operator="containsText" text="GRANDS COMPTES">
      <formula>NOT(ISERROR(SEARCH("GRANDS COMPTES",C22)))</formula>
    </cfRule>
    <cfRule type="containsText" dxfId="130" priority="15" operator="containsText" text="STANDARD">
      <formula>NOT(ISERROR(SEARCH("STANDARD",C22)))</formula>
    </cfRule>
    <cfRule type="containsText" dxfId="129" priority="16" operator="containsText" text="PREMIUM">
      <formula>NOT(ISERROR(SEARCH("PREMIUM",C22)))</formula>
    </cfRule>
    <cfRule type="containsText" dxfId="128" priority="17" operator="containsText" text="CIRANO">
      <formula>NOT(ISERROR(SEARCH("CIRANO",C22)))</formula>
    </cfRule>
    <cfRule type="cellIs" dxfId="127" priority="18" operator="equal">
      <formula>"""CIRANO"""</formula>
    </cfRule>
  </conditionalFormatting>
  <conditionalFormatting sqref="C6">
    <cfRule type="containsText" dxfId="126" priority="4" operator="containsText" text="GRANDS COMPTES">
      <formula>NOT(ISERROR(SEARCH("GRANDS COMPTES",C6)))</formula>
    </cfRule>
    <cfRule type="containsText" dxfId="125" priority="5" operator="containsText" text="STANDARD">
      <formula>NOT(ISERROR(SEARCH("STANDARD",C6)))</formula>
    </cfRule>
    <cfRule type="containsText" dxfId="124" priority="6" operator="containsText" text="PREMIUM">
      <formula>NOT(ISERROR(SEARCH("PREMIUM",C6)))</formula>
    </cfRule>
    <cfRule type="containsText" dxfId="123" priority="7" operator="containsText" text="CIRANO">
      <formula>NOT(ISERROR(SEARCH("CIRANO",C6)))</formula>
    </cfRule>
    <cfRule type="cellIs" dxfId="122" priority="8" operator="equal">
      <formula>"""CIRANO"""</formula>
    </cfRule>
  </conditionalFormatting>
  <conditionalFormatting sqref="C166:D166 C55:D55 C79:D79 C98:D98 D169:D170 C151:D151 C136:D137 C73:D73 C60:D60 C52:D52 C41:D41 B2:D2">
    <cfRule type="expression" dxfId="121" priority="73">
      <formula>#REF!="CII"</formula>
    </cfRule>
  </conditionalFormatting>
  <conditionalFormatting sqref="C8 B5:B23">
    <cfRule type="expression" dxfId="120" priority="96">
      <formula>#REF!="CIR"</formula>
    </cfRule>
    <cfRule type="expression" dxfId="119" priority="97">
      <formula>#REF!="CII"</formula>
    </cfRule>
  </conditionalFormatting>
  <conditionalFormatting sqref="C10:C14 C16:C22">
    <cfRule type="expression" dxfId="118" priority="102">
      <formula>#REF!="CII"</formula>
    </cfRule>
  </conditionalFormatting>
  <conditionalFormatting sqref="E1:E1048576">
    <cfRule type="containsText" dxfId="117" priority="1" operator="containsText" text="VRAI">
      <formula>NOT(ISERROR(SEARCH("VRAI",E1)))</formula>
    </cfRule>
    <cfRule type="containsText" dxfId="116" priority="2" operator="containsText" text="FAUX">
      <formula>NOT(ISERROR(SEARCH("FAUX",E1)))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E86E-62ED-4814-9BBC-6F87B2FCD299}">
  <sheetPr codeName="Feuil11">
    <tabColor theme="1" tint="0.499984740745262"/>
  </sheetPr>
  <dimension ref="B2:G13"/>
  <sheetViews>
    <sheetView showGridLines="0" topLeftCell="A3" workbookViewId="0"/>
  </sheetViews>
  <sheetFormatPr baseColWidth="10" defaultColWidth="11.42578125" defaultRowHeight="15" x14ac:dyDescent="0.25"/>
  <cols>
    <col min="1" max="1" width="6.7109375" customWidth="1"/>
    <col min="2" max="2" width="20.7109375" bestFit="1" customWidth="1"/>
    <col min="3" max="3" width="18.28515625" bestFit="1" customWidth="1"/>
    <col min="4" max="4" width="60.7109375" customWidth="1"/>
    <col min="5" max="5" width="11.7109375" customWidth="1"/>
    <col min="6" max="6" width="21.5703125" bestFit="1" customWidth="1"/>
    <col min="7" max="7" width="20.7109375" bestFit="1" customWidth="1"/>
  </cols>
  <sheetData>
    <row r="2" spans="2:7" ht="16.5" thickBot="1" x14ac:dyDescent="0.35">
      <c r="B2" s="160" t="s">
        <v>325</v>
      </c>
      <c r="C2" s="177" t="str">
        <f>'2069 A'!C5</f>
        <v>01/01/2025</v>
      </c>
      <c r="D2" s="177" t="str">
        <f>'2069 A'!D5</f>
        <v>31/12/2025</v>
      </c>
    </row>
    <row r="3" spans="2:7" ht="16.5" thickBot="1" x14ac:dyDescent="0.35">
      <c r="B3" s="160" t="s">
        <v>73</v>
      </c>
      <c r="C3" s="491" t="str">
        <f>'2069 A'!C6</f>
        <v>GLOOBES - 89 LABS</v>
      </c>
      <c r="D3" s="491"/>
      <c r="G3" s="178"/>
    </row>
    <row r="4" spans="2:7" ht="16.5" thickBot="1" x14ac:dyDescent="0.35">
      <c r="B4" s="160" t="s">
        <v>74</v>
      </c>
      <c r="C4" s="492">
        <f>'2069 A'!C7</f>
        <v>949961684</v>
      </c>
      <c r="D4" s="491"/>
      <c r="G4" s="179"/>
    </row>
    <row r="5" spans="2:7" ht="16.5" thickBot="1" x14ac:dyDescent="0.35">
      <c r="B5" s="160" t="s">
        <v>75</v>
      </c>
      <c r="C5" s="491" t="str">
        <f>'2069 A'!C8</f>
        <v>79.12Z</v>
      </c>
      <c r="D5" s="491"/>
      <c r="G5" s="180"/>
    </row>
    <row r="6" spans="2:7" ht="16.5" thickBot="1" x14ac:dyDescent="0.35">
      <c r="B6" s="160" t="s">
        <v>76</v>
      </c>
      <c r="C6" s="491" t="str">
        <f>'2069 A'!C9</f>
        <v>S</v>
      </c>
      <c r="D6" s="491"/>
      <c r="G6" s="181"/>
    </row>
    <row r="7" spans="2:7" ht="16.5" thickBot="1" x14ac:dyDescent="0.35">
      <c r="B7" s="160" t="s">
        <v>77</v>
      </c>
      <c r="C7" s="493" t="str">
        <f>'2069 A'!C10</f>
        <v>3 ESP AUGUSTIN AUSSEDAT, 74000 ANNECY</v>
      </c>
      <c r="D7" s="491"/>
    </row>
    <row r="10" spans="2:7" ht="16.5" thickBot="1" x14ac:dyDescent="0.35">
      <c r="B10" s="183" t="s">
        <v>326</v>
      </c>
      <c r="C10" s="183"/>
      <c r="D10" s="184"/>
      <c r="E10" s="183" t="s">
        <v>327</v>
      </c>
      <c r="F10" s="185"/>
      <c r="G10" s="183"/>
    </row>
    <row r="11" spans="2:7" ht="16.5" thickBot="1" x14ac:dyDescent="0.35">
      <c r="B11" s="196" t="s">
        <v>328</v>
      </c>
      <c r="C11" s="196" t="s">
        <v>329</v>
      </c>
      <c r="D11" s="196" t="s">
        <v>330</v>
      </c>
      <c r="E11" s="196" t="s">
        <v>331</v>
      </c>
      <c r="F11" s="196" t="s">
        <v>332</v>
      </c>
      <c r="G11" s="196" t="s">
        <v>333</v>
      </c>
    </row>
    <row r="12" spans="2:7" x14ac:dyDescent="0.25">
      <c r="B12" t="s">
        <v>334</v>
      </c>
      <c r="C12" t="s">
        <v>334</v>
      </c>
      <c r="D12" t="s">
        <v>334</v>
      </c>
      <c r="E12" t="s">
        <v>334</v>
      </c>
      <c r="G12" s="149">
        <v>0</v>
      </c>
    </row>
    <row r="13" spans="2:7" x14ac:dyDescent="0.25">
      <c r="B13" s="194" t="s">
        <v>335</v>
      </c>
      <c r="C13" s="194"/>
      <c r="D13" s="194"/>
      <c r="E13" s="194"/>
      <c r="F13" s="194"/>
      <c r="G13" s="195">
        <v>0</v>
      </c>
    </row>
  </sheetData>
  <mergeCells count="5">
    <mergeCell ref="C3:D3"/>
    <mergeCell ref="C4:D4"/>
    <mergeCell ref="C5:D5"/>
    <mergeCell ref="C6:D6"/>
    <mergeCell ref="C7:D7"/>
  </mergeCells>
  <conditionalFormatting sqref="G3:G4">
    <cfRule type="containsText" dxfId="115" priority="7" operator="containsText" text="GRANDS COMPTES">
      <formula>NOT(ISERROR(SEARCH("GRANDS COMPTES",G3)))</formula>
    </cfRule>
    <cfRule type="containsText" dxfId="114" priority="8" operator="containsText" text="STANDARD">
      <formula>NOT(ISERROR(SEARCH("STANDARD",G3)))</formula>
    </cfRule>
    <cfRule type="containsText" dxfId="113" priority="9" operator="containsText" text="PREMIUM">
      <formula>NOT(ISERROR(SEARCH("PREMIUM",G3)))</formula>
    </cfRule>
    <cfRule type="containsText" dxfId="112" priority="10" operator="containsText" text="CIRANO">
      <formula>NOT(ISERROR(SEARCH("CIRANO",G3)))</formula>
    </cfRule>
    <cfRule type="cellIs" dxfId="111" priority="11" operator="equal">
      <formula>"""CIRANO"""</formula>
    </cfRule>
  </conditionalFormatting>
  <conditionalFormatting sqref="G5">
    <cfRule type="expression" dxfId="110" priority="16">
      <formula>$P$3="CIR"</formula>
    </cfRule>
    <cfRule type="expression" dxfId="109" priority="17">
      <formula>$P$3="CII"</formula>
    </cfRule>
  </conditionalFormatting>
  <conditionalFormatting sqref="G6">
    <cfRule type="cellIs" dxfId="108" priority="12" operator="equal">
      <formula>"Industrie"</formula>
    </cfRule>
    <cfRule type="cellIs" dxfId="107" priority="13" operator="equal">
      <formula>"Énergie"</formula>
    </cfRule>
    <cfRule type="cellIs" dxfId="106" priority="14" operator="equal">
      <formula>"Digital"</formula>
    </cfRule>
    <cfRule type="cellIs" dxfId="105" priority="15" operator="equal">
      <formula>"Biotech"</formula>
    </cfRule>
  </conditionalFormatting>
  <conditionalFormatting sqref="B2:B7">
    <cfRule type="expression" dxfId="104" priority="5">
      <formula>#REF!="CIR"</formula>
    </cfRule>
    <cfRule type="expression" dxfId="103" priority="6">
      <formula>#REF!="CII"</formula>
    </cfRule>
  </conditionalFormatting>
  <conditionalFormatting sqref="B10:G10">
    <cfRule type="expression" dxfId="102" priority="3">
      <formula>#REF!="CIR"</formula>
    </cfRule>
    <cfRule type="expression" dxfId="101" priority="4">
      <formula>#REF!="CII"</formula>
    </cfRule>
  </conditionalFormatting>
  <conditionalFormatting sqref="B11:G11">
    <cfRule type="expression" dxfId="100" priority="1">
      <formula>#REF!="CIR"</formula>
    </cfRule>
    <cfRule type="expression" dxfId="99" priority="2">
      <formula>#REF!="CII"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7846-B320-432C-A1C5-EC40C1374784}">
  <sheetPr codeName="Feuil2">
    <tabColor theme="6"/>
  </sheetPr>
  <dimension ref="A1:P29"/>
  <sheetViews>
    <sheetView showGridLines="0" tabSelected="1" workbookViewId="0">
      <selection activeCell="G17" sqref="G17"/>
    </sheetView>
  </sheetViews>
  <sheetFormatPr baseColWidth="10" defaultColWidth="11.42578125" defaultRowHeight="15" x14ac:dyDescent="0.25"/>
  <cols>
    <col min="1" max="1" width="36" bestFit="1" customWidth="1"/>
    <col min="2" max="2" width="12.5703125" bestFit="1" customWidth="1"/>
    <col min="3" max="3" width="23.28515625" customWidth="1"/>
    <col min="4" max="5" width="21.140625" customWidth="1"/>
    <col min="6" max="6" width="22.7109375" customWidth="1"/>
    <col min="7" max="7" width="14.5703125" customWidth="1"/>
  </cols>
  <sheetData>
    <row r="1" spans="1:16" ht="18" x14ac:dyDescent="0.25">
      <c r="A1" s="495" t="s">
        <v>336</v>
      </c>
      <c r="B1" s="495"/>
      <c r="C1" s="25" t="str">
        <f>IF(B2="oui","Date début d'exercice","")</f>
        <v/>
      </c>
      <c r="D1" s="25" t="str">
        <f>IF(B2="oui","Date fin d'exercice","")</f>
        <v/>
      </c>
    </row>
    <row r="2" spans="1:16" ht="36" x14ac:dyDescent="0.55000000000000004">
      <c r="A2" s="3" t="s">
        <v>337</v>
      </c>
      <c r="B2" s="1" t="s">
        <v>28</v>
      </c>
      <c r="C2" s="2"/>
      <c r="D2" s="2"/>
      <c r="G2" s="213" t="str">
        <f>IF(OR(ISBLANK(B2),ISBLANK(B3),ISBLANK(B4),ISBLANK(B5),ISBLANK(B6),ISBLANK(B7),ISBLANK(B8),ISBLANK(B9),ISBLANK(B10),ISBLANK(B13)),"Saisie du formulaire non finalisée","")</f>
        <v/>
      </c>
      <c r="P2" s="299"/>
    </row>
    <row r="3" spans="1:16" ht="16.5" x14ac:dyDescent="0.3">
      <c r="A3" s="3" t="s">
        <v>85</v>
      </c>
      <c r="B3" s="1" t="s">
        <v>15</v>
      </c>
      <c r="C3" s="2"/>
      <c r="D3" s="2"/>
      <c r="P3" s="299"/>
    </row>
    <row r="4" spans="1:16" ht="16.5" x14ac:dyDescent="0.3">
      <c r="A4" s="3" t="s">
        <v>12</v>
      </c>
      <c r="B4" s="1" t="s">
        <v>28</v>
      </c>
      <c r="C4" s="2"/>
      <c r="D4" s="2"/>
      <c r="P4" s="299"/>
    </row>
    <row r="5" spans="1:16" ht="16.5" x14ac:dyDescent="0.3">
      <c r="A5" s="3" t="s">
        <v>338</v>
      </c>
      <c r="B5" s="1" t="s">
        <v>28</v>
      </c>
      <c r="C5" s="2"/>
      <c r="D5" s="2"/>
      <c r="P5" s="299"/>
    </row>
    <row r="6" spans="1:16" ht="16.5" x14ac:dyDescent="0.3">
      <c r="A6" s="3" t="s">
        <v>339</v>
      </c>
      <c r="B6" s="1" t="s">
        <v>31</v>
      </c>
      <c r="C6" s="2"/>
      <c r="D6" s="2"/>
      <c r="P6" s="299"/>
    </row>
    <row r="7" spans="1:16" ht="16.5" x14ac:dyDescent="0.3">
      <c r="A7" s="3" t="s">
        <v>340</v>
      </c>
      <c r="B7" s="1" t="s">
        <v>27</v>
      </c>
      <c r="C7" s="28" t="s">
        <v>341</v>
      </c>
      <c r="D7" s="28" t="s">
        <v>342</v>
      </c>
      <c r="E7" s="28" t="s">
        <v>343</v>
      </c>
      <c r="P7" s="299"/>
    </row>
    <row r="8" spans="1:16" ht="16.5" x14ac:dyDescent="0.3">
      <c r="A8" s="3" t="s">
        <v>344</v>
      </c>
      <c r="B8" s="1" t="s">
        <v>44</v>
      </c>
      <c r="C8" s="1" t="s">
        <v>913</v>
      </c>
      <c r="D8" s="1" t="s">
        <v>914</v>
      </c>
      <c r="E8" s="1" t="s">
        <v>915</v>
      </c>
      <c r="P8" s="299"/>
    </row>
    <row r="9" spans="1:16" s="54" customFormat="1" ht="81" customHeight="1" x14ac:dyDescent="0.25">
      <c r="A9" s="51" t="s">
        <v>345</v>
      </c>
      <c r="B9" s="52" t="s">
        <v>15</v>
      </c>
      <c r="C9" s="55" t="str">
        <f>IF(B9="oui","est ce que le CR est classé ?",IF(B9="non","La préparation de la matrice peut être initiée mais le chiffrage ne doit pas être fait",IF(B9="en cours","Se rapprocher du RTE pour faire valider le périmètre","")))</f>
        <v>est ce que le CR est classé ?</v>
      </c>
      <c r="D9" s="53"/>
      <c r="P9" s="300"/>
    </row>
    <row r="10" spans="1:16" ht="16.5" x14ac:dyDescent="0.25">
      <c r="A10" s="51" t="s">
        <v>346</v>
      </c>
      <c r="B10" s="52">
        <v>2025</v>
      </c>
      <c r="C10" s="156" t="str">
        <f>IF(ISBLANK(B10),"",IF(B10&lt;2023,"le Cerfa de cette matrice n'est pas compatible, les regles de calcul ne sont pas les mêmes",""))</f>
        <v/>
      </c>
      <c r="P10" s="299"/>
    </row>
    <row r="11" spans="1:16" ht="18" x14ac:dyDescent="0.35">
      <c r="D11" s="435" t="s">
        <v>829</v>
      </c>
      <c r="E11" s="435"/>
      <c r="F11" s="435"/>
      <c r="H11" s="435" t="s">
        <v>347</v>
      </c>
      <c r="I11" s="435"/>
      <c r="J11" s="435"/>
      <c r="P11" s="299"/>
    </row>
    <row r="12" spans="1:16" ht="18" x14ac:dyDescent="0.25">
      <c r="C12" s="436" t="s">
        <v>830</v>
      </c>
      <c r="D12" s="436" t="s">
        <v>13</v>
      </c>
      <c r="E12" s="436" t="s">
        <v>27</v>
      </c>
      <c r="F12" s="436" t="s">
        <v>38</v>
      </c>
      <c r="G12" s="436" t="s">
        <v>348</v>
      </c>
      <c r="H12" s="436" t="s">
        <v>13</v>
      </c>
      <c r="I12" s="436" t="s">
        <v>27</v>
      </c>
      <c r="J12" s="436" t="s">
        <v>38</v>
      </c>
      <c r="P12" s="299"/>
    </row>
    <row r="13" spans="1:16" ht="18" x14ac:dyDescent="0.25">
      <c r="A13" s="51" t="s">
        <v>349</v>
      </c>
      <c r="B13" s="433" t="s">
        <v>66</v>
      </c>
      <c r="C13" s="437">
        <v>1500</v>
      </c>
      <c r="D13" s="438">
        <f>IFERROR(C13*SYNTHESE!C28/(SYNTHESE!C28+SYNTHESE!D28+SYNTHESE!G28),0)</f>
        <v>0</v>
      </c>
      <c r="E13" s="438">
        <f>IFERROR(C13*SYNTHESE!D28/(SYNTHESE!C28+SYNTHESE!D28+SYNTHESE!G28),0)</f>
        <v>1500</v>
      </c>
      <c r="F13" s="438">
        <f>IFERROR(C13*SYNTHESE!G28/(SYNTHESE!C28+SYNTHESE!D28+SYNTHESE!G28),0)</f>
        <v>0</v>
      </c>
      <c r="G13" s="439">
        <v>7583</v>
      </c>
      <c r="H13" s="438">
        <f>IFERROR((G13-B15)*SYNTHESE!J28/(SYNTHESE!J28+SYNTHESE!K28+SYNTHESE!L28),0)</f>
        <v>0</v>
      </c>
      <c r="I13" s="438">
        <f>IFERROR((G13-B15)*SYNTHESE!K28/(SYNTHESE!J28+SYNTHESE!K28+SYNTHESE!L28),0)</f>
        <v>7583</v>
      </c>
      <c r="J13" s="438">
        <f>IFERROR((G13-B15)*SYNTHESE!L28/(SYNTHESE!J28+SYNTHESE!K28+SYNTHESE!L28),0)</f>
        <v>0</v>
      </c>
      <c r="L13" t="b">
        <f>C13=SUM(D13:F13)</f>
        <v>1</v>
      </c>
      <c r="M13" t="b">
        <f>G13-B15=SUM(H13:J13)</f>
        <v>1</v>
      </c>
      <c r="P13" s="299"/>
    </row>
    <row r="14" spans="1:16" ht="29.45" customHeight="1" x14ac:dyDescent="0.25">
      <c r="A14" s="225" t="s">
        <v>350</v>
      </c>
      <c r="B14" s="434"/>
      <c r="C14" s="438"/>
      <c r="D14" s="438"/>
      <c r="E14" s="438"/>
      <c r="F14" s="438"/>
      <c r="G14" s="438"/>
      <c r="H14" s="438">
        <f>IFERROR((G13-B14)*H13/G13,0)</f>
        <v>0</v>
      </c>
      <c r="I14" s="438">
        <f>IFERROR((G13-B14)*I13/G13,0)</f>
        <v>7583</v>
      </c>
      <c r="J14" s="438">
        <f>IFERROR((G13-B14)*J13/G13,0)</f>
        <v>0</v>
      </c>
      <c r="P14" s="299"/>
    </row>
    <row r="15" spans="1:16" ht="31.15" customHeight="1" x14ac:dyDescent="0.25">
      <c r="A15" s="225" t="s">
        <v>351</v>
      </c>
      <c r="B15" s="202"/>
      <c r="P15" s="299"/>
    </row>
    <row r="16" spans="1:16" x14ac:dyDescent="0.25">
      <c r="P16" s="299"/>
    </row>
    <row r="17" spans="1:16" ht="108" customHeight="1" x14ac:dyDescent="0.25">
      <c r="A17" s="226" t="s">
        <v>352</v>
      </c>
      <c r="B17" s="227"/>
      <c r="E17" t="s">
        <v>939</v>
      </c>
      <c r="P17" s="299"/>
    </row>
    <row r="20" spans="1:16" ht="16.5" x14ac:dyDescent="0.25">
      <c r="A20" s="51" t="s">
        <v>353</v>
      </c>
      <c r="B20" s="209" t="b">
        <v>0</v>
      </c>
    </row>
    <row r="21" spans="1:16" ht="16.5" x14ac:dyDescent="0.25">
      <c r="A21" s="51" t="s">
        <v>354</v>
      </c>
      <c r="B21" s="209" t="b">
        <v>0</v>
      </c>
    </row>
    <row r="24" spans="1:16" s="56" customFormat="1" ht="49.5" x14ac:dyDescent="0.25">
      <c r="C24" s="214" t="s">
        <v>355</v>
      </c>
      <c r="D24" s="214" t="s">
        <v>356</v>
      </c>
      <c r="E24" s="214" t="s">
        <v>357</v>
      </c>
      <c r="F24" s="214" t="s">
        <v>358</v>
      </c>
    </row>
    <row r="25" spans="1:16" x14ac:dyDescent="0.25">
      <c r="A25" s="494" t="s">
        <v>359</v>
      </c>
      <c r="B25" s="494"/>
      <c r="C25" s="42" t="str">
        <f>IF(SUM(VALO_AMO!B:C)&gt;0,"FAUX","VRAI")</f>
        <v>VRAI</v>
      </c>
      <c r="D25" t="b">
        <f>SYNTHESE!C5='REP cout'!D5</f>
        <v>1</v>
      </c>
      <c r="E25" t="b">
        <f>SYNTHESE!D5='REP cout'!J33</f>
        <v>1</v>
      </c>
      <c r="F25" t="b">
        <f>SYNTHESE!G5='REP cout'!P33</f>
        <v>1</v>
      </c>
    </row>
    <row r="26" spans="1:16" x14ac:dyDescent="0.25">
      <c r="A26" s="494" t="s">
        <v>360</v>
      </c>
      <c r="B26" s="494"/>
      <c r="C26" s="42" t="str">
        <f>IF(SUM(VALO_PERSO!B:C)&gt;0,"FAUX","VRAI")</f>
        <v>VRAI</v>
      </c>
      <c r="D26" t="b">
        <f>SYNTHESE!C6+SYNTHESE!C7='REP cout'!D6+'REP cout'!D7</f>
        <v>1</v>
      </c>
      <c r="E26" t="b">
        <f>SYNTHESE!D6='REP cout'!J34</f>
        <v>1</v>
      </c>
      <c r="F26" t="b">
        <f>SYNTHESE!G6='REP cout'!P34</f>
        <v>1</v>
      </c>
    </row>
    <row r="27" spans="1:16" x14ac:dyDescent="0.25">
      <c r="A27" s="494" t="s">
        <v>361</v>
      </c>
      <c r="B27" s="494"/>
      <c r="C27" t="s">
        <v>362</v>
      </c>
      <c r="D27" t="b">
        <f>SYNTHESE!C8='REP cout'!D8</f>
        <v>1</v>
      </c>
      <c r="E27" t="s">
        <v>362</v>
      </c>
      <c r="F27" t="b">
        <f>SYNTHESE!G8='REP cout'!P35</f>
        <v>1</v>
      </c>
    </row>
    <row r="28" spans="1:16" x14ac:dyDescent="0.25">
      <c r="A28" s="494" t="s">
        <v>363</v>
      </c>
      <c r="B28" s="494"/>
      <c r="C28" s="42" t="str">
        <f>IF(SUM(VALO_BREVET!B:B)&gt;0,"FAUX","VRAI")</f>
        <v>VRAI</v>
      </c>
      <c r="D28" s="42" t="b">
        <f>SYNTHESE!C9+SYNTHESE!C10+SYNTHESE!C13='REP cout'!D9+'REP cout'!D10+'REP cout'!D13</f>
        <v>1</v>
      </c>
      <c r="E28" s="42" t="b">
        <f>SYNTHESE!D9+SYNTHESE!D10='REP cout'!J35+'REP cout'!J36</f>
        <v>1</v>
      </c>
      <c r="F28" s="42" t="b">
        <f>SYNTHESE!G9+SYNTHESE!G10='REP cout'!P36+'REP cout'!P37</f>
        <v>1</v>
      </c>
    </row>
    <row r="29" spans="1:16" x14ac:dyDescent="0.25">
      <c r="A29" s="494" t="s">
        <v>364</v>
      </c>
      <c r="B29" s="494"/>
      <c r="C29" t="str">
        <f>IF(SUM(VALO_ST!B:B)&gt;0,"FAUX","VRAI")</f>
        <v>VRAI</v>
      </c>
      <c r="D29" t="b">
        <f>SYNTHESE!C15+SYNTHESE!C16+SYNTHESE!C17+SYNTHESE!C18='REP cout'!D15+'REP cout'!D16+'REP cout'!D17+'REP cout'!D18</f>
        <v>1</v>
      </c>
      <c r="E29" t="b">
        <f>SYNTHESE!D15='REP cout'!J37</f>
        <v>1</v>
      </c>
      <c r="F29" t="b">
        <f>SYNTHESE!G15='REP cout'!P38</f>
        <v>1</v>
      </c>
    </row>
  </sheetData>
  <mergeCells count="6">
    <mergeCell ref="A29:B29"/>
    <mergeCell ref="A1:B1"/>
    <mergeCell ref="A25:B25"/>
    <mergeCell ref="A26:B26"/>
    <mergeCell ref="A27:B27"/>
    <mergeCell ref="A28:B28"/>
  </mergeCells>
  <conditionalFormatting sqref="C1:D2">
    <cfRule type="expression" dxfId="88" priority="6">
      <formula>$B$2="oui"</formula>
    </cfRule>
  </conditionalFormatting>
  <conditionalFormatting sqref="D9">
    <cfRule type="expression" dxfId="87" priority="5">
      <formula>$B$9="oui"</formula>
    </cfRule>
  </conditionalFormatting>
  <conditionalFormatting sqref="C25:F29">
    <cfRule type="containsText" dxfId="86" priority="3" operator="containsText" text="FAUX">
      <formula>NOT(ISERROR(SEARCH("FAUX",C25)))</formula>
    </cfRule>
    <cfRule type="containsText" dxfId="85" priority="4" operator="containsText" text="VRAI">
      <formula>NOT(ISERROR(SEARCH("VRAI",C25)))</formula>
    </cfRule>
  </conditionalFormatting>
  <conditionalFormatting sqref="L1:M1048576">
    <cfRule type="containsText" dxfId="84" priority="1" operator="containsText" text="VRAI">
      <formula>NOT(ISERROR(SEARCH("VRAI",L1)))</formula>
    </cfRule>
    <cfRule type="containsText" dxfId="83" priority="2" operator="containsText" text="FAUX">
      <formula>NOT(ISERROR(SEARCH("FAUX",L1)))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2DE4A32-0504-4CBA-9BAD-58BA74C3E38A}">
          <x14:formula1>
            <xm:f>parametrage!$H$2:$H$3</xm:f>
          </x14:formula1>
          <xm:sqref>B2:B5</xm:sqref>
        </x14:dataValidation>
        <x14:dataValidation type="list" allowBlank="1" showInputMessage="1" showErrorMessage="1" xr:uid="{FA4DBA87-9CCD-4738-BB8B-B286F9D60F20}">
          <x14:formula1>
            <xm:f>parametrage!$I$2:$I$4</xm:f>
          </x14:formula1>
          <xm:sqref>B6</xm:sqref>
        </x14:dataValidation>
        <x14:dataValidation type="list" allowBlank="1" showInputMessage="1" showErrorMessage="1" xr:uid="{91467261-5BF6-494B-8C00-A87C4E6FF316}">
          <x14:formula1>
            <xm:f>parametrage!$A$2:$A$10</xm:f>
          </x14:formula1>
          <xm:sqref>B7</xm:sqref>
        </x14:dataValidation>
        <x14:dataValidation type="list" allowBlank="1" showInputMessage="1" showErrorMessage="1" xr:uid="{FE498E99-C13E-43EF-91D4-D8ECA50CCEB7}">
          <x14:formula1>
            <xm:f>parametrage!$J$2:$J$6</xm:f>
          </x14:formula1>
          <xm:sqref>B8</xm:sqref>
        </x14:dataValidation>
        <x14:dataValidation type="list" allowBlank="1" showInputMessage="1" showErrorMessage="1" xr:uid="{594232BD-649B-4B8A-B9C8-C2548C88BEAF}">
          <x14:formula1>
            <xm:f>parametrage!$K$2:$K$4</xm:f>
          </x14:formula1>
          <xm:sqref>B9</xm:sqref>
        </x14:dataValidation>
        <x14:dataValidation type="list" allowBlank="1" showInputMessage="1" showErrorMessage="1" xr:uid="{0302201D-ED84-4659-969B-7F176D89A1A1}">
          <x14:formula1>
            <xm:f>parametrage!$I$13:$I$15</xm:f>
          </x14:formula1>
          <xm:sqref>B13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8D2-3EFB-483B-A634-5ABE2A964801}">
  <sheetPr codeName="Feuil9"/>
  <dimension ref="A2:W56"/>
  <sheetViews>
    <sheetView showGridLines="0" workbookViewId="0">
      <selection activeCell="P22" sqref="P22"/>
    </sheetView>
  </sheetViews>
  <sheetFormatPr baseColWidth="10" defaultColWidth="11.42578125" defaultRowHeight="15" x14ac:dyDescent="0.25"/>
  <cols>
    <col min="1" max="1" width="45.5703125" customWidth="1"/>
    <col min="2" max="2" width="18.28515625" customWidth="1"/>
    <col min="3" max="7" width="12.140625" customWidth="1"/>
    <col min="8" max="8" width="14.140625" customWidth="1"/>
    <col min="9" max="10" width="12.42578125" customWidth="1"/>
  </cols>
  <sheetData>
    <row r="2" spans="1:23" ht="24" x14ac:dyDescent="0.4">
      <c r="A2" s="197" t="s">
        <v>365</v>
      </c>
    </row>
    <row r="4" spans="1:23" ht="25.5" x14ac:dyDescent="0.25">
      <c r="A4" s="199" t="s">
        <v>366</v>
      </c>
      <c r="B4" s="199" t="s">
        <v>367</v>
      </c>
      <c r="C4" s="199" t="s">
        <v>368</v>
      </c>
      <c r="D4" s="199" t="s">
        <v>369</v>
      </c>
      <c r="E4" s="199" t="s">
        <v>805</v>
      </c>
      <c r="F4" s="199" t="s">
        <v>806</v>
      </c>
      <c r="G4" s="199" t="s">
        <v>807</v>
      </c>
      <c r="H4" s="199" t="s">
        <v>48</v>
      </c>
      <c r="I4" s="199" t="s">
        <v>370</v>
      </c>
      <c r="J4" s="200" t="s">
        <v>371</v>
      </c>
      <c r="K4" s="201" t="s">
        <v>372</v>
      </c>
      <c r="L4" s="199" t="s">
        <v>373</v>
      </c>
      <c r="M4" s="200" t="s">
        <v>374</v>
      </c>
      <c r="N4" s="201" t="s">
        <v>372</v>
      </c>
      <c r="O4" s="199" t="s">
        <v>375</v>
      </c>
      <c r="P4" s="200" t="s">
        <v>376</v>
      </c>
      <c r="Q4" s="201" t="s">
        <v>372</v>
      </c>
      <c r="R4" s="199" t="s">
        <v>377</v>
      </c>
      <c r="S4" s="200" t="s">
        <v>378</v>
      </c>
      <c r="T4" s="201" t="s">
        <v>372</v>
      </c>
      <c r="U4" s="199" t="s">
        <v>379</v>
      </c>
      <c r="V4" s="200" t="s">
        <v>380</v>
      </c>
      <c r="W4" s="201" t="s">
        <v>372</v>
      </c>
    </row>
    <row r="5" spans="1:23" x14ac:dyDescent="0.25">
      <c r="A5" s="202" t="s">
        <v>870</v>
      </c>
      <c r="B5" s="202" t="s">
        <v>877</v>
      </c>
      <c r="C5" s="202" t="s">
        <v>886</v>
      </c>
      <c r="D5" s="202" t="s">
        <v>895</v>
      </c>
      <c r="E5" s="202" t="s">
        <v>905</v>
      </c>
      <c r="F5" s="202">
        <v>2019</v>
      </c>
      <c r="G5" s="468">
        <v>45078</v>
      </c>
      <c r="H5" s="202" t="s">
        <v>35</v>
      </c>
      <c r="I5" s="202"/>
      <c r="J5" s="469">
        <v>55047.29</v>
      </c>
      <c r="K5" s="202"/>
      <c r="L5" s="202"/>
      <c r="M5" s="469">
        <v>1740</v>
      </c>
      <c r="N5" s="202"/>
      <c r="O5" s="202"/>
      <c r="P5" s="469">
        <v>45.144971264367818</v>
      </c>
      <c r="Q5" s="202"/>
      <c r="R5" s="202"/>
      <c r="S5" s="469"/>
      <c r="T5" s="202"/>
      <c r="V5" s="77">
        <v>1305</v>
      </c>
    </row>
    <row r="6" spans="1:23" x14ac:dyDescent="0.25">
      <c r="A6" s="202" t="s">
        <v>871</v>
      </c>
      <c r="B6" s="202" t="s">
        <v>878</v>
      </c>
      <c r="C6" s="202" t="s">
        <v>887</v>
      </c>
      <c r="D6" s="202" t="s">
        <v>896</v>
      </c>
      <c r="E6" s="202" t="s">
        <v>906</v>
      </c>
      <c r="F6" s="202"/>
      <c r="G6" s="468">
        <v>45096</v>
      </c>
      <c r="H6" s="202" t="s">
        <v>22</v>
      </c>
      <c r="I6" s="202"/>
      <c r="J6" s="469">
        <v>65036.75</v>
      </c>
      <c r="K6" s="202"/>
      <c r="L6" s="202"/>
      <c r="M6" s="469">
        <v>1888</v>
      </c>
      <c r="N6" s="202"/>
      <c r="O6" s="202"/>
      <c r="P6" s="469">
        <v>49.025338983050844</v>
      </c>
      <c r="Q6" s="202"/>
      <c r="R6" s="202"/>
      <c r="S6" s="469"/>
      <c r="T6" s="202"/>
      <c r="V6" s="77">
        <v>1718.0800000000002</v>
      </c>
    </row>
    <row r="7" spans="1:23" x14ac:dyDescent="0.25">
      <c r="A7" s="202" t="s">
        <v>872</v>
      </c>
      <c r="B7" s="202" t="s">
        <v>885</v>
      </c>
      <c r="C7" s="202" t="s">
        <v>888</v>
      </c>
      <c r="D7" s="202" t="s">
        <v>907</v>
      </c>
      <c r="E7" s="202" t="s">
        <v>908</v>
      </c>
      <c r="F7" s="202">
        <v>2022</v>
      </c>
      <c r="G7" s="468">
        <v>45215</v>
      </c>
      <c r="H7" s="202" t="s">
        <v>912</v>
      </c>
      <c r="I7" s="202"/>
      <c r="J7" s="469">
        <v>11713.46</v>
      </c>
      <c r="K7" s="202"/>
      <c r="L7" s="202"/>
      <c r="M7" s="469">
        <v>1722.04</v>
      </c>
      <c r="N7" s="202"/>
      <c r="O7" s="202"/>
      <c r="P7" s="469">
        <v>7.3870177231655481</v>
      </c>
      <c r="Q7" s="202"/>
      <c r="R7" s="202"/>
      <c r="S7" s="469"/>
      <c r="T7" s="202"/>
      <c r="V7" s="77">
        <v>1291.53</v>
      </c>
    </row>
    <row r="8" spans="1:23" x14ac:dyDescent="0.25">
      <c r="A8" s="202" t="s">
        <v>873</v>
      </c>
      <c r="B8" s="202" t="s">
        <v>879</v>
      </c>
      <c r="C8" s="202" t="s">
        <v>889</v>
      </c>
      <c r="D8" s="202" t="s">
        <v>898</v>
      </c>
      <c r="E8" s="202" t="s">
        <v>909</v>
      </c>
      <c r="F8" s="202">
        <v>2014</v>
      </c>
      <c r="G8" s="468">
        <v>45250</v>
      </c>
      <c r="H8" s="202" t="s">
        <v>35</v>
      </c>
      <c r="I8" s="202"/>
      <c r="J8" s="469">
        <v>22305.599999999999</v>
      </c>
      <c r="K8" s="202"/>
      <c r="L8" s="202"/>
      <c r="M8" s="469">
        <v>1701.37</v>
      </c>
      <c r="N8" s="202"/>
      <c r="O8" s="202"/>
      <c r="P8" s="469">
        <v>14.870986322786932</v>
      </c>
      <c r="Q8" s="202"/>
      <c r="R8" s="202"/>
      <c r="S8" s="469"/>
      <c r="T8" s="202"/>
      <c r="V8" s="77">
        <v>1548.2466999999999</v>
      </c>
    </row>
    <row r="9" spans="1:23" x14ac:dyDescent="0.25">
      <c r="A9" s="202" t="s">
        <v>874</v>
      </c>
      <c r="B9" s="202" t="s">
        <v>880</v>
      </c>
      <c r="C9" s="202" t="s">
        <v>890</v>
      </c>
      <c r="D9" s="202" t="s">
        <v>898</v>
      </c>
      <c r="E9" s="202" t="s">
        <v>910</v>
      </c>
      <c r="F9" s="202">
        <v>2021</v>
      </c>
      <c r="G9" s="468">
        <v>45287</v>
      </c>
      <c r="H9" s="202" t="s">
        <v>35</v>
      </c>
      <c r="I9" s="202"/>
      <c r="J9" s="469">
        <v>39398.400000000001</v>
      </c>
      <c r="K9" s="202"/>
      <c r="L9" s="202"/>
      <c r="M9" s="469">
        <v>1944</v>
      </c>
      <c r="N9" s="202"/>
      <c r="O9" s="202"/>
      <c r="P9" s="469">
        <v>28.370643004115227</v>
      </c>
      <c r="Q9" s="202"/>
      <c r="R9" s="202"/>
      <c r="S9" s="469"/>
      <c r="T9" s="202"/>
      <c r="V9" s="77">
        <v>1769.04</v>
      </c>
    </row>
    <row r="10" spans="1:23" x14ac:dyDescent="0.25">
      <c r="A10" s="202" t="s">
        <v>875</v>
      </c>
      <c r="B10" s="202" t="s">
        <v>881</v>
      </c>
      <c r="C10" s="202" t="s">
        <v>891</v>
      </c>
      <c r="D10" s="202" t="s">
        <v>898</v>
      </c>
      <c r="E10" s="202" t="s">
        <v>911</v>
      </c>
      <c r="F10" s="202">
        <v>2021</v>
      </c>
      <c r="G10" s="468">
        <v>45295</v>
      </c>
      <c r="H10" s="202" t="s">
        <v>35</v>
      </c>
      <c r="I10" s="202"/>
      <c r="J10" s="469">
        <v>39738.870000000003</v>
      </c>
      <c r="K10" s="202"/>
      <c r="L10" s="202"/>
      <c r="M10" s="469">
        <v>1872</v>
      </c>
      <c r="N10" s="202"/>
      <c r="O10" s="202"/>
      <c r="P10" s="469">
        <v>29.51877670940171</v>
      </c>
      <c r="Q10" s="202"/>
      <c r="R10" s="202"/>
      <c r="S10" s="469"/>
      <c r="T10" s="202"/>
      <c r="V10" s="77">
        <v>1703.52</v>
      </c>
    </row>
    <row r="11" spans="1:23" x14ac:dyDescent="0.25">
      <c r="A11" s="202" t="s">
        <v>876</v>
      </c>
      <c r="B11" s="202" t="s">
        <v>882</v>
      </c>
      <c r="C11" s="202" t="s">
        <v>892</v>
      </c>
      <c r="D11" s="202" t="s">
        <v>897</v>
      </c>
      <c r="E11" s="202"/>
      <c r="F11" s="202"/>
      <c r="G11" s="468">
        <v>45558</v>
      </c>
      <c r="H11" s="202" t="s">
        <v>912</v>
      </c>
      <c r="I11" s="202"/>
      <c r="J11" s="469">
        <v>3971.66</v>
      </c>
      <c r="K11" s="202"/>
      <c r="L11" s="202"/>
      <c r="M11" s="469">
        <v>662.68</v>
      </c>
      <c r="N11" s="202"/>
      <c r="O11" s="202"/>
      <c r="P11" s="469">
        <v>6.6983762902154895</v>
      </c>
      <c r="Q11" s="202"/>
      <c r="R11" s="202"/>
      <c r="S11" s="469"/>
      <c r="T11" s="202"/>
      <c r="V11" s="77">
        <v>603.03879999999992</v>
      </c>
    </row>
    <row r="12" spans="1:23" x14ac:dyDescent="0.25">
      <c r="A12" t="s">
        <v>820</v>
      </c>
    </row>
    <row r="15" spans="1:23" ht="24" x14ac:dyDescent="0.4">
      <c r="A15" s="197" t="s">
        <v>381</v>
      </c>
    </row>
    <row r="17" spans="1:7" ht="38.25" x14ac:dyDescent="0.25">
      <c r="A17" s="199" t="s">
        <v>382</v>
      </c>
      <c r="B17" s="199" t="s">
        <v>383</v>
      </c>
      <c r="C17" s="199" t="s">
        <v>384</v>
      </c>
      <c r="D17" s="199" t="s">
        <v>385</v>
      </c>
      <c r="E17" s="199" t="s">
        <v>386</v>
      </c>
      <c r="F17" s="199" t="s">
        <v>387</v>
      </c>
      <c r="G17" s="203" t="s">
        <v>388</v>
      </c>
    </row>
    <row r="18" spans="1:7" x14ac:dyDescent="0.25">
      <c r="A18" s="202"/>
      <c r="B18" s="202" t="s">
        <v>899</v>
      </c>
      <c r="C18" s="202">
        <v>45006</v>
      </c>
      <c r="D18" s="202">
        <v>1382.5</v>
      </c>
      <c r="E18" s="202">
        <v>36</v>
      </c>
      <c r="F18" s="202"/>
      <c r="G18" s="467">
        <v>0.86195818939834812</v>
      </c>
    </row>
    <row r="19" spans="1:7" x14ac:dyDescent="0.25">
      <c r="A19" s="202"/>
      <c r="B19" s="202" t="s">
        <v>900</v>
      </c>
      <c r="C19" s="202">
        <v>45006</v>
      </c>
      <c r="D19" s="202">
        <v>1901.9</v>
      </c>
      <c r="E19" s="202">
        <v>36</v>
      </c>
      <c r="F19" s="202"/>
      <c r="G19" s="467">
        <v>0.86195818939834812</v>
      </c>
    </row>
    <row r="20" spans="1:7" x14ac:dyDescent="0.25">
      <c r="A20" s="202"/>
      <c r="B20" s="202" t="s">
        <v>901</v>
      </c>
      <c r="C20" s="202">
        <v>45072</v>
      </c>
      <c r="D20" s="202">
        <v>2135.79</v>
      </c>
      <c r="E20" s="202">
        <v>60</v>
      </c>
      <c r="F20" s="202"/>
      <c r="G20" s="467">
        <v>0.86195818939834812</v>
      </c>
    </row>
    <row r="21" spans="1:7" x14ac:dyDescent="0.25">
      <c r="A21" s="202"/>
      <c r="B21" s="202" t="s">
        <v>902</v>
      </c>
      <c r="C21" s="202">
        <v>45086</v>
      </c>
      <c r="D21" s="202">
        <v>1699.75</v>
      </c>
      <c r="E21" s="202">
        <v>60</v>
      </c>
      <c r="F21" s="202"/>
      <c r="G21" s="467">
        <v>0.86195818939834812</v>
      </c>
    </row>
    <row r="22" spans="1:7" x14ac:dyDescent="0.25">
      <c r="A22" s="202"/>
      <c r="B22" s="202" t="s">
        <v>901</v>
      </c>
      <c r="C22" s="202">
        <v>45092</v>
      </c>
      <c r="D22" s="202">
        <v>1348.32</v>
      </c>
      <c r="E22" s="202">
        <v>60</v>
      </c>
      <c r="F22" s="202"/>
      <c r="G22" s="467">
        <v>0.86195818939834812</v>
      </c>
    </row>
    <row r="23" spans="1:7" x14ac:dyDescent="0.25">
      <c r="A23" s="202"/>
      <c r="B23" s="202" t="s">
        <v>902</v>
      </c>
      <c r="C23" s="202">
        <v>45099</v>
      </c>
      <c r="D23" s="202">
        <v>566</v>
      </c>
      <c r="E23" s="202">
        <v>60</v>
      </c>
      <c r="F23" s="202"/>
      <c r="G23" s="467">
        <v>0.86195818939834812</v>
      </c>
    </row>
    <row r="24" spans="1:7" x14ac:dyDescent="0.25">
      <c r="A24" s="202"/>
      <c r="B24" s="202" t="s">
        <v>902</v>
      </c>
      <c r="C24" s="202">
        <v>45204</v>
      </c>
      <c r="D24" s="202">
        <v>1098.74</v>
      </c>
      <c r="E24" s="202">
        <v>60</v>
      </c>
      <c r="F24" s="202"/>
      <c r="G24" s="467">
        <v>0.86195818939834812</v>
      </c>
    </row>
    <row r="25" spans="1:7" x14ac:dyDescent="0.25">
      <c r="A25" s="202"/>
      <c r="B25" s="202" t="s">
        <v>903</v>
      </c>
      <c r="C25" s="202">
        <v>45212</v>
      </c>
      <c r="D25" s="202">
        <v>1765.2</v>
      </c>
      <c r="E25" s="202">
        <v>36</v>
      </c>
      <c r="F25" s="202"/>
      <c r="G25" s="467">
        <v>0.86195818939834812</v>
      </c>
    </row>
    <row r="26" spans="1:7" x14ac:dyDescent="0.25">
      <c r="A26" s="202"/>
      <c r="B26" s="202" t="s">
        <v>904</v>
      </c>
      <c r="C26" s="202">
        <v>45282</v>
      </c>
      <c r="D26" s="202">
        <v>2165</v>
      </c>
      <c r="E26" s="202">
        <v>36</v>
      </c>
      <c r="F26" s="202"/>
      <c r="G26" s="467">
        <v>0.86195818939834812</v>
      </c>
    </row>
    <row r="27" spans="1:7" x14ac:dyDescent="0.25">
      <c r="A27" t="s">
        <v>821</v>
      </c>
    </row>
    <row r="30" spans="1:7" ht="62.25" x14ac:dyDescent="0.4">
      <c r="A30" s="197" t="s">
        <v>389</v>
      </c>
      <c r="B30" s="56" t="s">
        <v>823</v>
      </c>
      <c r="C30" s="198" t="s">
        <v>390</v>
      </c>
    </row>
    <row r="31" spans="1:7" ht="16.899999999999999" customHeight="1" x14ac:dyDescent="0.25">
      <c r="A31" t="s">
        <v>391</v>
      </c>
    </row>
    <row r="32" spans="1:7" x14ac:dyDescent="0.25">
      <c r="A32" s="199" t="s">
        <v>392</v>
      </c>
      <c r="B32" s="199" t="s">
        <v>393</v>
      </c>
    </row>
    <row r="33" spans="1:3" x14ac:dyDescent="0.25">
      <c r="A33" s="202"/>
      <c r="B33" s="202"/>
    </row>
    <row r="34" spans="1:3" x14ac:dyDescent="0.25">
      <c r="A34" s="202"/>
      <c r="B34" s="202"/>
    </row>
    <row r="35" spans="1:3" x14ac:dyDescent="0.25">
      <c r="A35" t="s">
        <v>822</v>
      </c>
    </row>
    <row r="37" spans="1:3" ht="62.25" x14ac:dyDescent="0.4">
      <c r="A37" s="197" t="s">
        <v>394</v>
      </c>
      <c r="B37" s="56" t="s">
        <v>823</v>
      </c>
      <c r="C37" s="198" t="s">
        <v>390</v>
      </c>
    </row>
    <row r="38" spans="1:3" x14ac:dyDescent="0.25">
      <c r="A38" t="s">
        <v>391</v>
      </c>
    </row>
    <row r="39" spans="1:3" x14ac:dyDescent="0.25">
      <c r="A39" s="199" t="s">
        <v>392</v>
      </c>
      <c r="B39" s="199" t="s">
        <v>393</v>
      </c>
    </row>
    <row r="40" spans="1:3" x14ac:dyDescent="0.25">
      <c r="A40" s="202"/>
      <c r="B40" s="202"/>
    </row>
    <row r="41" spans="1:3" x14ac:dyDescent="0.25">
      <c r="A41" s="202"/>
      <c r="B41" s="202"/>
    </row>
    <row r="42" spans="1:3" x14ac:dyDescent="0.25">
      <c r="A42" t="s">
        <v>822</v>
      </c>
    </row>
    <row r="44" spans="1:3" ht="62.25" x14ac:dyDescent="0.4">
      <c r="A44" s="197" t="s">
        <v>395</v>
      </c>
      <c r="B44" s="56" t="s">
        <v>823</v>
      </c>
      <c r="C44" s="198" t="s">
        <v>390</v>
      </c>
    </row>
    <row r="45" spans="1:3" x14ac:dyDescent="0.25">
      <c r="A45" t="s">
        <v>391</v>
      </c>
    </row>
    <row r="46" spans="1:3" x14ac:dyDescent="0.25">
      <c r="A46" s="199" t="s">
        <v>392</v>
      </c>
      <c r="B46" s="199" t="s">
        <v>393</v>
      </c>
    </row>
    <row r="47" spans="1:3" x14ac:dyDescent="0.25">
      <c r="A47" s="202"/>
      <c r="B47" s="202"/>
    </row>
    <row r="48" spans="1:3" x14ac:dyDescent="0.25">
      <c r="A48" s="202"/>
      <c r="B48" s="202"/>
    </row>
    <row r="49" spans="1:5" x14ac:dyDescent="0.25">
      <c r="A49" t="s">
        <v>822</v>
      </c>
    </row>
    <row r="51" spans="1:5" ht="47.25" x14ac:dyDescent="0.4">
      <c r="A51" s="197" t="s">
        <v>396</v>
      </c>
      <c r="B51" s="56" t="s">
        <v>826</v>
      </c>
      <c r="C51" s="198" t="s">
        <v>390</v>
      </c>
    </row>
    <row r="53" spans="1:5" ht="38.25" x14ac:dyDescent="0.25">
      <c r="A53" s="199" t="s">
        <v>397</v>
      </c>
      <c r="B53" s="199" t="s">
        <v>824</v>
      </c>
      <c r="C53" s="199" t="s">
        <v>825</v>
      </c>
      <c r="D53" s="199" t="s">
        <v>398</v>
      </c>
      <c r="E53" s="199"/>
    </row>
    <row r="54" spans="1:5" x14ac:dyDescent="0.25">
      <c r="A54" s="202"/>
      <c r="B54" s="202"/>
      <c r="C54" s="202"/>
      <c r="D54" s="202"/>
      <c r="E54" s="202"/>
    </row>
    <row r="55" spans="1:5" x14ac:dyDescent="0.25">
      <c r="A55" s="202"/>
      <c r="B55" s="202"/>
      <c r="C55" s="202"/>
      <c r="D55" s="202"/>
      <c r="E55" s="202"/>
    </row>
    <row r="56" spans="1:5" x14ac:dyDescent="0.25">
      <c r="A56" s="202"/>
      <c r="B56" s="202"/>
      <c r="C56" s="202"/>
      <c r="D56" s="202"/>
      <c r="E56" s="202"/>
    </row>
  </sheetData>
  <conditionalFormatting sqref="G17">
    <cfRule type="expression" dxfId="82" priority="103">
      <formula>$R$4="CIR"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InsererLigneMultiple">
                <anchor moveWithCells="1" sizeWithCells="1">
                  <from>
                    <xdr:col>0</xdr:col>
                    <xdr:colOff>819150</xdr:colOff>
                    <xdr:row>0</xdr:row>
                    <xdr:rowOff>9525</xdr:rowOff>
                  </from>
                  <to>
                    <xdr:col>0</xdr:col>
                    <xdr:colOff>2571750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E34-6EB7-4C4E-AFAC-4EAF27D51A09}">
  <sheetPr codeName="Feuil3">
    <tabColor theme="6" tint="0.79998168889431442"/>
  </sheetPr>
  <dimension ref="B1:R45"/>
  <sheetViews>
    <sheetView showGridLines="0" zoomScaleNormal="100" workbookViewId="0">
      <selection activeCell="J34" sqref="J34"/>
    </sheetView>
  </sheetViews>
  <sheetFormatPr baseColWidth="10" defaultColWidth="10.85546875" defaultRowHeight="15" outlineLevelRow="2" outlineLevelCol="2" x14ac:dyDescent="0.3"/>
  <cols>
    <col min="1" max="1" width="10.85546875" style="4"/>
    <col min="2" max="2" width="78.28515625" style="4" bestFit="1" customWidth="1"/>
    <col min="3" max="4" width="10.85546875" style="4" customWidth="1" outlineLevel="1"/>
    <col min="5" max="5" width="0.28515625" style="4" hidden="1" customWidth="1" outlineLevel="1"/>
    <col min="6" max="6" width="0.140625" style="4" customWidth="1"/>
    <col min="7" max="7" width="10.85546875" style="4" customWidth="1" outlineLevel="1"/>
    <col min="8" max="8" width="0.28515625" style="4" customWidth="1" outlineLevel="1"/>
    <col min="9" max="9" width="0.7109375" style="4" customWidth="1"/>
    <col min="10" max="10" width="10.85546875" style="4"/>
    <col min="11" max="11" width="10.85546875" style="4" customWidth="1" outlineLevel="1"/>
    <col min="12" max="12" width="10.85546875" style="4" customWidth="1" outlineLevel="2"/>
    <col min="13" max="13" width="9.5703125" style="4" customWidth="1"/>
    <col min="14" max="14" width="10.85546875" style="4"/>
    <col min="15" max="15" width="14.42578125" style="4" customWidth="1"/>
    <col min="16" max="16" width="33" style="4" bestFit="1" customWidth="1"/>
    <col min="17" max="17" width="8.7109375" style="4" bestFit="1" customWidth="1"/>
    <col min="18" max="18" width="22.5703125" style="4" bestFit="1" customWidth="1"/>
    <col min="19" max="16384" width="10.85546875" style="4"/>
  </cols>
  <sheetData>
    <row r="1" spans="2:18" ht="8.4499999999999993" customHeight="1" x14ac:dyDescent="0.3"/>
    <row r="2" spans="2:18" x14ac:dyDescent="0.3">
      <c r="C2" s="9">
        <f>'parametres chiffrage'!B10</f>
        <v>2025</v>
      </c>
      <c r="D2" s="9">
        <f>'parametres chiffrage'!B10</f>
        <v>2025</v>
      </c>
      <c r="E2" s="24"/>
      <c r="F2" s="24"/>
      <c r="G2" s="9">
        <f>'parametres chiffrage'!B10</f>
        <v>2025</v>
      </c>
      <c r="H2" s="24"/>
      <c r="J2" s="211">
        <f>'parametres chiffrage'!B10-1</f>
        <v>2024</v>
      </c>
      <c r="K2" s="211"/>
      <c r="L2" s="211"/>
    </row>
    <row r="3" spans="2:18" ht="6.95" customHeight="1" thickBot="1" x14ac:dyDescent="0.35"/>
    <row r="4" spans="2:18" x14ac:dyDescent="0.3">
      <c r="B4" s="10" t="s">
        <v>399</v>
      </c>
      <c r="C4" s="20" t="s">
        <v>13</v>
      </c>
      <c r="D4" s="20" t="s">
        <v>27</v>
      </c>
      <c r="E4" s="34"/>
      <c r="F4" s="34"/>
      <c r="G4" s="20" t="s">
        <v>38</v>
      </c>
      <c r="H4" s="34"/>
      <c r="I4" s="32"/>
      <c r="J4" s="38" t="s">
        <v>13</v>
      </c>
      <c r="K4" s="39" t="s">
        <v>27</v>
      </c>
      <c r="L4" s="40" t="s">
        <v>38</v>
      </c>
      <c r="P4" s="157"/>
      <c r="Q4" s="157" t="s">
        <v>837</v>
      </c>
      <c r="R4" s="157" t="s">
        <v>605</v>
      </c>
    </row>
    <row r="5" spans="2:18" x14ac:dyDescent="0.3">
      <c r="B5" s="6" t="s">
        <v>359</v>
      </c>
      <c r="C5" s="11">
        <f>VALO_AMO!Q26</f>
        <v>0</v>
      </c>
      <c r="D5" s="11">
        <f>VALO_AMO!V22</f>
        <v>1803.8582636643459</v>
      </c>
      <c r="E5" s="35"/>
      <c r="F5" s="35"/>
      <c r="G5" s="11">
        <f>VALO_AMO!AA4</f>
        <v>0</v>
      </c>
      <c r="H5" s="35"/>
      <c r="I5" s="32"/>
      <c r="J5" s="218"/>
      <c r="K5" s="11">
        <v>3057</v>
      </c>
      <c r="L5" s="219"/>
      <c r="P5" s="158" t="s">
        <v>835</v>
      </c>
      <c r="Q5" s="158">
        <v>251</v>
      </c>
      <c r="R5" s="432">
        <v>1</v>
      </c>
    </row>
    <row r="6" spans="2:18" x14ac:dyDescent="0.3">
      <c r="B6" s="6" t="s">
        <v>360</v>
      </c>
      <c r="C6" s="11">
        <f>VALO_PERSO!AP12-'Calcul FF'!O21/2</f>
        <v>0</v>
      </c>
      <c r="D6" s="11">
        <f>VALO_PERSO!AT12</f>
        <v>157130.66716306127</v>
      </c>
      <c r="E6" s="35"/>
      <c r="F6" s="35"/>
      <c r="G6" s="11">
        <f>VALO_PERSO!AX12</f>
        <v>0</v>
      </c>
      <c r="H6" s="35"/>
      <c r="I6" s="32"/>
      <c r="J6" s="218"/>
      <c r="K6" s="11">
        <v>280222</v>
      </c>
      <c r="L6" s="219"/>
      <c r="P6" s="158" t="s">
        <v>836</v>
      </c>
      <c r="Q6" s="158">
        <v>32</v>
      </c>
      <c r="R6" s="432">
        <f>Q6/Q5</f>
        <v>0.12749003984063745</v>
      </c>
    </row>
    <row r="7" spans="2:18" x14ac:dyDescent="0.3">
      <c r="B7" s="6" t="s">
        <v>400</v>
      </c>
      <c r="C7" s="11">
        <f>'Calcul FF'!O21</f>
        <v>0</v>
      </c>
      <c r="D7" s="41"/>
      <c r="E7" s="35"/>
      <c r="F7" s="35"/>
      <c r="G7" s="41"/>
      <c r="H7" s="35"/>
      <c r="I7" s="32"/>
      <c r="J7" s="218"/>
      <c r="K7" s="11"/>
      <c r="L7" s="219"/>
      <c r="P7" s="158" t="s">
        <v>838</v>
      </c>
      <c r="Q7" s="158">
        <v>219</v>
      </c>
      <c r="R7" s="432">
        <f>Q7/Q5</f>
        <v>0.87250996015936255</v>
      </c>
    </row>
    <row r="8" spans="2:18" x14ac:dyDescent="0.3">
      <c r="B8" s="6" t="s">
        <v>401</v>
      </c>
      <c r="C8" s="11">
        <f>'Calcul FF'!K14+'Calcul FF'!L14+'Calcul FF'!K35+'Calcul FF'!L35+(C5*0.75)</f>
        <v>0</v>
      </c>
      <c r="D8" s="41"/>
      <c r="E8" s="35"/>
      <c r="F8" s="35"/>
      <c r="G8" s="11">
        <f>G6*0.75</f>
        <v>0</v>
      </c>
      <c r="H8" s="35"/>
      <c r="I8" s="32"/>
      <c r="J8" s="218"/>
      <c r="K8" s="11"/>
      <c r="L8" s="219"/>
    </row>
    <row r="9" spans="2:18" outlineLevel="2" x14ac:dyDescent="0.3">
      <c r="B9" s="6" t="s">
        <v>402</v>
      </c>
      <c r="C9" s="11">
        <f>VALO_BREVET!P28</f>
        <v>0</v>
      </c>
      <c r="D9" s="11">
        <f>VALO_BREVET!R28</f>
        <v>0</v>
      </c>
      <c r="E9" s="35"/>
      <c r="F9" s="35"/>
      <c r="G9" s="11">
        <f>VALO_BREVET!T28</f>
        <v>0</v>
      </c>
      <c r="H9" s="35"/>
      <c r="I9" s="32"/>
      <c r="J9" s="218"/>
      <c r="K9" s="11"/>
      <c r="L9" s="219"/>
    </row>
    <row r="10" spans="2:18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5"/>
      <c r="F10" s="35"/>
      <c r="G10" s="11">
        <f>VALO_BREVET!T29</f>
        <v>0</v>
      </c>
      <c r="H10" s="35"/>
      <c r="I10" s="32"/>
      <c r="J10" s="218"/>
      <c r="K10" s="11"/>
      <c r="L10" s="219"/>
    </row>
    <row r="11" spans="2:18" outlineLevel="2" x14ac:dyDescent="0.3">
      <c r="B11" s="6" t="s">
        <v>404</v>
      </c>
      <c r="C11" s="11">
        <f>VALO_AMO!Q24</f>
        <v>0</v>
      </c>
      <c r="D11" s="41"/>
      <c r="E11" s="35"/>
      <c r="F11" s="35"/>
      <c r="G11" s="41"/>
      <c r="H11" s="35"/>
      <c r="I11" s="32"/>
      <c r="J11" s="218"/>
      <c r="K11" s="11"/>
      <c r="L11" s="219"/>
    </row>
    <row r="12" spans="2:18" outlineLevel="2" x14ac:dyDescent="0.3">
      <c r="B12" s="6" t="s">
        <v>405</v>
      </c>
      <c r="C12" s="11">
        <f>'VALO-autres dépenses CIR'!J38</f>
        <v>0</v>
      </c>
      <c r="D12" s="41"/>
      <c r="E12" s="35"/>
      <c r="F12" s="35"/>
      <c r="G12" s="41"/>
      <c r="H12" s="35"/>
      <c r="I12" s="32"/>
      <c r="J12" s="218"/>
      <c r="K12" s="11"/>
      <c r="L12" s="219"/>
    </row>
    <row r="13" spans="2:18" outlineLevel="2" x14ac:dyDescent="0.3">
      <c r="B13" s="6" t="s">
        <v>406</v>
      </c>
      <c r="C13" s="11">
        <f>VALO_BREVET!P30</f>
        <v>0</v>
      </c>
      <c r="D13" s="41"/>
      <c r="E13" s="35"/>
      <c r="F13" s="35"/>
      <c r="G13" s="41"/>
      <c r="H13" s="35"/>
      <c r="I13" s="32"/>
      <c r="J13" s="218"/>
      <c r="K13" s="11"/>
      <c r="L13" s="219"/>
    </row>
    <row r="14" spans="2:18" outlineLevel="2" x14ac:dyDescent="0.3">
      <c r="B14" s="6" t="s">
        <v>407</v>
      </c>
      <c r="C14" s="11">
        <f>'VALO-autres dépenses CIR'!J41</f>
        <v>0</v>
      </c>
      <c r="D14" s="41"/>
      <c r="E14" s="35"/>
      <c r="F14" s="35"/>
      <c r="G14" s="41"/>
      <c r="H14" s="35"/>
      <c r="I14" s="32"/>
      <c r="J14" s="218"/>
      <c r="K14" s="11"/>
      <c r="L14" s="219"/>
    </row>
    <row r="15" spans="2:18" outlineLevel="1" x14ac:dyDescent="0.3">
      <c r="B15" s="6" t="s">
        <v>408</v>
      </c>
      <c r="C15" s="11">
        <f>VALO_ST!V29</f>
        <v>0</v>
      </c>
      <c r="D15" s="11">
        <f>VALO_ST!X27</f>
        <v>0</v>
      </c>
      <c r="E15" s="35"/>
      <c r="F15" s="35"/>
      <c r="G15" s="11">
        <f>VALO_ST!Z27</f>
        <v>0</v>
      </c>
      <c r="H15" s="35"/>
      <c r="I15" s="32"/>
      <c r="J15" s="218"/>
      <c r="K15" s="11"/>
      <c r="L15" s="219"/>
      <c r="P15" s="157" t="s">
        <v>409</v>
      </c>
      <c r="Q15" s="157" t="s">
        <v>410</v>
      </c>
      <c r="R15" s="157" t="s">
        <v>411</v>
      </c>
    </row>
    <row r="16" spans="2:18" outlineLevel="1" x14ac:dyDescent="0.3">
      <c r="B16" s="6" t="s">
        <v>412</v>
      </c>
      <c r="C16" s="11">
        <f>VALO_ST!V31</f>
        <v>0</v>
      </c>
      <c r="D16" s="41"/>
      <c r="E16" s="35"/>
      <c r="F16" s="35"/>
      <c r="G16" s="41"/>
      <c r="H16" s="35"/>
      <c r="I16" s="32"/>
      <c r="J16" s="218"/>
      <c r="K16" s="11"/>
      <c r="L16" s="219"/>
      <c r="P16" s="158" t="s">
        <v>413</v>
      </c>
      <c r="Q16" s="158" t="str">
        <f>IF((C17+C18)&gt;2000000,"Non","Ok")</f>
        <v>Ok</v>
      </c>
      <c r="R16" s="159" t="str">
        <f>IF(Q16="Non",2000000,"")</f>
        <v/>
      </c>
    </row>
    <row r="17" spans="2:18" outlineLevel="1" x14ac:dyDescent="0.3">
      <c r="B17" s="6" t="s">
        <v>414</v>
      </c>
      <c r="C17" s="11">
        <f>VALO_ST!V30</f>
        <v>0</v>
      </c>
      <c r="D17" s="41"/>
      <c r="E17" s="35"/>
      <c r="F17" s="35"/>
      <c r="G17" s="41"/>
      <c r="H17" s="35"/>
      <c r="I17" s="32"/>
      <c r="J17" s="218"/>
      <c r="K17" s="11"/>
      <c r="L17" s="219"/>
      <c r="P17" s="158" t="s">
        <v>415</v>
      </c>
      <c r="Q17" s="158" t="str">
        <f>IF(SUM(C15:C18)&gt;10000000,"Non","Ok")</f>
        <v>Ok</v>
      </c>
      <c r="R17" s="159" t="str">
        <f>IF(Q17="Non",10000000,"")</f>
        <v/>
      </c>
    </row>
    <row r="18" spans="2:18" outlineLevel="1" x14ac:dyDescent="0.3">
      <c r="B18" s="6" t="s">
        <v>416</v>
      </c>
      <c r="C18" s="11">
        <f>VALO_ST!V32</f>
        <v>0</v>
      </c>
      <c r="D18" s="41"/>
      <c r="E18" s="35"/>
      <c r="F18" s="35"/>
      <c r="G18" s="41"/>
      <c r="H18" s="35"/>
      <c r="I18" s="32"/>
      <c r="J18" s="218"/>
      <c r="K18" s="11"/>
      <c r="L18" s="219"/>
      <c r="P18" s="158" t="s">
        <v>417</v>
      </c>
      <c r="Q18" s="158" t="str">
        <f>IF(SUM(C5:C14)*3&lt;SUM(C15:C18),"non","Ok")</f>
        <v>Ok</v>
      </c>
      <c r="R18" s="159" t="str">
        <f>IF(Q18="Non",SUM(C5:C14)*3,"")</f>
        <v/>
      </c>
    </row>
    <row r="19" spans="2:18" ht="15.75" thickBot="1" x14ac:dyDescent="0.35">
      <c r="B19" s="7" t="s">
        <v>418</v>
      </c>
      <c r="C19" s="13">
        <f>IF(Q18="Non",R18+SUM(C5:C14),IF(Q17="Non",R17+SUM(C5:C14),IF(Q16="Non",R16+SUM(C5:C16),SUM(C5:C18))))</f>
        <v>0</v>
      </c>
      <c r="D19" s="13">
        <f>SUM(D5:D18)</f>
        <v>158934.52542672562</v>
      </c>
      <c r="E19" s="36"/>
      <c r="F19" s="36"/>
      <c r="G19" s="13">
        <f>SUM(G5:G18)</f>
        <v>0</v>
      </c>
      <c r="H19" s="36"/>
      <c r="I19" s="32"/>
      <c r="J19" s="14">
        <f>SUM(J5:J18)</f>
        <v>0</v>
      </c>
      <c r="K19" s="14">
        <f t="shared" ref="K19:L19" si="0">SUM(K5:K18)</f>
        <v>283279</v>
      </c>
      <c r="L19" s="14">
        <f t="shared" si="0"/>
        <v>0</v>
      </c>
    </row>
    <row r="20" spans="2:18" ht="7.5" customHeight="1" thickBot="1" x14ac:dyDescent="0.35">
      <c r="G20" s="30"/>
    </row>
    <row r="21" spans="2:18" outlineLevel="2" x14ac:dyDescent="0.3">
      <c r="B21" s="8" t="s">
        <v>419</v>
      </c>
      <c r="C21" s="212"/>
      <c r="D21" s="212"/>
      <c r="E21" s="193"/>
      <c r="F21" s="193"/>
      <c r="G21" s="212"/>
      <c r="J21" s="220"/>
      <c r="K21" s="212"/>
      <c r="L21" s="221"/>
    </row>
    <row r="22" spans="2:18" outlineLevel="2" x14ac:dyDescent="0.3">
      <c r="B22" s="6" t="s">
        <v>420</v>
      </c>
      <c r="C22" s="11"/>
      <c r="D22" s="11"/>
      <c r="E22" s="193"/>
      <c r="F22" s="193"/>
      <c r="G22" s="11"/>
      <c r="J22" s="218"/>
      <c r="K22" s="11"/>
      <c r="L22" s="219"/>
    </row>
    <row r="23" spans="2:18" outlineLevel="1" x14ac:dyDescent="0.3">
      <c r="B23" s="6" t="s">
        <v>421</v>
      </c>
      <c r="C23" s="11"/>
      <c r="D23" s="11"/>
      <c r="E23" s="193"/>
      <c r="F23" s="193"/>
      <c r="G23" s="11"/>
      <c r="J23" s="218"/>
      <c r="K23" s="11"/>
      <c r="L23" s="219"/>
    </row>
    <row r="24" spans="2:18" outlineLevel="1" x14ac:dyDescent="0.3">
      <c r="B24" s="6" t="s">
        <v>422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0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-7583</v>
      </c>
      <c r="E24" s="193"/>
      <c r="F24" s="193"/>
      <c r="G24" s="11">
        <f>-IF('parametres chiffrage'!$B$13=parametrage!$I$14,0,IF('parametres chiffrage'!$B$13=parametrage!$I$13,'parametres chiffrage'!J13,IF('parametres chiffrage'!$B$13=parametrage!$I$15,'parametres chiffrage'!J14,"")))</f>
        <v>0</v>
      </c>
      <c r="J24" s="218"/>
      <c r="K24" s="11">
        <v>-2446</v>
      </c>
      <c r="L24" s="219"/>
    </row>
    <row r="25" spans="2:18" ht="15.75" thickBot="1" x14ac:dyDescent="0.35">
      <c r="B25" s="7" t="s">
        <v>423</v>
      </c>
      <c r="C25" s="13">
        <f>C19+SUM(C21:C24)</f>
        <v>0</v>
      </c>
      <c r="D25" s="13">
        <f>IF(D19&gt;400000,400000+SUM(D21:D24),SUM(D19:D24))</f>
        <v>151351.52542672562</v>
      </c>
      <c r="E25" s="36"/>
      <c r="F25" s="36"/>
      <c r="G25" s="13">
        <f>G19+SUM(G21:G24)</f>
        <v>0</v>
      </c>
      <c r="H25" s="36"/>
      <c r="J25" s="14">
        <f>J19+J21+J22+J23+J24</f>
        <v>0</v>
      </c>
      <c r="K25" s="14">
        <f t="shared" ref="K25:L25" si="1">K19+K21+K22+K23+K24</f>
        <v>280833</v>
      </c>
      <c r="L25" s="14">
        <f t="shared" si="1"/>
        <v>0</v>
      </c>
    </row>
    <row r="26" spans="2:18" ht="15" customHeight="1" thickBot="1" x14ac:dyDescent="0.35">
      <c r="G26" s="30"/>
    </row>
    <row r="27" spans="2:18" x14ac:dyDescent="0.3">
      <c r="B27" s="8" t="s">
        <v>424</v>
      </c>
      <c r="C27" s="15" cm="1">
        <f t="array" ref="C27">_xlfn.IFS(C2=2025,30%,C2=2024,30%,C2=2023,30%)</f>
        <v>0.3</v>
      </c>
      <c r="D27" s="33" cm="1">
        <f t="array" ref="D27">_xlfn.IFS(D2=2025,20%,D2=2024,30%,D2=2023,30%)</f>
        <v>0.2</v>
      </c>
      <c r="E27" s="37"/>
      <c r="F27" s="37"/>
      <c r="G27" s="31" cm="1">
        <f t="array" ref="G27">_xlfn.IFS(G2=2025,30%,G2=2024,30%,G2=2023,30%)</f>
        <v>0.3</v>
      </c>
      <c r="H27" s="37"/>
      <c r="J27" s="15">
        <v>0.3</v>
      </c>
      <c r="K27" s="15">
        <v>0.3</v>
      </c>
      <c r="L27" s="15">
        <v>0.3</v>
      </c>
    </row>
    <row r="28" spans="2:18" ht="15.75" thickBot="1" x14ac:dyDescent="0.35">
      <c r="B28" s="7" t="s">
        <v>425</v>
      </c>
      <c r="C28" s="13">
        <f>C27*C25</f>
        <v>0</v>
      </c>
      <c r="D28" s="13">
        <f>D27*D25</f>
        <v>30270.305085345128</v>
      </c>
      <c r="E28" s="36"/>
      <c r="F28" s="36"/>
      <c r="G28" s="13">
        <f>G27*G25</f>
        <v>0</v>
      </c>
      <c r="H28" s="36"/>
      <c r="J28" s="14">
        <f>J25*J27</f>
        <v>0</v>
      </c>
      <c r="K28" s="14">
        <f t="shared" ref="K28:L28" si="2">K25*K27</f>
        <v>84249.9</v>
      </c>
      <c r="L28" s="14">
        <f t="shared" si="2"/>
        <v>0</v>
      </c>
    </row>
    <row r="30" spans="2:18" ht="16.5" customHeight="1" thickBot="1" x14ac:dyDescent="0.35">
      <c r="B30" s="7" t="s">
        <v>426</v>
      </c>
      <c r="C30" s="222">
        <f>C28+D28+G28+C45</f>
        <v>30270.305085345128</v>
      </c>
      <c r="D30" s="222"/>
      <c r="E30" s="222"/>
      <c r="F30" s="222"/>
      <c r="G30" s="222"/>
      <c r="J30" s="496">
        <f>J28+K28+L28</f>
        <v>84249.9</v>
      </c>
      <c r="K30" s="497"/>
      <c r="L30" s="498"/>
    </row>
    <row r="32" spans="2:18" outlineLevel="1" x14ac:dyDescent="0.3">
      <c r="C32" s="9">
        <f>'parametres chiffrage'!B10</f>
        <v>2025</v>
      </c>
    </row>
    <row r="33" spans="2:3" ht="7.15" customHeight="1" outlineLevel="1" thickBot="1" x14ac:dyDescent="0.35"/>
    <row r="34" spans="2:3" ht="15.75" outlineLevel="1" thickBot="1" x14ac:dyDescent="0.35">
      <c r="B34" s="10" t="s">
        <v>399</v>
      </c>
      <c r="C34" s="160" t="s">
        <v>41</v>
      </c>
    </row>
    <row r="35" spans="2:3" outlineLevel="1" x14ac:dyDescent="0.3">
      <c r="B35" s="6" t="s">
        <v>427</v>
      </c>
      <c r="C35" s="29">
        <f>VALO_ST!AB29</f>
        <v>0</v>
      </c>
    </row>
    <row r="36" spans="2:3" outlineLevel="1" x14ac:dyDescent="0.3">
      <c r="B36" s="6" t="s">
        <v>428</v>
      </c>
      <c r="C36" s="29">
        <f>VALO_ST!AB31</f>
        <v>0</v>
      </c>
    </row>
    <row r="37" spans="2:3" ht="15.75" outlineLevel="1" thickBot="1" x14ac:dyDescent="0.35">
      <c r="B37" s="7" t="s">
        <v>418</v>
      </c>
      <c r="C37" s="13">
        <f>IF(SUM(C35:C36)&gt;6000000,6000000,SUM(C35:C36))</f>
        <v>0</v>
      </c>
    </row>
    <row r="38" spans="2:3" ht="15.75" outlineLevel="1" thickBot="1" x14ac:dyDescent="0.35"/>
    <row r="39" spans="2:3" outlineLevel="1" x14ac:dyDescent="0.3">
      <c r="B39" s="8" t="s">
        <v>419</v>
      </c>
      <c r="C39" s="12"/>
    </row>
    <row r="40" spans="2:3" outlineLevel="1" x14ac:dyDescent="0.3">
      <c r="B40" s="6" t="s">
        <v>420</v>
      </c>
      <c r="C40" s="12"/>
    </row>
    <row r="41" spans="2:3" outlineLevel="1" x14ac:dyDescent="0.3">
      <c r="B41" s="6" t="s">
        <v>422</v>
      </c>
      <c r="C41" s="12"/>
    </row>
    <row r="42" spans="2:3" ht="15.75" outlineLevel="1" thickBot="1" x14ac:dyDescent="0.35">
      <c r="B42" s="7" t="s">
        <v>423</v>
      </c>
      <c r="C42" s="13">
        <f>C37+C39+C40+C41</f>
        <v>0</v>
      </c>
    </row>
    <row r="43" spans="2:3" ht="15.75" outlineLevel="1" thickBot="1" x14ac:dyDescent="0.35"/>
    <row r="44" spans="2:3" outlineLevel="1" x14ac:dyDescent="0.3">
      <c r="B44" s="8" t="s">
        <v>424</v>
      </c>
      <c r="C44" s="15">
        <f>IF(ISBLANK('parametres chiffrage'!B3),0,IF('parametres chiffrage'!B3="oui",50%,40%))</f>
        <v>0.5</v>
      </c>
    </row>
    <row r="45" spans="2:3" ht="15.75" outlineLevel="1" thickBot="1" x14ac:dyDescent="0.35">
      <c r="B45" s="7" t="s">
        <v>425</v>
      </c>
      <c r="C45" s="13">
        <f>C42*C44</f>
        <v>0</v>
      </c>
    </row>
  </sheetData>
  <mergeCells count="1">
    <mergeCell ref="J30:L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1">
                <anchor moveWithCells="1" sizeWithCells="1">
                  <from>
                    <xdr:col>13</xdr:col>
                    <xdr:colOff>47625</xdr:colOff>
                    <xdr:row>1</xdr:row>
                    <xdr:rowOff>161925</xdr:rowOff>
                  </from>
                  <to>
                    <xdr:col>14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Macro2">
                <anchor moveWithCells="1" sizeWithCells="1">
                  <from>
                    <xdr:col>13</xdr:col>
                    <xdr:colOff>66675</xdr:colOff>
                    <xdr:row>5</xdr:row>
                    <xdr:rowOff>104775</xdr:rowOff>
                  </from>
                  <to>
                    <xdr:col>14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6" name="Button 8">
              <controlPr defaultSize="0" print="0" autoFill="0" autoPict="0" macro="[0]!TS_Valeur">
                <anchor moveWithCells="1" sizeWithCells="1">
                  <from>
                    <xdr:col>13</xdr:col>
                    <xdr:colOff>57150</xdr:colOff>
                    <xdr:row>8</xdr:row>
                    <xdr:rowOff>180975</xdr:rowOff>
                  </from>
                  <to>
                    <xdr:col>14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7" name="Button 10">
              <controlPr defaultSize="0" print="0" autoFill="0" autoPict="0" macro="[0]!masquer_les_TS">
                <anchor moveWithCells="1" sizeWithCells="1">
                  <from>
                    <xdr:col>13</xdr:col>
                    <xdr:colOff>76200</xdr:colOff>
                    <xdr:row>12</xdr:row>
                    <xdr:rowOff>76200</xdr:rowOff>
                  </from>
                  <to>
                    <xdr:col>14</xdr:col>
                    <xdr:colOff>504825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8" name="Button 11">
              <controlPr defaultSize="0" print="0" autoFill="0" autoPict="0" macro="[0]!afficher_les_ts">
                <anchor moveWithCells="1" sizeWithCells="1">
                  <from>
                    <xdr:col>13</xdr:col>
                    <xdr:colOff>85725</xdr:colOff>
                    <xdr:row>15</xdr:row>
                    <xdr:rowOff>76200</xdr:rowOff>
                  </from>
                  <to>
                    <xdr:col>14</xdr:col>
                    <xdr:colOff>457200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CC30-0504-4733-B75E-B07FC33A742C}">
  <sheetPr codeName="Feuil28">
    <tabColor theme="6" tint="0.79998168889431442"/>
  </sheetPr>
  <dimension ref="B1:O30"/>
  <sheetViews>
    <sheetView zoomScale="115" zoomScaleNormal="115" workbookViewId="0">
      <selection activeCell="C27" sqref="C27"/>
    </sheetView>
  </sheetViews>
  <sheetFormatPr baseColWidth="10" defaultColWidth="10.85546875" defaultRowHeight="15" outlineLevelRow="2" outlineLevelCol="1" x14ac:dyDescent="0.3"/>
  <cols>
    <col min="1" max="1" width="10.85546875" style="4"/>
    <col min="2" max="2" width="78.28515625" style="4" bestFit="1" customWidth="1"/>
    <col min="3" max="4" width="10.85546875" style="4" customWidth="1" outlineLevel="1"/>
    <col min="5" max="5" width="0.28515625" style="4" customWidth="1" outlineLevel="1"/>
    <col min="6" max="6" width="0.7109375" style="4" customWidth="1"/>
    <col min="7" max="7" width="0.28515625" style="4" customWidth="1" outlineLevel="1"/>
    <col min="8" max="8" width="0.7109375" style="4" customWidth="1"/>
    <col min="9" max="9" width="10.85546875" style="4"/>
    <col min="10" max="10" width="10.85546875" style="4" customWidth="1" outlineLevel="1"/>
    <col min="11" max="12" width="10.85546875" style="4"/>
    <col min="13" max="13" width="24.42578125" style="4" bestFit="1" customWidth="1"/>
    <col min="14" max="14" width="10.85546875" style="4"/>
    <col min="15" max="15" width="21.42578125" style="4" bestFit="1" customWidth="1"/>
    <col min="16" max="16384" width="10.85546875" style="4"/>
  </cols>
  <sheetData>
    <row r="1" spans="2:15" ht="8.4499999999999993" customHeight="1" x14ac:dyDescent="0.3"/>
    <row r="2" spans="2:15" x14ac:dyDescent="0.3">
      <c r="C2" s="9">
        <v>2025</v>
      </c>
      <c r="D2" s="9">
        <v>2023</v>
      </c>
      <c r="E2" s="24"/>
      <c r="F2" s="24"/>
      <c r="G2" s="24"/>
      <c r="I2" s="9">
        <v>2023</v>
      </c>
      <c r="J2" s="9">
        <v>2023</v>
      </c>
    </row>
    <row r="3" spans="2:15" ht="6.95" customHeight="1" thickBot="1" x14ac:dyDescent="0.35"/>
    <row r="4" spans="2:15" x14ac:dyDescent="0.3">
      <c r="B4" s="10" t="s">
        <v>399</v>
      </c>
      <c r="C4" s="20" t="s">
        <v>27</v>
      </c>
      <c r="D4" s="20" t="s">
        <v>13</v>
      </c>
      <c r="E4" s="34"/>
      <c r="F4" s="34"/>
      <c r="G4" s="34"/>
      <c r="H4" s="32"/>
      <c r="I4" s="20" t="s">
        <v>27</v>
      </c>
      <c r="J4" s="20" t="s">
        <v>27</v>
      </c>
    </row>
    <row r="5" spans="2:15" x14ac:dyDescent="0.3">
      <c r="B5" s="6" t="s">
        <v>359</v>
      </c>
      <c r="C5" s="11">
        <f>VALO_AMO!Q26</f>
        <v>0</v>
      </c>
      <c r="D5" s="11"/>
      <c r="E5" s="35"/>
      <c r="F5" s="35"/>
      <c r="G5" s="35"/>
      <c r="H5" s="32"/>
      <c r="I5" s="218"/>
      <c r="J5" s="11"/>
    </row>
    <row r="6" spans="2:15" x14ac:dyDescent="0.3">
      <c r="B6" s="6" t="s">
        <v>360</v>
      </c>
      <c r="C6" s="11">
        <f>VALO_PERSO!AP16</f>
        <v>0</v>
      </c>
      <c r="D6" s="11"/>
      <c r="E6" s="35"/>
      <c r="F6" s="35"/>
      <c r="G6" s="35"/>
      <c r="H6" s="32"/>
      <c r="I6" s="218"/>
      <c r="J6" s="11"/>
    </row>
    <row r="7" spans="2:15" x14ac:dyDescent="0.3">
      <c r="B7" s="6" t="s">
        <v>400</v>
      </c>
      <c r="C7" s="11">
        <f>VALO_PERSO!AP14</f>
        <v>0</v>
      </c>
      <c r="D7" s="41"/>
      <c r="E7" s="35"/>
      <c r="F7" s="35"/>
      <c r="G7" s="35"/>
      <c r="H7" s="32"/>
      <c r="I7" s="218"/>
      <c r="J7" s="11"/>
    </row>
    <row r="8" spans="2:15" x14ac:dyDescent="0.3">
      <c r="B8" s="6" t="s">
        <v>401</v>
      </c>
      <c r="C8" s="11" t="b">
        <f>IF(AND(C2&gt;=2023,C2&lt;=2024,C4="CIR"),C6*0.43+C5*0.75,
IF(AND(C2=2025,C4="CIR"),C6*0.4+C5*0.75,IF(C4="CIC",C6*0.75+C5*0.75)))</f>
        <v>0</v>
      </c>
      <c r="D8" s="11">
        <f>IF(AND(D2&gt;=2023,D2&lt;=2024,D4="CIR"),D6*0.43+D5*0.75,
IF(AND(D2=2025,D4="CIR"),D6*0.4+D5*0.75,IF(D4="CIC",D6*0.75+D5*0.75)))</f>
        <v>0</v>
      </c>
      <c r="E8" s="35"/>
      <c r="F8" s="35"/>
      <c r="G8" s="35"/>
      <c r="H8" s="32"/>
      <c r="I8" s="218"/>
      <c r="J8" s="11"/>
    </row>
    <row r="9" spans="2:15" outlineLevel="2" x14ac:dyDescent="0.3">
      <c r="B9" s="6" t="s">
        <v>402</v>
      </c>
      <c r="E9" s="35"/>
      <c r="F9" s="35"/>
      <c r="G9" s="35"/>
      <c r="H9" s="32"/>
      <c r="I9" s="218"/>
      <c r="J9" s="11"/>
    </row>
    <row r="10" spans="2:15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5"/>
      <c r="F10" s="35"/>
      <c r="G10" s="35"/>
      <c r="H10" s="32"/>
      <c r="I10" s="218"/>
      <c r="J10" s="11"/>
    </row>
    <row r="11" spans="2:15" outlineLevel="2" x14ac:dyDescent="0.3">
      <c r="B11" s="6" t="s">
        <v>404</v>
      </c>
      <c r="C11" s="11">
        <f>VALO_AMO!Q24</f>
        <v>0</v>
      </c>
      <c r="D11" s="41"/>
      <c r="E11" s="35"/>
      <c r="F11" s="35"/>
      <c r="G11" s="35"/>
      <c r="H11" s="32"/>
      <c r="I11" s="218"/>
      <c r="J11" s="11"/>
    </row>
    <row r="12" spans="2:15" outlineLevel="2" x14ac:dyDescent="0.3">
      <c r="B12" s="6" t="s">
        <v>405</v>
      </c>
      <c r="C12" s="11">
        <f>'VALO-autres dépenses CIR'!J38</f>
        <v>0</v>
      </c>
      <c r="D12" s="41"/>
      <c r="E12" s="35"/>
      <c r="F12" s="35"/>
      <c r="G12" s="35"/>
      <c r="H12" s="32"/>
      <c r="I12" s="218"/>
      <c r="J12" s="11"/>
    </row>
    <row r="13" spans="2:15" outlineLevel="2" x14ac:dyDescent="0.3">
      <c r="B13" s="6" t="s">
        <v>406</v>
      </c>
      <c r="C13" s="11">
        <f>VALO_BREVET!P30</f>
        <v>0</v>
      </c>
      <c r="D13" s="41"/>
      <c r="E13" s="35"/>
      <c r="F13" s="35"/>
      <c r="G13" s="35"/>
      <c r="H13" s="32"/>
      <c r="I13" s="218"/>
      <c r="J13" s="11"/>
    </row>
    <row r="14" spans="2:15" outlineLevel="2" x14ac:dyDescent="0.3">
      <c r="B14" s="6" t="s">
        <v>407</v>
      </c>
      <c r="C14" s="11">
        <f>'VALO-autres dépenses CIR'!J41</f>
        <v>0</v>
      </c>
      <c r="D14" s="41"/>
      <c r="E14" s="35"/>
      <c r="F14" s="35"/>
      <c r="G14" s="35"/>
      <c r="H14" s="32"/>
      <c r="I14" s="218"/>
      <c r="J14" s="11"/>
    </row>
    <row r="15" spans="2:15" outlineLevel="1" x14ac:dyDescent="0.3">
      <c r="B15" s="6" t="s">
        <v>408</v>
      </c>
      <c r="C15" s="11">
        <f>VALO_ST!V29</f>
        <v>0</v>
      </c>
      <c r="D15" s="11">
        <f>VALO_ST!X27</f>
        <v>0</v>
      </c>
      <c r="E15" s="35"/>
      <c r="F15" s="35"/>
      <c r="G15" s="35"/>
      <c r="H15" s="32"/>
      <c r="I15" s="218"/>
      <c r="J15" s="11"/>
      <c r="M15" s="157" t="s">
        <v>409</v>
      </c>
      <c r="N15" s="157" t="s">
        <v>410</v>
      </c>
      <c r="O15" s="157" t="s">
        <v>411</v>
      </c>
    </row>
    <row r="16" spans="2:15" outlineLevel="1" x14ac:dyDescent="0.3">
      <c r="B16" s="6" t="s">
        <v>412</v>
      </c>
      <c r="C16" s="11">
        <f>VALO_ST!V31</f>
        <v>0</v>
      </c>
      <c r="D16" s="41"/>
      <c r="E16" s="35"/>
      <c r="F16" s="35"/>
      <c r="G16" s="35"/>
      <c r="H16" s="32"/>
      <c r="I16" s="218"/>
      <c r="J16" s="11"/>
      <c r="M16" s="158" t="s">
        <v>413</v>
      </c>
      <c r="N16" s="158" t="str">
        <f>IF((C17+C18)&gt;2000000,"Non","Ok")</f>
        <v>Ok</v>
      </c>
      <c r="O16" s="159" t="str">
        <f>IF(N16="Non",2000000,"")</f>
        <v/>
      </c>
    </row>
    <row r="17" spans="2:15" outlineLevel="1" x14ac:dyDescent="0.3">
      <c r="B17" s="6" t="s">
        <v>414</v>
      </c>
      <c r="C17" s="11">
        <f>VALO_ST!V30</f>
        <v>0</v>
      </c>
      <c r="D17" s="41"/>
      <c r="E17" s="35"/>
      <c r="F17" s="35"/>
      <c r="G17" s="35"/>
      <c r="H17" s="32"/>
      <c r="I17" s="218"/>
      <c r="J17" s="11"/>
      <c r="M17" s="158" t="s">
        <v>415</v>
      </c>
      <c r="N17" s="158" t="str">
        <f>IF(SUM(C15:C18)&gt;10000000,"Non","Ok")</f>
        <v>Ok</v>
      </c>
      <c r="O17" s="159" t="str">
        <f>IF(N17="Non",10000000,"")</f>
        <v/>
      </c>
    </row>
    <row r="18" spans="2:15" outlineLevel="1" x14ac:dyDescent="0.3">
      <c r="B18" s="6" t="s">
        <v>416</v>
      </c>
      <c r="C18" s="11">
        <f>VALO_ST!V32</f>
        <v>0</v>
      </c>
      <c r="D18" s="41"/>
      <c r="E18" s="35"/>
      <c r="F18" s="35"/>
      <c r="G18" s="35"/>
      <c r="H18" s="32"/>
      <c r="I18" s="218"/>
      <c r="J18" s="11"/>
      <c r="M18" s="158" t="s">
        <v>417</v>
      </c>
      <c r="N18" s="158" t="str">
        <f>IF(SUM(C5:C14)*3&lt;SUM(C15:C18),"non","Ok")</f>
        <v>Ok</v>
      </c>
      <c r="O18" s="159" t="str">
        <f>IF(N18="Non",SUM(C5:C14)*3,"")</f>
        <v/>
      </c>
    </row>
    <row r="19" spans="2:15" ht="15.75" thickBot="1" x14ac:dyDescent="0.35">
      <c r="B19" s="7" t="s">
        <v>418</v>
      </c>
      <c r="C19" s="13">
        <f>IF(N18="Non",O18+SUM(C5:C14),IF(N17="Non",O17+SUM(C5:C14),IF(N16="Non",O16+SUM(C5:C16),SUM(C5:C18))))</f>
        <v>0</v>
      </c>
      <c r="D19" s="13">
        <f>SUM(D5:D18)</f>
        <v>0</v>
      </c>
      <c r="E19" s="36"/>
      <c r="F19" s="36"/>
      <c r="G19" s="36"/>
      <c r="H19" s="32"/>
      <c r="I19" s="14"/>
      <c r="J19" s="13"/>
    </row>
    <row r="20" spans="2:15" ht="7.5" customHeight="1" thickBot="1" x14ac:dyDescent="0.35"/>
    <row r="21" spans="2:15" outlineLevel="2" x14ac:dyDescent="0.3">
      <c r="B21" s="8" t="s">
        <v>419</v>
      </c>
      <c r="C21" s="212"/>
      <c r="D21" s="212"/>
      <c r="E21" s="193"/>
      <c r="F21" s="193"/>
      <c r="I21" s="220"/>
      <c r="J21" s="212"/>
    </row>
    <row r="22" spans="2:15" outlineLevel="2" x14ac:dyDescent="0.3">
      <c r="B22" s="6" t="s">
        <v>420</v>
      </c>
      <c r="C22" s="11"/>
      <c r="D22" s="11"/>
      <c r="E22" s="193"/>
      <c r="F22" s="193"/>
      <c r="I22" s="218"/>
      <c r="J22" s="11"/>
    </row>
    <row r="23" spans="2:15" outlineLevel="1" x14ac:dyDescent="0.3">
      <c r="B23" s="6" t="s">
        <v>421</v>
      </c>
      <c r="C23" s="11"/>
      <c r="D23" s="11"/>
      <c r="E23" s="193"/>
      <c r="F23" s="193"/>
      <c r="I23" s="218"/>
      <c r="J23" s="11"/>
    </row>
    <row r="24" spans="2:15" outlineLevel="1" x14ac:dyDescent="0.3">
      <c r="B24" s="6" t="s">
        <v>422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0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-7583</v>
      </c>
      <c r="E24" s="193"/>
      <c r="F24" s="193"/>
      <c r="I24" s="218"/>
      <c r="J24" s="11"/>
    </row>
    <row r="25" spans="2:15" ht="15.75" thickBot="1" x14ac:dyDescent="0.35">
      <c r="B25" s="7" t="s">
        <v>423</v>
      </c>
      <c r="C25" s="13">
        <f>C19+SUM(C21:C24)</f>
        <v>0</v>
      </c>
      <c r="D25" s="13">
        <f>IF(D19&gt;400000,400000+SUM(D21:D24),SUM(D19:D24))</f>
        <v>-7583</v>
      </c>
      <c r="E25" s="36"/>
      <c r="F25" s="36"/>
      <c r="G25" s="36"/>
      <c r="I25" s="14"/>
      <c r="J25" s="13"/>
    </row>
    <row r="26" spans="2:15" ht="15" customHeight="1" thickBot="1" x14ac:dyDescent="0.35"/>
    <row r="27" spans="2:15" x14ac:dyDescent="0.3">
      <c r="B27" s="8" t="s">
        <v>424</v>
      </c>
      <c r="C27" s="430" cm="1">
        <f t="array" ref="C27">_xlfn.IFS(C4="CIR",30%,(C4="CII")*((C2=2025)),20%,C4="CIC",30%,C4="CIMA",10%,C4="CIMA EPV",15%,C4="CICO",50%,(C4="CII")*((C2=2024)+(C2=2023)),30%)</f>
        <v>0.2</v>
      </c>
      <c r="D27" s="430" t="s">
        <v>831</v>
      </c>
      <c r="E27" s="37"/>
      <c r="F27" s="37"/>
      <c r="G27" s="37"/>
      <c r="I27" s="430" cm="1">
        <f t="array" ref="I27">_xlfn.IFS(I4="CIR",30%,(I4="CII")*((I2=2025)),20%,I4="CIC",30%,I4="CIMA",10%,I4="CIMA EPV",15%,I4="CICO",50%,(I4="CII")*((I2=2024)+(I2=2023)),30%)</f>
        <v>0.3</v>
      </c>
      <c r="J27" s="430" cm="1">
        <f t="array" ref="J27">_xlfn.IFS(J4="CIR",30%,(J4="CII")*((J2=2025)),20%,J4="CIC",30%,J4="CIMA",10%,J4="CIMA EPV",15%,J4="CICO",50%,(J4="CII")*((J2=2024)+(J2=2023)),30%)</f>
        <v>0.3</v>
      </c>
    </row>
    <row r="28" spans="2:15" ht="15.75" thickBot="1" x14ac:dyDescent="0.35">
      <c r="B28" s="7" t="s">
        <v>425</v>
      </c>
      <c r="C28" s="429">
        <f>C27*C25</f>
        <v>0</v>
      </c>
      <c r="D28" s="13" t="e">
        <f>D27*D25</f>
        <v>#VALUE!</v>
      </c>
      <c r="E28" s="36"/>
      <c r="F28" s="36"/>
      <c r="G28" s="36"/>
      <c r="I28" s="14"/>
      <c r="J28" s="13"/>
    </row>
    <row r="30" spans="2:15" ht="15.75" thickBot="1" x14ac:dyDescent="0.35">
      <c r="B30" s="7" t="s">
        <v>426</v>
      </c>
      <c r="C30" s="222" t="e">
        <f>C28+D28+#REF!+#REF!</f>
        <v>#VALUE!</v>
      </c>
      <c r="D30" s="222"/>
      <c r="E30" s="222"/>
      <c r="F30" s="222"/>
      <c r="I30" s="223" t="e">
        <f>I28+J28+#REF!</f>
        <v>#REF!</v>
      </c>
      <c r="J30" s="2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47625</xdr:colOff>
                    <xdr:row>1</xdr:row>
                    <xdr:rowOff>161925</xdr:rowOff>
                  </from>
                  <to>
                    <xdr:col>12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Macro2">
                <anchor moveWithCells="1" sizeWithCells="1">
                  <from>
                    <xdr:col>11</xdr:col>
                    <xdr:colOff>66675</xdr:colOff>
                    <xdr:row>5</xdr:row>
                    <xdr:rowOff>104775</xdr:rowOff>
                  </from>
                  <to>
                    <xdr:col>12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TS_Valeur">
                <anchor moveWithCells="1" sizeWithCells="1">
                  <from>
                    <xdr:col>11</xdr:col>
                    <xdr:colOff>57150</xdr:colOff>
                    <xdr:row>8</xdr:row>
                    <xdr:rowOff>180975</xdr:rowOff>
                  </from>
                  <to>
                    <xdr:col>12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D40FDE-2A36-4664-9953-97A136A0BDCA}">
          <x14:formula1>
            <xm:f>parametrage!$C$28:$C$35</xm:f>
          </x14:formula1>
          <xm:sqref>C2:D2 I2:J2</xm:sqref>
        </x14:dataValidation>
        <x14:dataValidation type="list" allowBlank="1" showInputMessage="1" showErrorMessage="1" xr:uid="{82331E11-C560-4FCF-8FE2-14000D8E2465}">
          <x14:formula1>
            <xm:f>parametrage!$A$28:$A$33</xm:f>
          </x14:formula1>
          <xm:sqref>C4:D4 I4:J4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C452-8231-4553-A178-1EE1CC88279C}">
  <sheetPr codeName="Feuil20">
    <tabColor rgb="FF2D44EA"/>
  </sheetPr>
  <dimension ref="B2:E29"/>
  <sheetViews>
    <sheetView showGridLines="0" workbookViewId="0">
      <selection activeCell="D47" sqref="D47"/>
    </sheetView>
  </sheetViews>
  <sheetFormatPr baseColWidth="10" defaultColWidth="11.42578125" defaultRowHeight="15" x14ac:dyDescent="0.25"/>
  <cols>
    <col min="2" max="2" width="46.28515625" customWidth="1"/>
    <col min="3" max="3" width="49.28515625" hidden="1" customWidth="1"/>
    <col min="4" max="4" width="18.7109375" customWidth="1"/>
    <col min="5" max="5" width="16.5703125" hidden="1" customWidth="1"/>
  </cols>
  <sheetData>
    <row r="2" spans="2:5" x14ac:dyDescent="0.25">
      <c r="B2" s="499" t="s">
        <v>827</v>
      </c>
      <c r="C2" s="500"/>
      <c r="D2" s="500"/>
      <c r="E2" s="500"/>
    </row>
    <row r="3" spans="2:5" x14ac:dyDescent="0.25">
      <c r="B3" s="258"/>
      <c r="C3" s="259"/>
    </row>
    <row r="4" spans="2:5" x14ac:dyDescent="0.25">
      <c r="B4" s="258"/>
      <c r="C4" s="258"/>
    </row>
    <row r="5" spans="2:5" x14ac:dyDescent="0.25">
      <c r="B5" s="264" t="s">
        <v>429</v>
      </c>
      <c r="C5" s="264" t="s">
        <v>13</v>
      </c>
      <c r="D5" s="264" t="s">
        <v>27</v>
      </c>
      <c r="E5" s="264" t="s">
        <v>38</v>
      </c>
    </row>
    <row r="6" spans="2:5" x14ac:dyDescent="0.25">
      <c r="B6" s="260" t="s">
        <v>359</v>
      </c>
      <c r="C6" s="261">
        <f>SYNTHESE!C5</f>
        <v>0</v>
      </c>
      <c r="D6" s="261">
        <f>SYNTHESE!D5</f>
        <v>1803.8582636643459</v>
      </c>
      <c r="E6" s="261">
        <f>SYNTHESE!G5</f>
        <v>0</v>
      </c>
    </row>
    <row r="7" spans="2:5" x14ac:dyDescent="0.25">
      <c r="B7" s="260" t="s">
        <v>360</v>
      </c>
      <c r="C7" s="261">
        <f>SYNTHESE!C6</f>
        <v>0</v>
      </c>
      <c r="D7" s="261">
        <f>SYNTHESE!D6</f>
        <v>157130.66716306127</v>
      </c>
      <c r="E7" s="261">
        <f>SYNTHESE!G6</f>
        <v>0</v>
      </c>
    </row>
    <row r="8" spans="2:5" hidden="1" x14ac:dyDescent="0.25">
      <c r="B8" s="260" t="s">
        <v>400</v>
      </c>
      <c r="C8" s="261">
        <f>SYNTHESE!C7</f>
        <v>0</v>
      </c>
      <c r="D8" s="261">
        <f>SYNTHESE!D7</f>
        <v>0</v>
      </c>
      <c r="E8" s="261">
        <f>SYNTHESE!G7</f>
        <v>0</v>
      </c>
    </row>
    <row r="9" spans="2:5" hidden="1" x14ac:dyDescent="0.25">
      <c r="B9" s="260" t="s">
        <v>401</v>
      </c>
      <c r="C9" s="261">
        <f>SYNTHESE!C8</f>
        <v>0</v>
      </c>
      <c r="D9" s="261">
        <f>SYNTHESE!D8</f>
        <v>0</v>
      </c>
      <c r="E9" s="261">
        <f>SYNTHESE!G8</f>
        <v>0</v>
      </c>
    </row>
    <row r="10" spans="2:5" hidden="1" x14ac:dyDescent="0.25">
      <c r="B10" s="260" t="s">
        <v>402</v>
      </c>
      <c r="C10" s="261">
        <f>SYNTHESE!C9</f>
        <v>0</v>
      </c>
      <c r="D10" s="261">
        <f>SYNTHESE!D9</f>
        <v>0</v>
      </c>
      <c r="E10" s="261">
        <f>SYNTHESE!G9</f>
        <v>0</v>
      </c>
    </row>
    <row r="11" spans="2:5" hidden="1" x14ac:dyDescent="0.25">
      <c r="B11" s="260" t="s">
        <v>403</v>
      </c>
      <c r="C11" s="261">
        <f>SYNTHESE!C10</f>
        <v>0</v>
      </c>
      <c r="D11" s="261">
        <f>SYNTHESE!D10</f>
        <v>0</v>
      </c>
      <c r="E11" s="261">
        <f>SYNTHESE!G10</f>
        <v>0</v>
      </c>
    </row>
    <row r="12" spans="2:5" hidden="1" x14ac:dyDescent="0.25">
      <c r="B12" s="260" t="s">
        <v>404</v>
      </c>
      <c r="C12" s="261">
        <f>SYNTHESE!C11</f>
        <v>0</v>
      </c>
      <c r="D12" s="261">
        <f>SYNTHESE!D11</f>
        <v>0</v>
      </c>
      <c r="E12" s="261">
        <f>SYNTHESE!G11</f>
        <v>0</v>
      </c>
    </row>
    <row r="13" spans="2:5" hidden="1" x14ac:dyDescent="0.25">
      <c r="B13" s="260" t="s">
        <v>405</v>
      </c>
      <c r="C13" s="261">
        <f>SYNTHESE!C12</f>
        <v>0</v>
      </c>
      <c r="D13" s="261">
        <f>SYNTHESE!D12</f>
        <v>0</v>
      </c>
      <c r="E13" s="261">
        <f>SYNTHESE!G12</f>
        <v>0</v>
      </c>
    </row>
    <row r="14" spans="2:5" hidden="1" x14ac:dyDescent="0.25">
      <c r="B14" s="260" t="s">
        <v>406</v>
      </c>
      <c r="C14" s="261">
        <f>SYNTHESE!C13</f>
        <v>0</v>
      </c>
      <c r="D14" s="261">
        <f>SYNTHESE!D13</f>
        <v>0</v>
      </c>
      <c r="E14" s="261">
        <f>SYNTHESE!G13</f>
        <v>0</v>
      </c>
    </row>
    <row r="15" spans="2:5" hidden="1" x14ac:dyDescent="0.25">
      <c r="B15" s="260" t="s">
        <v>407</v>
      </c>
      <c r="C15" s="261">
        <f>SYNTHESE!C14</f>
        <v>0</v>
      </c>
      <c r="D15" s="261">
        <f>SYNTHESE!D14</f>
        <v>0</v>
      </c>
      <c r="E15" s="261">
        <f>SYNTHESE!G14</f>
        <v>0</v>
      </c>
    </row>
    <row r="16" spans="2:5" hidden="1" x14ac:dyDescent="0.25">
      <c r="B16" s="260" t="s">
        <v>430</v>
      </c>
      <c r="C16" s="261">
        <f>SYNTHESE!C15</f>
        <v>0</v>
      </c>
      <c r="D16" s="261">
        <f>SYNTHESE!D15</f>
        <v>0</v>
      </c>
      <c r="E16" s="261">
        <f>SYNTHESE!G15</f>
        <v>0</v>
      </c>
    </row>
    <row r="17" spans="2:5" hidden="1" x14ac:dyDescent="0.25">
      <c r="B17" s="260" t="s">
        <v>431</v>
      </c>
      <c r="C17" s="261">
        <f>SYNTHESE!C16</f>
        <v>0</v>
      </c>
      <c r="D17" s="261">
        <f>SYNTHESE!D16</f>
        <v>0</v>
      </c>
      <c r="E17" s="261">
        <f>SYNTHESE!G16</f>
        <v>0</v>
      </c>
    </row>
    <row r="18" spans="2:5" hidden="1" x14ac:dyDescent="0.25">
      <c r="B18" s="260" t="s">
        <v>414</v>
      </c>
      <c r="C18" s="261">
        <f>SYNTHESE!C17</f>
        <v>0</v>
      </c>
      <c r="D18" s="261">
        <f>SYNTHESE!D17</f>
        <v>0</v>
      </c>
      <c r="E18" s="261">
        <f>SYNTHESE!G17</f>
        <v>0</v>
      </c>
    </row>
    <row r="19" spans="2:5" hidden="1" x14ac:dyDescent="0.25">
      <c r="B19" s="260" t="s">
        <v>416</v>
      </c>
      <c r="C19" s="261">
        <f>SYNTHESE!C18</f>
        <v>0</v>
      </c>
      <c r="D19" s="261">
        <f>SYNTHESE!D18</f>
        <v>0</v>
      </c>
      <c r="E19" s="261">
        <f>SYNTHESE!G18</f>
        <v>0</v>
      </c>
    </row>
    <row r="20" spans="2:5" x14ac:dyDescent="0.25">
      <c r="B20" s="264" t="s">
        <v>432</v>
      </c>
      <c r="C20" s="265">
        <f>+SUM(C6:C19)</f>
        <v>0</v>
      </c>
      <c r="D20" s="265">
        <f t="shared" ref="D20:E20" si="0">+SUM(D6:D19)</f>
        <v>158934.52542672562</v>
      </c>
      <c r="E20" s="265">
        <f t="shared" si="0"/>
        <v>0</v>
      </c>
    </row>
    <row r="21" spans="2:5" x14ac:dyDescent="0.25">
      <c r="B21" s="258"/>
      <c r="C21" s="258"/>
      <c r="D21" s="258"/>
      <c r="E21" s="258"/>
    </row>
    <row r="22" spans="2:5" hidden="1" x14ac:dyDescent="0.25">
      <c r="B22" s="260" t="s">
        <v>419</v>
      </c>
      <c r="C22" s="261">
        <f>SYNTHESE!C21</f>
        <v>0</v>
      </c>
      <c r="D22" s="261">
        <f>SYNTHESE!D21</f>
        <v>0</v>
      </c>
      <c r="E22" s="261">
        <f>SYNTHESE!G21</f>
        <v>0</v>
      </c>
    </row>
    <row r="23" spans="2:5" hidden="1" x14ac:dyDescent="0.25">
      <c r="B23" s="260" t="s">
        <v>420</v>
      </c>
      <c r="C23" s="261">
        <f>SYNTHESE!C22</f>
        <v>0</v>
      </c>
      <c r="D23" s="261">
        <f>SYNTHESE!D22</f>
        <v>0</v>
      </c>
      <c r="E23" s="261">
        <f>SYNTHESE!G22</f>
        <v>0</v>
      </c>
    </row>
    <row r="24" spans="2:5" hidden="1" x14ac:dyDescent="0.25">
      <c r="B24" s="260" t="s">
        <v>421</v>
      </c>
      <c r="C24" s="261">
        <f>SYNTHESE!C23</f>
        <v>0</v>
      </c>
      <c r="D24" s="261">
        <f>SYNTHESE!D23</f>
        <v>0</v>
      </c>
      <c r="E24" s="261">
        <f>SYNTHESE!G23</f>
        <v>0</v>
      </c>
    </row>
    <row r="25" spans="2:5" x14ac:dyDescent="0.25">
      <c r="B25" s="260" t="s">
        <v>422</v>
      </c>
      <c r="C25" s="261">
        <f>SYNTHESE!C24</f>
        <v>0</v>
      </c>
      <c r="D25" s="261">
        <f>SYNTHESE!D24</f>
        <v>-7583</v>
      </c>
      <c r="E25" s="261">
        <f>SYNTHESE!G24</f>
        <v>0</v>
      </c>
    </row>
    <row r="26" spans="2:5" x14ac:dyDescent="0.25">
      <c r="B26" s="264" t="s">
        <v>433</v>
      </c>
      <c r="C26" s="265">
        <f>+SUM(C20:C25)</f>
        <v>0</v>
      </c>
      <c r="D26" s="265">
        <f t="shared" ref="D26:E26" si="1">+SUM(D20:D25)</f>
        <v>151351.52542672562</v>
      </c>
      <c r="E26" s="265">
        <f t="shared" si="1"/>
        <v>0</v>
      </c>
    </row>
    <row r="27" spans="2:5" x14ac:dyDescent="0.25">
      <c r="B27" s="258"/>
      <c r="C27" s="258"/>
      <c r="D27" s="258"/>
      <c r="E27" s="258"/>
    </row>
    <row r="28" spans="2:5" x14ac:dyDescent="0.25">
      <c r="B28" s="262" t="s">
        <v>424</v>
      </c>
      <c r="C28" s="263">
        <f>SYNTHESE!C27</f>
        <v>0.3</v>
      </c>
      <c r="D28" s="263">
        <f>SYNTHESE!D27</f>
        <v>0.2</v>
      </c>
      <c r="E28" s="263">
        <f>SYNTHESE!G27</f>
        <v>0.3</v>
      </c>
    </row>
    <row r="29" spans="2:5" x14ac:dyDescent="0.25">
      <c r="B29" s="264" t="s">
        <v>434</v>
      </c>
      <c r="C29" s="266">
        <f>+C26*C28</f>
        <v>0</v>
      </c>
      <c r="D29" s="266">
        <f t="shared" ref="D29" si="2">+D26*D28</f>
        <v>30270.305085345128</v>
      </c>
      <c r="E29" s="266">
        <f>+E26*E28</f>
        <v>0</v>
      </c>
    </row>
  </sheetData>
  <mergeCells count="1">
    <mergeCell ref="B2:E2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4B7A-63BB-4970-AF1C-903DB204F1DA}">
  <sheetPr codeName="Feuil4">
    <tabColor theme="6" tint="0.79998168889431442"/>
  </sheetPr>
  <dimension ref="A1:Q90"/>
  <sheetViews>
    <sheetView showGridLines="0" topLeftCell="B30" workbookViewId="0">
      <selection activeCell="J44" sqref="J44"/>
    </sheetView>
  </sheetViews>
  <sheetFormatPr baseColWidth="10" defaultColWidth="10.85546875" defaultRowHeight="15" outlineLevelRow="1" outlineLevelCol="1" x14ac:dyDescent="0.3"/>
  <cols>
    <col min="1" max="1" width="83" style="4" bestFit="1" customWidth="1" outlineLevel="1"/>
    <col min="2" max="2" width="13.42578125" style="4" bestFit="1" customWidth="1" outlineLevel="1"/>
    <col min="3" max="3" width="23.42578125" style="4" customWidth="1" outlineLevel="1"/>
    <col min="4" max="4" width="14.7109375" style="4" customWidth="1" outlineLevel="1"/>
    <col min="5" max="5" width="4.42578125" style="4" customWidth="1"/>
    <col min="6" max="6" width="12" style="4" customWidth="1"/>
    <col min="7" max="7" width="83" style="4" customWidth="1" outlineLevel="1"/>
    <col min="8" max="8" width="13.42578125" style="4" customWidth="1" outlineLevel="1"/>
    <col min="9" max="9" width="23.42578125" style="4" customWidth="1" outlineLevel="1"/>
    <col min="10" max="10" width="10.85546875" style="4" customWidth="1" outlineLevel="1"/>
    <col min="11" max="11" width="4.42578125" style="4" customWidth="1"/>
    <col min="12" max="12" width="4" style="4" customWidth="1"/>
    <col min="13" max="13" width="83" style="4" hidden="1" customWidth="1" outlineLevel="1"/>
    <col min="14" max="14" width="13.42578125" style="4" hidden="1" customWidth="1" outlineLevel="1"/>
    <col min="15" max="15" width="23.42578125" style="4" hidden="1" customWidth="1" outlineLevel="1"/>
    <col min="16" max="16" width="10.85546875" style="4" hidden="1" customWidth="1" outlineLevel="1"/>
    <col min="17" max="17" width="3.42578125" style="4" customWidth="1" collapsed="1"/>
    <col min="18" max="18" width="4.140625" style="4" customWidth="1"/>
    <col min="19" max="16384" width="10.85546875" style="4"/>
  </cols>
  <sheetData>
    <row r="1" spans="1:14" ht="15.75" hidden="1" thickBot="1" x14ac:dyDescent="0.35">
      <c r="B1" s="4" t="s">
        <v>13</v>
      </c>
      <c r="I1" s="4" t="s">
        <v>27</v>
      </c>
      <c r="N1" s="4" t="s">
        <v>38</v>
      </c>
    </row>
    <row r="2" spans="1:14" ht="22.5" hidden="1" x14ac:dyDescent="0.3">
      <c r="A2" s="21" t="s">
        <v>13</v>
      </c>
    </row>
    <row r="3" spans="1:14" ht="8.4499999999999993" hidden="1" customHeight="1" thickBot="1" x14ac:dyDescent="0.35"/>
    <row r="4" spans="1:14" ht="49.5" hidden="1" customHeight="1" x14ac:dyDescent="0.3">
      <c r="A4" s="5" t="s">
        <v>435</v>
      </c>
      <c r="B4" s="5" t="s">
        <v>436</v>
      </c>
      <c r="C4" s="5" t="s">
        <v>437</v>
      </c>
      <c r="D4" s="5" t="s">
        <v>438</v>
      </c>
    </row>
    <row r="5" spans="1:14" hidden="1" x14ac:dyDescent="0.3">
      <c r="A5" s="16" t="s">
        <v>359</v>
      </c>
      <c r="B5" s="186">
        <f>VALO_AMO!O26</f>
        <v>0</v>
      </c>
      <c r="C5" s="186"/>
      <c r="D5" s="187">
        <f t="shared" ref="D5:D18" si="0">SUM(B5:C5)</f>
        <v>0</v>
      </c>
    </row>
    <row r="6" spans="1:14" hidden="1" x14ac:dyDescent="0.3">
      <c r="A6" s="17" t="s">
        <v>360</v>
      </c>
      <c r="B6" s="188">
        <f>VALO_PERSO!AN16</f>
        <v>0</v>
      </c>
      <c r="C6" s="188"/>
      <c r="D6" s="187">
        <f t="shared" si="0"/>
        <v>0</v>
      </c>
    </row>
    <row r="7" spans="1:14" hidden="1" x14ac:dyDescent="0.3">
      <c r="A7" s="17" t="s">
        <v>400</v>
      </c>
      <c r="B7" s="188">
        <f>VALO_PERSO!AN14</f>
        <v>0</v>
      </c>
      <c r="C7" s="188"/>
      <c r="D7" s="187">
        <f t="shared" si="0"/>
        <v>0</v>
      </c>
    </row>
    <row r="8" spans="1:14" hidden="1" x14ac:dyDescent="0.3">
      <c r="A8" s="17" t="s">
        <v>401</v>
      </c>
      <c r="B8" s="188">
        <f>B5*0.75+B6*0.43+B7</f>
        <v>0</v>
      </c>
      <c r="C8" s="188"/>
      <c r="D8" s="187">
        <f t="shared" si="0"/>
        <v>0</v>
      </c>
    </row>
    <row r="9" spans="1:14" hidden="1" outlineLevel="1" x14ac:dyDescent="0.3">
      <c r="A9" s="17" t="s">
        <v>402</v>
      </c>
      <c r="B9" s="188"/>
      <c r="C9" s="188">
        <f>VALO_BREVET!P28</f>
        <v>0</v>
      </c>
      <c r="D9" s="187">
        <f t="shared" si="0"/>
        <v>0</v>
      </c>
    </row>
    <row r="10" spans="1:14" hidden="1" outlineLevel="1" x14ac:dyDescent="0.3">
      <c r="A10" s="17" t="s">
        <v>403</v>
      </c>
      <c r="B10" s="188"/>
      <c r="C10" s="188">
        <f>VALO_BREVET!P29</f>
        <v>0</v>
      </c>
      <c r="D10" s="187">
        <f t="shared" si="0"/>
        <v>0</v>
      </c>
    </row>
    <row r="11" spans="1:14" hidden="1" outlineLevel="1" x14ac:dyDescent="0.3">
      <c r="A11" s="17" t="s">
        <v>404</v>
      </c>
      <c r="B11" s="188"/>
      <c r="C11" s="188"/>
      <c r="D11" s="187">
        <f t="shared" si="0"/>
        <v>0</v>
      </c>
    </row>
    <row r="12" spans="1:14" hidden="1" outlineLevel="1" x14ac:dyDescent="0.3">
      <c r="A12" s="17" t="s">
        <v>405</v>
      </c>
      <c r="B12" s="188"/>
      <c r="C12" s="188">
        <f>'VALO-autres dépenses CIR'!J38</f>
        <v>0</v>
      </c>
      <c r="D12" s="187">
        <f t="shared" si="0"/>
        <v>0</v>
      </c>
    </row>
    <row r="13" spans="1:14" hidden="1" outlineLevel="1" x14ac:dyDescent="0.3">
      <c r="A13" s="17" t="s">
        <v>406</v>
      </c>
      <c r="B13" s="188"/>
      <c r="C13" s="188">
        <f>VALO_BREVET!P30</f>
        <v>0</v>
      </c>
      <c r="D13" s="187">
        <f t="shared" si="0"/>
        <v>0</v>
      </c>
    </row>
    <row r="14" spans="1:14" hidden="1" collapsed="1" x14ac:dyDescent="0.3">
      <c r="A14" s="17" t="s">
        <v>407</v>
      </c>
      <c r="B14" s="188"/>
      <c r="C14" s="188">
        <f>'VALO-autres dépenses CIR'!J41</f>
        <v>0</v>
      </c>
      <c r="D14" s="187">
        <f t="shared" si="0"/>
        <v>0</v>
      </c>
    </row>
    <row r="15" spans="1:14" hidden="1" outlineLevel="1" x14ac:dyDescent="0.3">
      <c r="A15" s="17" t="s">
        <v>408</v>
      </c>
      <c r="B15" s="188">
        <f>SUMIFS(VALO_ST!$V:$V,VALO_ST!$AD:$AD,"16a",VALO_ST!$K:$K,'REP cout'!B4)</f>
        <v>0</v>
      </c>
      <c r="C15" s="188">
        <f>SUMIF('REP cout'!J5,"",VALO_ST!V27)</f>
        <v>0</v>
      </c>
      <c r="D15" s="187">
        <f t="shared" si="0"/>
        <v>0</v>
      </c>
    </row>
    <row r="16" spans="1:14" hidden="1" outlineLevel="1" x14ac:dyDescent="0.3">
      <c r="A16" s="17" t="s">
        <v>412</v>
      </c>
      <c r="B16" s="188">
        <f>SUMIFS(VALO_ST!$V:$V,VALO_ST!$AD:$AD,"16b",VALO_ST!$K:$K,'REP cout'!B4)</f>
        <v>0</v>
      </c>
      <c r="C16" s="188"/>
      <c r="D16" s="187">
        <f t="shared" si="0"/>
        <v>0</v>
      </c>
    </row>
    <row r="17" spans="1:16" hidden="1" outlineLevel="1" x14ac:dyDescent="0.3">
      <c r="A17" s="17" t="s">
        <v>414</v>
      </c>
      <c r="B17" s="188">
        <f>SUMIFS(VALO_ST!$V:$V,VALO_ST!$AD:$AD,"15a",VALO_ST!$K:$K,'REP cout'!B4)</f>
        <v>0</v>
      </c>
      <c r="C17" s="188"/>
      <c r="D17" s="187">
        <f t="shared" si="0"/>
        <v>0</v>
      </c>
    </row>
    <row r="18" spans="1:16" hidden="1" outlineLevel="1" x14ac:dyDescent="0.3">
      <c r="A18" s="18" t="s">
        <v>416</v>
      </c>
      <c r="B18" s="188">
        <f>SUMIFS(VALO_ST!$V:$V,VALO_ST!$AD:$AD,"15b",VALO_ST!$K:$K,'REP cout'!B4)</f>
        <v>0</v>
      </c>
      <c r="C18" s="189"/>
      <c r="D18" s="187">
        <f t="shared" si="0"/>
        <v>0</v>
      </c>
    </row>
    <row r="19" spans="1:16" ht="18.75" hidden="1" collapsed="1" thickBot="1" x14ac:dyDescent="0.4">
      <c r="A19" s="154" t="s">
        <v>439</v>
      </c>
      <c r="B19" s="13">
        <f>SUM(B5:B18)</f>
        <v>0</v>
      </c>
      <c r="C19" s="13">
        <f>SUM(C5:C18)</f>
        <v>0</v>
      </c>
      <c r="D19" s="13">
        <f>SUM(D5:D18)</f>
        <v>0</v>
      </c>
    </row>
    <row r="20" spans="1:16" ht="15.6" hidden="1" customHeight="1" thickBot="1" x14ac:dyDescent="0.35"/>
    <row r="21" spans="1:16" hidden="1" outlineLevel="1" x14ac:dyDescent="0.3">
      <c r="A21" s="150" t="s">
        <v>419</v>
      </c>
      <c r="B21" s="190"/>
      <c r="C21" s="190"/>
      <c r="D21" s="151">
        <f>SUM(B21:C21)</f>
        <v>0</v>
      </c>
    </row>
    <row r="22" spans="1:16" hidden="1" outlineLevel="1" x14ac:dyDescent="0.3">
      <c r="A22" s="17" t="s">
        <v>420</v>
      </c>
      <c r="B22" s="188"/>
      <c r="C22" s="188"/>
      <c r="D22" s="191">
        <f>SUM(B22:C22)</f>
        <v>0</v>
      </c>
    </row>
    <row r="23" spans="1:16" hidden="1" outlineLevel="1" x14ac:dyDescent="0.3">
      <c r="A23" s="17" t="s">
        <v>421</v>
      </c>
      <c r="B23" s="188"/>
      <c r="C23" s="188"/>
      <c r="D23" s="191">
        <f>SUM(B23:C23)</f>
        <v>0</v>
      </c>
    </row>
    <row r="24" spans="1:16" hidden="1" outlineLevel="1" x14ac:dyDescent="0.3">
      <c r="A24" s="18" t="s">
        <v>422</v>
      </c>
      <c r="B24" s="189"/>
      <c r="C24" s="189">
        <f>SYNTHESE!C24</f>
        <v>0</v>
      </c>
      <c r="D24" s="191">
        <f>SUM(B24:C24)</f>
        <v>0</v>
      </c>
    </row>
    <row r="25" spans="1:16" ht="18.75" hidden="1" collapsed="1" thickBot="1" x14ac:dyDescent="0.4">
      <c r="A25" s="154" t="s">
        <v>440</v>
      </c>
      <c r="B25" s="13">
        <f t="shared" ref="B25:D25" si="1">B19+SUM(B21:B24)</f>
        <v>0</v>
      </c>
      <c r="C25" s="13">
        <f t="shared" si="1"/>
        <v>0</v>
      </c>
      <c r="D25" s="13">
        <f t="shared" si="1"/>
        <v>0</v>
      </c>
    </row>
    <row r="26" spans="1:16" ht="6" hidden="1" customHeight="1" thickBot="1" x14ac:dyDescent="0.35"/>
    <row r="27" spans="1:16" hidden="1" x14ac:dyDescent="0.3">
      <c r="A27" s="19" t="s">
        <v>424</v>
      </c>
      <c r="B27" s="152">
        <f>SYNTHESE!$C$27</f>
        <v>0.3</v>
      </c>
      <c r="C27" s="152">
        <f>SYNTHESE!$C$27</f>
        <v>0.3</v>
      </c>
      <c r="D27" s="152">
        <f>SYNTHESE!$C$27</f>
        <v>0.3</v>
      </c>
    </row>
    <row r="28" spans="1:16" ht="18.75" hidden="1" thickBot="1" x14ac:dyDescent="0.4">
      <c r="A28" s="154" t="s">
        <v>441</v>
      </c>
      <c r="B28" s="13">
        <f t="shared" ref="B28:D28" si="2">B25*B27</f>
        <v>0</v>
      </c>
      <c r="C28" s="13">
        <f t="shared" si="2"/>
        <v>0</v>
      </c>
      <c r="D28" s="13">
        <f t="shared" si="2"/>
        <v>0</v>
      </c>
    </row>
    <row r="29" spans="1:16" ht="15.75" hidden="1" thickBot="1" x14ac:dyDescent="0.35"/>
    <row r="30" spans="1:16" ht="22.5" x14ac:dyDescent="0.3">
      <c r="G30" s="22" t="s">
        <v>27</v>
      </c>
      <c r="M30" s="22" t="s">
        <v>38</v>
      </c>
    </row>
    <row r="31" spans="1:16" ht="13.9" customHeight="1" thickBot="1" x14ac:dyDescent="0.35">
      <c r="A31" s="23"/>
    </row>
    <row r="32" spans="1:16" ht="30" x14ac:dyDescent="0.3">
      <c r="G32" s="10" t="s">
        <v>442</v>
      </c>
      <c r="H32" s="5" t="s">
        <v>828</v>
      </c>
      <c r="I32" s="5" t="s">
        <v>437</v>
      </c>
      <c r="J32" s="5" t="s">
        <v>438</v>
      </c>
      <c r="M32" s="10" t="s">
        <v>444</v>
      </c>
      <c r="N32" s="5" t="s">
        <v>443</v>
      </c>
      <c r="O32" s="5" t="s">
        <v>437</v>
      </c>
      <c r="P32" s="5" t="s">
        <v>438</v>
      </c>
    </row>
    <row r="33" spans="1:16" x14ac:dyDescent="0.3">
      <c r="A33" s="24"/>
      <c r="B33" s="25"/>
      <c r="C33" s="25"/>
      <c r="D33" s="25"/>
      <c r="G33" s="6" t="s">
        <v>359</v>
      </c>
      <c r="H33" s="63">
        <f>VALO_AMO!V22</f>
        <v>1803.8582636643459</v>
      </c>
      <c r="I33" s="63"/>
      <c r="J33" s="192">
        <f t="shared" ref="J33:J37" si="3">SUM(H33:I33)</f>
        <v>1803.8582636643459</v>
      </c>
      <c r="M33" s="6" t="s">
        <v>359</v>
      </c>
      <c r="N33" s="63">
        <f>VALO_AMO!AA22</f>
        <v>0</v>
      </c>
      <c r="O33" s="63"/>
      <c r="P33" s="192">
        <f t="shared" ref="P33:P38" si="4">SUM(N33:O33)</f>
        <v>0</v>
      </c>
    </row>
    <row r="34" spans="1:16" x14ac:dyDescent="0.3">
      <c r="G34" s="6" t="s">
        <v>360</v>
      </c>
      <c r="H34" s="11">
        <f>VALO_PERSO!AR12</f>
        <v>157130.66716306127</v>
      </c>
      <c r="I34" s="11"/>
      <c r="J34" s="192">
        <f t="shared" si="3"/>
        <v>157130.66716306127</v>
      </c>
      <c r="M34" s="6" t="s">
        <v>360</v>
      </c>
      <c r="N34" s="11">
        <f>VALO_PERSO!AV12</f>
        <v>0</v>
      </c>
      <c r="O34" s="11"/>
      <c r="P34" s="192">
        <f t="shared" si="4"/>
        <v>0</v>
      </c>
    </row>
    <row r="35" spans="1:16" x14ac:dyDescent="0.3">
      <c r="G35" s="6" t="s">
        <v>402</v>
      </c>
      <c r="H35" s="11"/>
      <c r="I35" s="11">
        <f>VALO_BREVET!R28</f>
        <v>0</v>
      </c>
      <c r="J35" s="192">
        <f t="shared" si="3"/>
        <v>0</v>
      </c>
      <c r="M35" s="6" t="s">
        <v>401</v>
      </c>
      <c r="N35" s="11"/>
      <c r="O35" s="11"/>
      <c r="P35" s="192">
        <f t="shared" si="4"/>
        <v>0</v>
      </c>
    </row>
    <row r="36" spans="1:16" x14ac:dyDescent="0.3">
      <c r="G36" s="6" t="s">
        <v>403</v>
      </c>
      <c r="H36" s="11"/>
      <c r="I36" s="11">
        <f>VALO_BREVET!R29</f>
        <v>0</v>
      </c>
      <c r="J36" s="192">
        <f t="shared" si="3"/>
        <v>0</v>
      </c>
      <c r="M36" s="6" t="s">
        <v>402</v>
      </c>
      <c r="N36" s="11"/>
      <c r="O36" s="11">
        <f>VALO_BREVET!T28</f>
        <v>0</v>
      </c>
      <c r="P36" s="192">
        <f t="shared" si="4"/>
        <v>0</v>
      </c>
    </row>
    <row r="37" spans="1:16" x14ac:dyDescent="0.3">
      <c r="G37" s="6" t="s">
        <v>408</v>
      </c>
      <c r="H37" s="11">
        <f>SUMIFS(VALO_ST!$X:$X,VALO_ST!$AD:$AD,"69",VALO_ST!$K:$K,'REP cout'!H32)</f>
        <v>0</v>
      </c>
      <c r="I37" s="11"/>
      <c r="J37" s="192">
        <f t="shared" si="3"/>
        <v>0</v>
      </c>
      <c r="M37" s="6" t="s">
        <v>403</v>
      </c>
      <c r="N37" s="11"/>
      <c r="O37" s="11">
        <f>VALO_BREVET!T29</f>
        <v>0</v>
      </c>
      <c r="P37" s="192">
        <f t="shared" si="4"/>
        <v>0</v>
      </c>
    </row>
    <row r="38" spans="1:16" ht="15.75" thickBot="1" x14ac:dyDescent="0.35">
      <c r="G38" s="7" t="s">
        <v>439</v>
      </c>
      <c r="H38" s="13">
        <f>SUM(H33:H37)</f>
        <v>158934.52542672562</v>
      </c>
      <c r="I38" s="13">
        <f>SUM(I33:I37)</f>
        <v>0</v>
      </c>
      <c r="J38" s="13">
        <f>SUM(J33:J37)</f>
        <v>158934.52542672562</v>
      </c>
      <c r="M38" s="6" t="s">
        <v>408</v>
      </c>
      <c r="N38" s="11">
        <f>SUMIFS(VALO_ST!$Z:$Z,VALO_ST!$Q:$Q,"CIC",VALO_ST!$K:$K,'REP cout'!N32)</f>
        <v>0</v>
      </c>
      <c r="O38" s="11"/>
      <c r="P38" s="192">
        <f t="shared" si="4"/>
        <v>0</v>
      </c>
    </row>
    <row r="39" spans="1:16" ht="15.75" thickBot="1" x14ac:dyDescent="0.35">
      <c r="H39" s="193"/>
      <c r="I39" s="193"/>
      <c r="J39" s="63"/>
      <c r="M39" s="7" t="s">
        <v>439</v>
      </c>
      <c r="N39" s="13">
        <f>SUM(N33:N38)</f>
        <v>0</v>
      </c>
      <c r="O39" s="13">
        <f>SUM(O33:O38)</f>
        <v>0</v>
      </c>
      <c r="P39" s="13">
        <f>SUM(P33:P38)</f>
        <v>0</v>
      </c>
    </row>
    <row r="40" spans="1:16" ht="15.75" thickBot="1" x14ac:dyDescent="0.35">
      <c r="G40" s="150" t="s">
        <v>419</v>
      </c>
      <c r="H40" s="190"/>
      <c r="I40" s="190"/>
      <c r="J40" s="151">
        <f>SUM(H40:I40)</f>
        <v>0</v>
      </c>
    </row>
    <row r="41" spans="1:16" x14ac:dyDescent="0.3">
      <c r="G41" s="17" t="s">
        <v>420</v>
      </c>
      <c r="H41" s="188"/>
      <c r="I41" s="188"/>
      <c r="J41" s="191">
        <f>SUM(H41:I41)</f>
        <v>0</v>
      </c>
      <c r="M41" s="150" t="s">
        <v>419</v>
      </c>
      <c r="N41" s="190"/>
      <c r="O41" s="190"/>
      <c r="P41" s="151">
        <f>SUM(N41:O41)</f>
        <v>0</v>
      </c>
    </row>
    <row r="42" spans="1:16" x14ac:dyDescent="0.3">
      <c r="G42" s="17" t="s">
        <v>421</v>
      </c>
      <c r="H42" s="188"/>
      <c r="I42" s="188"/>
      <c r="J42" s="191">
        <f>SUM(H42:I42)</f>
        <v>0</v>
      </c>
      <c r="M42" s="17" t="s">
        <v>420</v>
      </c>
      <c r="N42" s="188"/>
      <c r="O42" s="188"/>
      <c r="P42" s="191">
        <f>SUM(N42:O42)</f>
        <v>0</v>
      </c>
    </row>
    <row r="43" spans="1:16" x14ac:dyDescent="0.3">
      <c r="G43" s="18" t="s">
        <v>422</v>
      </c>
      <c r="H43" s="189"/>
      <c r="I43" s="189">
        <f>SYNTHESE!D24</f>
        <v>-7583</v>
      </c>
      <c r="J43" s="191">
        <f>SUM(H43:I43)</f>
        <v>-7583</v>
      </c>
      <c r="M43" s="17" t="s">
        <v>421</v>
      </c>
      <c r="N43" s="188"/>
      <c r="O43" s="188"/>
      <c r="P43" s="191">
        <f>SUM(N43:O43)</f>
        <v>0</v>
      </c>
    </row>
    <row r="44" spans="1:16" ht="18.75" thickBot="1" x14ac:dyDescent="0.4">
      <c r="G44" s="154" t="s">
        <v>440</v>
      </c>
      <c r="H44" s="13">
        <f>H38+SUM(H40:H43)</f>
        <v>158934.52542672562</v>
      </c>
      <c r="I44" s="13">
        <f>I38+SUM(I40:I43)</f>
        <v>-7583</v>
      </c>
      <c r="J44" s="13">
        <f>J38+SUM(J40:J43)</f>
        <v>151351.52542672562</v>
      </c>
      <c r="M44" s="18" t="s">
        <v>422</v>
      </c>
      <c r="N44" s="189"/>
      <c r="O44" s="189">
        <f>SYNTHESE!G24</f>
        <v>0</v>
      </c>
      <c r="P44" s="191">
        <f>SUM(N44:O44)</f>
        <v>0</v>
      </c>
    </row>
    <row r="45" spans="1:16" ht="18.75" thickBot="1" x14ac:dyDescent="0.4">
      <c r="M45" s="154" t="s">
        <v>440</v>
      </c>
      <c r="N45" s="13">
        <f>N39+SUM(N41:N44)</f>
        <v>0</v>
      </c>
      <c r="O45" s="13">
        <f>O39+SUM(O41:O44)</f>
        <v>0</v>
      </c>
      <c r="P45" s="13">
        <f>P39+SUM(P41:P44)</f>
        <v>0</v>
      </c>
    </row>
    <row r="46" spans="1:16" ht="15.75" thickBot="1" x14ac:dyDescent="0.35">
      <c r="G46" s="19" t="s">
        <v>424</v>
      </c>
      <c r="H46" s="152">
        <f>SYNTHESE!$D$27</f>
        <v>0.2</v>
      </c>
      <c r="I46" s="152">
        <f>SYNTHESE!$D$27</f>
        <v>0.2</v>
      </c>
      <c r="J46" s="152">
        <f>SYNTHESE!$D$27</f>
        <v>0.2</v>
      </c>
    </row>
    <row r="47" spans="1:16" ht="18.75" thickBot="1" x14ac:dyDescent="0.4">
      <c r="G47" s="154" t="s">
        <v>445</v>
      </c>
      <c r="H47" s="13">
        <f>H44*H46</f>
        <v>31786.905085345126</v>
      </c>
      <c r="I47" s="13">
        <f>I44*I46</f>
        <v>-1516.6000000000001</v>
      </c>
      <c r="J47" s="13">
        <f>J44*J46</f>
        <v>30270.305085345128</v>
      </c>
      <c r="M47" s="19" t="s">
        <v>424</v>
      </c>
      <c r="N47" s="152">
        <v>0.3</v>
      </c>
      <c r="O47" s="152">
        <v>0.3</v>
      </c>
      <c r="P47" s="153">
        <v>0.3</v>
      </c>
    </row>
    <row r="48" spans="1:16" ht="18.75" thickBot="1" x14ac:dyDescent="0.4">
      <c r="M48" s="154" t="s">
        <v>446</v>
      </c>
      <c r="N48" s="13">
        <f>N45*N47</f>
        <v>0</v>
      </c>
      <c r="O48" s="13">
        <f>O45*O47</f>
        <v>0</v>
      </c>
      <c r="P48" s="13">
        <f>P45*P47</f>
        <v>0</v>
      </c>
    </row>
    <row r="49" spans="1:4" x14ac:dyDescent="0.3">
      <c r="A49" s="24"/>
      <c r="B49" s="26"/>
      <c r="C49" s="26"/>
      <c r="D49" s="26"/>
    </row>
    <row r="55" spans="1:4" x14ac:dyDescent="0.3">
      <c r="A55" s="24"/>
      <c r="B55" s="26"/>
      <c r="C55" s="26"/>
      <c r="D55" s="26"/>
    </row>
    <row r="58" spans="1:4" x14ac:dyDescent="0.3">
      <c r="A58" s="24"/>
      <c r="B58" s="26"/>
      <c r="C58" s="26"/>
      <c r="D58" s="26"/>
    </row>
    <row r="62" spans="1:4" ht="22.5" x14ac:dyDescent="0.3">
      <c r="A62" s="27"/>
    </row>
    <row r="64" spans="1:4" x14ac:dyDescent="0.3">
      <c r="A64" s="24"/>
      <c r="B64" s="25"/>
      <c r="C64" s="25"/>
      <c r="D64" s="25"/>
    </row>
    <row r="81" spans="1:4" x14ac:dyDescent="0.3">
      <c r="A81" s="24"/>
      <c r="B81" s="26"/>
      <c r="C81" s="26"/>
      <c r="D81" s="26"/>
    </row>
    <row r="87" spans="1:4" x14ac:dyDescent="0.3">
      <c r="A87" s="24"/>
      <c r="B87" s="26"/>
      <c r="C87" s="26"/>
      <c r="D87" s="26"/>
    </row>
    <row r="90" spans="1:4" x14ac:dyDescent="0.3">
      <c r="A90" s="24"/>
      <c r="B90" s="26"/>
      <c r="C90" s="26"/>
      <c r="D90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DupliquerProjetColonneEtire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EtirerColonnesVersDroite_PleinBloc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781050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C221-09B7-41A6-A8DF-16B2BABCB615}">
  <sheetPr codeName="Feuil21">
    <tabColor rgb="FF2D44EA"/>
  </sheetPr>
  <dimension ref="B1:O47"/>
  <sheetViews>
    <sheetView showGridLines="0" topLeftCell="C29" workbookViewId="0">
      <selection activeCell="J59" sqref="J59"/>
    </sheetView>
  </sheetViews>
  <sheetFormatPr baseColWidth="10" defaultColWidth="11.42578125" defaultRowHeight="15" x14ac:dyDescent="0.25"/>
  <cols>
    <col min="2" max="2" width="72.140625" bestFit="1" customWidth="1"/>
    <col min="3" max="3" width="17.28515625" customWidth="1"/>
    <col min="4" max="4" width="16.5703125" customWidth="1"/>
    <col min="5" max="5" width="23.7109375" customWidth="1"/>
    <col min="7" max="7" width="70" bestFit="1" customWidth="1"/>
    <col min="9" max="9" width="20.42578125" customWidth="1"/>
    <col min="10" max="10" width="18" customWidth="1"/>
    <col min="12" max="12" width="70" hidden="1" customWidth="1"/>
    <col min="13" max="13" width="14.28515625" hidden="1" customWidth="1"/>
    <col min="14" max="14" width="16.42578125" hidden="1" customWidth="1"/>
    <col min="15" max="15" width="0" hidden="1" customWidth="1"/>
  </cols>
  <sheetData>
    <row r="1" spans="2:13" hidden="1" x14ac:dyDescent="0.25">
      <c r="C1" t="s">
        <v>13</v>
      </c>
      <c r="H1" t="s">
        <v>27</v>
      </c>
      <c r="M1" t="s">
        <v>38</v>
      </c>
    </row>
    <row r="2" spans="2:13" hidden="1" x14ac:dyDescent="0.25">
      <c r="B2" s="287" t="s">
        <v>447</v>
      </c>
      <c r="C2" s="287"/>
      <c r="D2" s="287"/>
      <c r="E2" s="287"/>
    </row>
    <row r="3" spans="2:13" hidden="1" x14ac:dyDescent="0.25">
      <c r="B3" s="267"/>
      <c r="C3" s="268"/>
      <c r="D3" s="268"/>
      <c r="E3" s="268"/>
    </row>
    <row r="4" spans="2:13" ht="25.5" hidden="1" x14ac:dyDescent="0.25">
      <c r="B4" s="275" t="s">
        <v>429</v>
      </c>
      <c r="C4" s="276" t="str">
        <f>'REP cout'!B4</f>
        <v>Opération 1</v>
      </c>
      <c r="D4" s="277" t="s">
        <v>448</v>
      </c>
      <c r="E4" s="276" t="s">
        <v>449</v>
      </c>
    </row>
    <row r="5" spans="2:13" hidden="1" x14ac:dyDescent="0.25">
      <c r="B5" s="269" t="s">
        <v>359</v>
      </c>
      <c r="C5" s="270">
        <f>'REP cout'!B5</f>
        <v>0</v>
      </c>
      <c r="D5" s="270">
        <f>'REP cout'!C5</f>
        <v>0</v>
      </c>
      <c r="E5" s="270">
        <f t="shared" ref="E5:E18" si="0">+SUM(C5:D5)</f>
        <v>0</v>
      </c>
    </row>
    <row r="6" spans="2:13" hidden="1" x14ac:dyDescent="0.25">
      <c r="B6" s="269" t="s">
        <v>360</v>
      </c>
      <c r="C6" s="270">
        <f>'REP cout'!B6</f>
        <v>0</v>
      </c>
      <c r="D6" s="270">
        <f>'REP cout'!C6</f>
        <v>0</v>
      </c>
      <c r="E6" s="270">
        <f t="shared" si="0"/>
        <v>0</v>
      </c>
    </row>
    <row r="7" spans="2:13" hidden="1" x14ac:dyDescent="0.25">
      <c r="B7" s="269" t="s">
        <v>400</v>
      </c>
      <c r="C7" s="270">
        <f>'REP cout'!B7</f>
        <v>0</v>
      </c>
      <c r="D7" s="270">
        <f>'REP cout'!C7</f>
        <v>0</v>
      </c>
      <c r="E7" s="270">
        <f t="shared" si="0"/>
        <v>0</v>
      </c>
    </row>
    <row r="8" spans="2:13" hidden="1" x14ac:dyDescent="0.25">
      <c r="B8" s="269" t="s">
        <v>401</v>
      </c>
      <c r="C8" s="270">
        <f>'REP cout'!B8</f>
        <v>0</v>
      </c>
      <c r="D8" s="270">
        <f>'REP cout'!C8</f>
        <v>0</v>
      </c>
      <c r="E8" s="270">
        <f t="shared" si="0"/>
        <v>0</v>
      </c>
    </row>
    <row r="9" spans="2:13" hidden="1" x14ac:dyDescent="0.25">
      <c r="B9" s="269" t="s">
        <v>402</v>
      </c>
      <c r="C9" s="270">
        <f>'REP cout'!B9</f>
        <v>0</v>
      </c>
      <c r="D9" s="270">
        <f>'REP cout'!C9</f>
        <v>0</v>
      </c>
      <c r="E9" s="270">
        <f t="shared" si="0"/>
        <v>0</v>
      </c>
    </row>
    <row r="10" spans="2:13" hidden="1" x14ac:dyDescent="0.25">
      <c r="B10" s="269" t="s">
        <v>403</v>
      </c>
      <c r="C10" s="270">
        <f>'REP cout'!B10</f>
        <v>0</v>
      </c>
      <c r="D10" s="270">
        <f>'REP cout'!C10</f>
        <v>0</v>
      </c>
      <c r="E10" s="270">
        <f t="shared" si="0"/>
        <v>0</v>
      </c>
    </row>
    <row r="11" spans="2:13" hidden="1" x14ac:dyDescent="0.25">
      <c r="B11" s="269" t="s">
        <v>404</v>
      </c>
      <c r="C11" s="270">
        <f>'REP cout'!B11</f>
        <v>0</v>
      </c>
      <c r="D11" s="270">
        <f>'REP cout'!C11</f>
        <v>0</v>
      </c>
      <c r="E11" s="270">
        <f t="shared" si="0"/>
        <v>0</v>
      </c>
    </row>
    <row r="12" spans="2:13" hidden="1" x14ac:dyDescent="0.25">
      <c r="B12" s="269" t="s">
        <v>405</v>
      </c>
      <c r="C12" s="270">
        <f>'REP cout'!B12</f>
        <v>0</v>
      </c>
      <c r="D12" s="270">
        <f>'REP cout'!C12</f>
        <v>0</v>
      </c>
      <c r="E12" s="270">
        <f t="shared" si="0"/>
        <v>0</v>
      </c>
    </row>
    <row r="13" spans="2:13" hidden="1" x14ac:dyDescent="0.25">
      <c r="B13" s="269" t="s">
        <v>406</v>
      </c>
      <c r="C13" s="270">
        <f>'REP cout'!B13</f>
        <v>0</v>
      </c>
      <c r="D13" s="270">
        <f>'REP cout'!C13</f>
        <v>0</v>
      </c>
      <c r="E13" s="270">
        <f t="shared" si="0"/>
        <v>0</v>
      </c>
    </row>
    <row r="14" spans="2:13" hidden="1" x14ac:dyDescent="0.25">
      <c r="B14" s="269" t="s">
        <v>407</v>
      </c>
      <c r="C14" s="270">
        <f>'REP cout'!B14</f>
        <v>0</v>
      </c>
      <c r="D14" s="270">
        <f>'REP cout'!C14</f>
        <v>0</v>
      </c>
      <c r="E14" s="270">
        <f t="shared" si="0"/>
        <v>0</v>
      </c>
    </row>
    <row r="15" spans="2:13" hidden="1" x14ac:dyDescent="0.25">
      <c r="B15" s="269" t="s">
        <v>430</v>
      </c>
      <c r="C15" s="270">
        <f>'REP cout'!B15</f>
        <v>0</v>
      </c>
      <c r="D15" s="270">
        <f>'REP cout'!C15</f>
        <v>0</v>
      </c>
      <c r="E15" s="270">
        <f t="shared" si="0"/>
        <v>0</v>
      </c>
    </row>
    <row r="16" spans="2:13" hidden="1" x14ac:dyDescent="0.25">
      <c r="B16" s="269" t="s">
        <v>431</v>
      </c>
      <c r="C16" s="270">
        <f>'REP cout'!B16</f>
        <v>0</v>
      </c>
      <c r="D16" s="270">
        <f>'REP cout'!C16</f>
        <v>0</v>
      </c>
      <c r="E16" s="270">
        <f t="shared" si="0"/>
        <v>0</v>
      </c>
    </row>
    <row r="17" spans="2:15" hidden="1" x14ac:dyDescent="0.25">
      <c r="B17" s="271" t="s">
        <v>414</v>
      </c>
      <c r="C17" s="270">
        <f>'REP cout'!B17</f>
        <v>0</v>
      </c>
      <c r="D17" s="270">
        <f>'REP cout'!C17</f>
        <v>0</v>
      </c>
      <c r="E17" s="270">
        <f t="shared" si="0"/>
        <v>0</v>
      </c>
    </row>
    <row r="18" spans="2:15" hidden="1" x14ac:dyDescent="0.25">
      <c r="B18" s="271" t="s">
        <v>416</v>
      </c>
      <c r="C18" s="270">
        <f>'REP cout'!B18</f>
        <v>0</v>
      </c>
      <c r="D18" s="270">
        <f>'REP cout'!C18</f>
        <v>0</v>
      </c>
      <c r="E18" s="270">
        <f t="shared" si="0"/>
        <v>0</v>
      </c>
    </row>
    <row r="19" spans="2:15" hidden="1" x14ac:dyDescent="0.25">
      <c r="B19" s="276" t="s">
        <v>432</v>
      </c>
      <c r="C19" s="278">
        <f t="shared" ref="C19:E19" si="1">+SUM(C5:C18)</f>
        <v>0</v>
      </c>
      <c r="D19" s="278">
        <f t="shared" si="1"/>
        <v>0</v>
      </c>
      <c r="E19" s="279">
        <f t="shared" si="1"/>
        <v>0</v>
      </c>
    </row>
    <row r="20" spans="2:15" hidden="1" x14ac:dyDescent="0.25">
      <c r="B20" s="272"/>
      <c r="C20" s="273"/>
      <c r="D20" s="273"/>
      <c r="E20" s="273"/>
    </row>
    <row r="21" spans="2:15" hidden="1" x14ac:dyDescent="0.25">
      <c r="B21" s="271" t="s">
        <v>419</v>
      </c>
      <c r="C21" s="270"/>
      <c r="D21" s="270"/>
      <c r="E21" s="270">
        <f>+SUM(C21:D21)</f>
        <v>0</v>
      </c>
    </row>
    <row r="22" spans="2:15" hidden="1" x14ac:dyDescent="0.25">
      <c r="B22" s="271" t="s">
        <v>420</v>
      </c>
      <c r="C22" s="270"/>
      <c r="D22" s="270"/>
      <c r="E22" s="270">
        <f>+SUM(C22:D22)</f>
        <v>0</v>
      </c>
    </row>
    <row r="23" spans="2:15" hidden="1" x14ac:dyDescent="0.25">
      <c r="B23" s="271" t="s">
        <v>421</v>
      </c>
      <c r="C23" s="270"/>
      <c r="D23" s="270"/>
      <c r="E23" s="270">
        <f>+SUM(C23:D23)</f>
        <v>0</v>
      </c>
    </row>
    <row r="24" spans="2:15" hidden="1" x14ac:dyDescent="0.25">
      <c r="B24" s="260" t="s">
        <v>422</v>
      </c>
      <c r="C24" s="270"/>
      <c r="D24" s="270">
        <f>'REP cout'!C24</f>
        <v>0</v>
      </c>
      <c r="E24" s="270">
        <f>+SUM(C24:D24)</f>
        <v>0</v>
      </c>
    </row>
    <row r="25" spans="2:15" hidden="1" x14ac:dyDescent="0.25">
      <c r="B25" s="276" t="s">
        <v>433</v>
      </c>
      <c r="C25" s="278">
        <f>SUM(C19:C24)</f>
        <v>0</v>
      </c>
      <c r="D25" s="278">
        <f>D19+SUM(D21:D24)</f>
        <v>0</v>
      </c>
      <c r="E25" s="279">
        <f>SUM(E19:E24)</f>
        <v>0</v>
      </c>
    </row>
    <row r="26" spans="2:15" hidden="1" x14ac:dyDescent="0.25">
      <c r="B26" s="274"/>
      <c r="C26" s="273"/>
      <c r="D26" s="273"/>
      <c r="E26" s="273"/>
    </row>
    <row r="27" spans="2:15" hidden="1" x14ac:dyDescent="0.25">
      <c r="B27" s="276" t="s">
        <v>434</v>
      </c>
      <c r="C27" s="278">
        <v>0</v>
      </c>
      <c r="D27" s="278" t="e">
        <v>#VALUE!</v>
      </c>
      <c r="E27" s="279" t="e">
        <v>#VALUE!</v>
      </c>
    </row>
    <row r="28" spans="2:15" ht="15.75" hidden="1" thickBot="1" x14ac:dyDescent="0.3"/>
    <row r="29" spans="2:15" ht="22.5" x14ac:dyDescent="0.3">
      <c r="G29" s="22" t="s">
        <v>27</v>
      </c>
      <c r="H29" s="4"/>
      <c r="I29" s="4"/>
      <c r="J29" s="4"/>
      <c r="L29" s="22" t="s">
        <v>38</v>
      </c>
      <c r="M29" s="4"/>
      <c r="N29" s="4"/>
      <c r="O29" s="4"/>
    </row>
    <row r="30" spans="2:15" ht="16.5" thickBot="1" x14ac:dyDescent="0.35">
      <c r="G30" s="4"/>
      <c r="H30" s="4"/>
      <c r="I30" s="4"/>
      <c r="J30" s="4"/>
      <c r="L30" s="4"/>
      <c r="M30" s="4"/>
      <c r="N30" s="4"/>
      <c r="O30" s="4"/>
    </row>
    <row r="31" spans="2:15" ht="45" x14ac:dyDescent="0.3">
      <c r="G31" s="10" t="s">
        <v>442</v>
      </c>
      <c r="H31" s="5" t="str">
        <f>'REP cout'!H32</f>
        <v>Projet 1</v>
      </c>
      <c r="I31" s="5" t="s">
        <v>437</v>
      </c>
      <c r="J31" s="5" t="s">
        <v>438</v>
      </c>
      <c r="L31" s="10" t="s">
        <v>444</v>
      </c>
      <c r="M31" s="5" t="s">
        <v>443</v>
      </c>
      <c r="N31" s="5" t="s">
        <v>437</v>
      </c>
      <c r="O31" s="5" t="s">
        <v>438</v>
      </c>
    </row>
    <row r="32" spans="2:15" ht="15.75" x14ac:dyDescent="0.3">
      <c r="G32" s="6" t="s">
        <v>359</v>
      </c>
      <c r="H32" s="63">
        <f>'REP cout'!H33</f>
        <v>1803.8582636643459</v>
      </c>
      <c r="I32" s="63">
        <f>'REP cout'!I33</f>
        <v>0</v>
      </c>
      <c r="J32" s="63">
        <f>'REP cout'!J33</f>
        <v>1803.8582636643459</v>
      </c>
      <c r="L32" s="6" t="s">
        <v>359</v>
      </c>
      <c r="M32" s="63">
        <f>'REP cout'!N33</f>
        <v>0</v>
      </c>
      <c r="N32" s="63">
        <f>'REP cout'!O33</f>
        <v>0</v>
      </c>
      <c r="O32" s="63">
        <f>'REP cout'!P33</f>
        <v>0</v>
      </c>
    </row>
    <row r="33" spans="7:15" ht="15.75" x14ac:dyDescent="0.3">
      <c r="G33" s="6" t="s">
        <v>360</v>
      </c>
      <c r="H33" s="63">
        <f>'REP cout'!H34</f>
        <v>157130.66716306127</v>
      </c>
      <c r="I33" s="63">
        <f>'REP cout'!I34</f>
        <v>0</v>
      </c>
      <c r="J33" s="63">
        <f>'REP cout'!J34</f>
        <v>157130.66716306127</v>
      </c>
      <c r="L33" s="6" t="s">
        <v>360</v>
      </c>
      <c r="M33" s="63">
        <f>'REP cout'!N34</f>
        <v>0</v>
      </c>
      <c r="N33" s="63">
        <f>'REP cout'!O34</f>
        <v>0</v>
      </c>
      <c r="O33" s="63">
        <f>'REP cout'!P34</f>
        <v>0</v>
      </c>
    </row>
    <row r="34" spans="7:15" ht="15.75" hidden="1" x14ac:dyDescent="0.3">
      <c r="G34" s="6" t="s">
        <v>402</v>
      </c>
      <c r="H34" s="63">
        <f>'REP cout'!H35</f>
        <v>0</v>
      </c>
      <c r="I34" s="63">
        <f>'REP cout'!I35</f>
        <v>0</v>
      </c>
      <c r="J34" s="63">
        <f>'REP cout'!J35</f>
        <v>0</v>
      </c>
      <c r="L34" s="6" t="s">
        <v>401</v>
      </c>
      <c r="M34" s="63">
        <f>'REP cout'!N35</f>
        <v>0</v>
      </c>
      <c r="N34" s="63">
        <f>'REP cout'!O35</f>
        <v>0</v>
      </c>
      <c r="O34" s="63">
        <f>'REP cout'!P35</f>
        <v>0</v>
      </c>
    </row>
    <row r="35" spans="7:15" ht="15.75" hidden="1" x14ac:dyDescent="0.3">
      <c r="G35" s="6" t="s">
        <v>403</v>
      </c>
      <c r="H35" s="63">
        <f>'REP cout'!H36</f>
        <v>0</v>
      </c>
      <c r="I35" s="63">
        <f>'REP cout'!I36</f>
        <v>0</v>
      </c>
      <c r="J35" s="63">
        <f>'REP cout'!J36</f>
        <v>0</v>
      </c>
      <c r="L35" s="6" t="s">
        <v>402</v>
      </c>
      <c r="M35" s="63">
        <f>'REP cout'!N36</f>
        <v>0</v>
      </c>
      <c r="N35" s="63">
        <f>'REP cout'!O36</f>
        <v>0</v>
      </c>
      <c r="O35" s="63">
        <f>'REP cout'!P36</f>
        <v>0</v>
      </c>
    </row>
    <row r="36" spans="7:15" ht="15.75" hidden="1" x14ac:dyDescent="0.3">
      <c r="G36" s="6" t="s">
        <v>408</v>
      </c>
      <c r="H36" s="63">
        <f>'REP cout'!H37</f>
        <v>0</v>
      </c>
      <c r="I36" s="63">
        <f>'REP cout'!I37</f>
        <v>0</v>
      </c>
      <c r="J36" s="63">
        <f>'REP cout'!J37</f>
        <v>0</v>
      </c>
      <c r="L36" s="6" t="s">
        <v>403</v>
      </c>
      <c r="M36" s="63">
        <f>'REP cout'!N37</f>
        <v>0</v>
      </c>
      <c r="N36" s="63">
        <f>'REP cout'!O37</f>
        <v>0</v>
      </c>
      <c r="O36" s="63">
        <f>'REP cout'!P37</f>
        <v>0</v>
      </c>
    </row>
    <row r="37" spans="7:15" ht="16.5" thickBot="1" x14ac:dyDescent="0.35">
      <c r="G37" s="7" t="s">
        <v>439</v>
      </c>
      <c r="H37" s="13">
        <f>SUM(H32:H36)</f>
        <v>158934.52542672562</v>
      </c>
      <c r="I37" s="13">
        <f>SUM(I32:I36)</f>
        <v>0</v>
      </c>
      <c r="J37" s="13">
        <f>SUM(J32:J36)</f>
        <v>158934.52542672562</v>
      </c>
      <c r="L37" s="6" t="s">
        <v>408</v>
      </c>
      <c r="M37" s="63">
        <f>'REP cout'!N38</f>
        <v>0</v>
      </c>
      <c r="N37" s="63">
        <f>'REP cout'!O38</f>
        <v>0</v>
      </c>
      <c r="O37" s="63">
        <f>'REP cout'!P38</f>
        <v>0</v>
      </c>
    </row>
    <row r="38" spans="7:15" ht="16.5" thickBot="1" x14ac:dyDescent="0.35">
      <c r="G38" s="4"/>
      <c r="H38" s="193"/>
      <c r="I38" s="193"/>
      <c r="J38" s="63"/>
      <c r="L38" s="7" t="s">
        <v>439</v>
      </c>
      <c r="M38" s="7">
        <f>'REP cout'!N39</f>
        <v>0</v>
      </c>
      <c r="N38" s="7">
        <f>'REP cout'!O39</f>
        <v>0</v>
      </c>
      <c r="O38" s="7">
        <f>'REP cout'!P39</f>
        <v>0</v>
      </c>
    </row>
    <row r="39" spans="7:15" ht="16.5" hidden="1" thickBot="1" x14ac:dyDescent="0.35">
      <c r="G39" s="150" t="s">
        <v>419</v>
      </c>
      <c r="H39" s="63">
        <f>'REP cout'!H40</f>
        <v>0</v>
      </c>
      <c r="I39" s="63">
        <f>'REP cout'!I40</f>
        <v>0</v>
      </c>
      <c r="J39" s="63">
        <f>'REP cout'!J40</f>
        <v>0</v>
      </c>
      <c r="L39" s="4"/>
      <c r="M39" s="4"/>
      <c r="N39" s="4"/>
      <c r="O39" s="4"/>
    </row>
    <row r="40" spans="7:15" ht="16.5" hidden="1" thickBot="1" x14ac:dyDescent="0.35">
      <c r="G40" s="17" t="s">
        <v>420</v>
      </c>
      <c r="H40" s="63">
        <f>'REP cout'!H41</f>
        <v>0</v>
      </c>
      <c r="I40" s="63">
        <f>'REP cout'!I41</f>
        <v>0</v>
      </c>
      <c r="J40" s="63">
        <f>'REP cout'!J41</f>
        <v>0</v>
      </c>
      <c r="L40" s="150" t="s">
        <v>419</v>
      </c>
      <c r="M40" s="190">
        <f>'REP cout'!N41</f>
        <v>0</v>
      </c>
      <c r="N40" s="190">
        <f>'REP cout'!O41</f>
        <v>0</v>
      </c>
      <c r="O40" s="190">
        <f>'REP cout'!P41</f>
        <v>0</v>
      </c>
    </row>
    <row r="41" spans="7:15" ht="16.5" hidden="1" thickBot="1" x14ac:dyDescent="0.35">
      <c r="G41" s="17" t="s">
        <v>421</v>
      </c>
      <c r="H41" s="63">
        <f>'REP cout'!H42</f>
        <v>0</v>
      </c>
      <c r="I41" s="63">
        <f>'REP cout'!I42</f>
        <v>0</v>
      </c>
      <c r="J41" s="63">
        <f>'REP cout'!J42</f>
        <v>0</v>
      </c>
      <c r="L41" s="17" t="s">
        <v>420</v>
      </c>
      <c r="M41" s="190">
        <f>'REP cout'!N42</f>
        <v>0</v>
      </c>
      <c r="N41" s="190">
        <f>'REP cout'!O42</f>
        <v>0</v>
      </c>
      <c r="O41" s="190">
        <f>'REP cout'!P42</f>
        <v>0</v>
      </c>
    </row>
    <row r="42" spans="7:15" ht="16.5" thickBot="1" x14ac:dyDescent="0.35">
      <c r="G42" s="18" t="s">
        <v>422</v>
      </c>
      <c r="H42" s="63">
        <f>'REP cout'!H43</f>
        <v>0</v>
      </c>
      <c r="I42" s="63">
        <f>'REP cout'!I43</f>
        <v>-7583</v>
      </c>
      <c r="J42" s="63">
        <f>'REP cout'!J43</f>
        <v>-7583</v>
      </c>
      <c r="L42" s="17" t="s">
        <v>421</v>
      </c>
      <c r="M42" s="190">
        <f>'REP cout'!N43</f>
        <v>0</v>
      </c>
      <c r="N42" s="190">
        <f>'REP cout'!O43</f>
        <v>0</v>
      </c>
      <c r="O42" s="190">
        <f>'REP cout'!P43</f>
        <v>0</v>
      </c>
    </row>
    <row r="43" spans="7:15" ht="18.75" thickBot="1" x14ac:dyDescent="0.4">
      <c r="G43" s="154" t="s">
        <v>440</v>
      </c>
      <c r="H43" s="13">
        <f>'REP cout'!H44</f>
        <v>158934.52542672562</v>
      </c>
      <c r="I43" s="13">
        <f>'REP cout'!I44</f>
        <v>-7583</v>
      </c>
      <c r="J43" s="13">
        <f>'REP cout'!J44</f>
        <v>151351.52542672562</v>
      </c>
      <c r="L43" s="18" t="s">
        <v>422</v>
      </c>
      <c r="M43" s="190">
        <f>'REP cout'!N44</f>
        <v>0</v>
      </c>
      <c r="N43" s="190">
        <f>'REP cout'!O44</f>
        <v>0</v>
      </c>
      <c r="O43" s="190">
        <f>'REP cout'!P44</f>
        <v>0</v>
      </c>
    </row>
    <row r="44" spans="7:15" ht="18.75" thickBot="1" x14ac:dyDescent="0.4">
      <c r="G44" s="4"/>
      <c r="H44" s="4"/>
      <c r="I44" s="4"/>
      <c r="J44" s="4"/>
      <c r="L44" s="154" t="s">
        <v>440</v>
      </c>
      <c r="M44" s="13">
        <f>'REP cout'!N45</f>
        <v>0</v>
      </c>
      <c r="N44" s="13">
        <f>'REP cout'!O45</f>
        <v>0</v>
      </c>
      <c r="O44" s="13">
        <f>'REP cout'!P45</f>
        <v>0</v>
      </c>
    </row>
    <row r="45" spans="7:15" ht="16.5" thickBot="1" x14ac:dyDescent="0.35">
      <c r="G45" s="19" t="s">
        <v>424</v>
      </c>
      <c r="H45" s="152">
        <v>0.2</v>
      </c>
      <c r="I45" s="152">
        <v>0.2</v>
      </c>
      <c r="J45" s="152">
        <v>0.2</v>
      </c>
      <c r="L45" s="4"/>
      <c r="M45" s="4"/>
      <c r="N45" s="4"/>
      <c r="O45" s="4"/>
    </row>
    <row r="46" spans="7:15" ht="18.75" thickBot="1" x14ac:dyDescent="0.4">
      <c r="G46" s="154" t="s">
        <v>445</v>
      </c>
      <c r="H46" s="13">
        <f>H43*H45</f>
        <v>31786.905085345126</v>
      </c>
      <c r="I46" s="13">
        <f>I43*I45</f>
        <v>-1516.6000000000001</v>
      </c>
      <c r="J46" s="13">
        <f>J43*J45</f>
        <v>30270.305085345128</v>
      </c>
      <c r="L46" s="19" t="s">
        <v>424</v>
      </c>
      <c r="M46" s="152">
        <v>0.3</v>
      </c>
      <c r="N46" s="152">
        <v>0.3</v>
      </c>
      <c r="O46" s="153">
        <v>0.3</v>
      </c>
    </row>
    <row r="47" spans="7:15" ht="18.75" thickBot="1" x14ac:dyDescent="0.4">
      <c r="L47" s="154" t="s">
        <v>446</v>
      </c>
      <c r="M47" s="13">
        <f>'REP cout'!N48</f>
        <v>0</v>
      </c>
      <c r="N47" s="13">
        <f>'REP cout'!O48</f>
        <v>0</v>
      </c>
      <c r="O47" s="13">
        <f>'REP cout'!P48</f>
        <v>0</v>
      </c>
    </row>
  </sheetData>
  <conditionalFormatting sqref="B4">
    <cfRule type="expression" dxfId="81" priority="12">
      <formula>#REF!="CII"</formula>
    </cfRule>
  </conditionalFormatting>
  <conditionalFormatting sqref="B4:B16">
    <cfRule type="containsText" dxfId="80" priority="13" operator="containsText" text="Rien">
      <formula>NOT(ISERROR(SEARCH("Rien",B4)))</formula>
    </cfRule>
  </conditionalFormatting>
  <conditionalFormatting sqref="B17:B18">
    <cfRule type="containsText" dxfId="79" priority="10" operator="containsText" text="Rien">
      <formula>NOT(ISERROR(SEARCH("Rien",B17)))</formula>
    </cfRule>
  </conditionalFormatting>
  <conditionalFormatting sqref="B21:B24">
    <cfRule type="containsText" dxfId="78" priority="7" operator="containsText" text="Rien">
      <formula>NOT(ISERROR(SEARCH("Rien",B21)))</formula>
    </cfRule>
  </conditionalFormatting>
  <conditionalFormatting sqref="E5:E18">
    <cfRule type="containsText" dxfId="77" priority="16" operator="containsText" text="erreur">
      <formula>NOT(ISERROR(SEARCH("erreur",E5)))</formula>
    </cfRule>
  </conditionalFormatting>
  <conditionalFormatting sqref="C19:D19 C25:D25 C27:D27">
    <cfRule type="containsText" dxfId="76" priority="3" operator="containsText" text="erreur">
      <formula>NOT(ISERROR(SEARCH("erreur",C19)))</formula>
    </cfRule>
    <cfRule type="containsText" dxfId="75" priority="4" operator="containsText" text="diff de">
      <formula>NOT(ISERROR(SEARCH("diff de",C19)))</formula>
    </cfRule>
  </conditionalFormatting>
  <conditionalFormatting sqref="E5:E18 E21:E24">
    <cfRule type="containsText" dxfId="74" priority="14" operator="containsText" text="diff de">
      <formula>NOT(ISERROR(SEARCH("diff de",E5)))</formula>
    </cfRule>
  </conditionalFormatting>
  <conditionalFormatting sqref="E19">
    <cfRule type="expression" dxfId="73" priority="1">
      <formula>$F$3="CII"</formula>
    </cfRule>
    <cfRule type="expression" priority="2">
      <formula>$F$3="CII"</formula>
    </cfRule>
  </conditionalFormatting>
  <conditionalFormatting sqref="E21:E24">
    <cfRule type="containsText" dxfId="72" priority="15" operator="containsText" text="erreur">
      <formula>NOT(ISERROR(SEARCH("erreur",E21)))</formula>
    </cfRule>
  </conditionalFormatting>
  <conditionalFormatting sqref="E25">
    <cfRule type="expression" dxfId="71" priority="8">
      <formula>$F$3="CII"</formula>
    </cfRule>
    <cfRule type="expression" priority="9">
      <formula>$F$3="CII"</formula>
    </cfRule>
  </conditionalFormatting>
  <conditionalFormatting sqref="E27">
    <cfRule type="expression" dxfId="70" priority="5">
      <formula>$F$3="CII"</formula>
    </cfRule>
    <cfRule type="expression" priority="6">
      <formula>$F$3="CII"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92AA-858D-414F-9E9B-11C90DB63489}">
  <sheetPr codeName="Feuil22">
    <tabColor rgb="FF2D44EA"/>
  </sheetPr>
  <dimension ref="A1:S15"/>
  <sheetViews>
    <sheetView showGridLines="0" topLeftCell="A2" workbookViewId="0">
      <selection activeCell="M21" sqref="M21"/>
    </sheetView>
  </sheetViews>
  <sheetFormatPr baseColWidth="10" defaultColWidth="11.42578125" defaultRowHeight="15" outlineLevelCol="1" x14ac:dyDescent="0.25"/>
  <cols>
    <col min="1" max="1" width="8.42578125" style="466" bestFit="1" customWidth="1"/>
    <col min="2" max="2" width="2" style="50" bestFit="1" customWidth="1"/>
    <col min="3" max="3" width="22.85546875" style="43" customWidth="1"/>
    <col min="4" max="4" width="15.140625" style="43" customWidth="1"/>
    <col min="5" max="5" width="25.5703125" style="43" customWidth="1"/>
    <col min="6" max="6" width="11.28515625" style="43" bestFit="1" customWidth="1"/>
    <col min="7" max="7" width="12.28515625" style="43" bestFit="1" customWidth="1"/>
    <col min="8" max="8" width="19" style="43" hidden="1" customWidth="1" outlineLevel="1"/>
    <col min="9" max="9" width="10.5703125" style="43" hidden="1" customWidth="1" outlineLevel="1"/>
    <col min="10" max="10" width="0" style="43" hidden="1" customWidth="1" outlineLevel="1"/>
    <col min="11" max="11" width="2.140625" style="43" bestFit="1" customWidth="1" outlineLevel="1"/>
    <col min="12" max="12" width="11.42578125" style="43" outlineLevel="1"/>
    <col min="13" max="13" width="11.5703125" style="43" customWidth="1" outlineLevel="1"/>
    <col min="14" max="14" width="11.42578125" style="43" outlineLevel="1"/>
    <col min="15" max="15" width="4.28515625" style="43" customWidth="1"/>
    <col min="16" max="16" width="0" style="43" hidden="1" customWidth="1" outlineLevel="1"/>
    <col min="17" max="17" width="6.7109375" style="43" hidden="1" customWidth="1" outlineLevel="1"/>
    <col min="18" max="18" width="0" style="43" hidden="1" customWidth="1" outlineLevel="1"/>
    <col min="19" max="19" width="11.42578125" style="43" collapsed="1"/>
    <col min="20" max="16384" width="11.42578125" style="43"/>
  </cols>
  <sheetData>
    <row r="1" spans="2:18" ht="15.75" thickBot="1" x14ac:dyDescent="0.3">
      <c r="I1" s="43" t="s">
        <v>13</v>
      </c>
      <c r="M1" s="43" t="s">
        <v>27</v>
      </c>
      <c r="Q1" s="43" t="s">
        <v>38</v>
      </c>
    </row>
    <row r="2" spans="2:18" ht="24" customHeight="1" thickBot="1" x14ac:dyDescent="0.3">
      <c r="C2"/>
      <c r="D2"/>
      <c r="E2"/>
      <c r="F2"/>
      <c r="G2"/>
      <c r="H2" s="44" t="s">
        <v>472</v>
      </c>
      <c r="I2" s="45"/>
      <c r="J2" s="46"/>
      <c r="K2" s="233">
        <v>1</v>
      </c>
      <c r="L2" s="44" t="s">
        <v>451</v>
      </c>
      <c r="M2" s="45"/>
      <c r="N2" s="46"/>
      <c r="P2" s="44" t="s">
        <v>38</v>
      </c>
      <c r="Q2" s="45"/>
      <c r="R2" s="46"/>
    </row>
    <row r="3" spans="2:18" ht="60.75" thickBot="1" x14ac:dyDescent="0.3">
      <c r="C3" s="281" t="s">
        <v>455</v>
      </c>
      <c r="D3" s="281" t="s">
        <v>383</v>
      </c>
      <c r="E3" s="281" t="s">
        <v>384</v>
      </c>
      <c r="F3" s="281" t="s">
        <v>385</v>
      </c>
      <c r="G3" s="282" t="s">
        <v>386</v>
      </c>
      <c r="H3" s="283" t="s">
        <v>463</v>
      </c>
      <c r="I3" s="284" t="str">
        <f>'REP cout'!B4</f>
        <v>Opération 1</v>
      </c>
      <c r="J3" s="285" t="s">
        <v>460</v>
      </c>
      <c r="K3" s="234">
        <v>1</v>
      </c>
      <c r="L3" s="283" t="s">
        <v>463</v>
      </c>
      <c r="M3" s="286" t="str">
        <f>'REP cout'!H32</f>
        <v>Projet 1</v>
      </c>
      <c r="N3" s="286" t="s">
        <v>462</v>
      </c>
      <c r="P3" s="283" t="s">
        <v>463</v>
      </c>
      <c r="Q3" s="286" t="str">
        <f>'REP cout'!N32</f>
        <v>Nom projet</v>
      </c>
      <c r="R3" s="286" t="s">
        <v>464</v>
      </c>
    </row>
    <row r="4" spans="2:18" ht="14.45" customHeight="1" x14ac:dyDescent="0.3">
      <c r="B4" s="60"/>
      <c r="C4" s="63">
        <f>VALO_AMO!G4</f>
        <v>58</v>
      </c>
      <c r="D4" s="63" t="str">
        <f>VALO_AMO!H4</f>
        <v>Apple MBA 13.6</v>
      </c>
      <c r="E4" s="63">
        <f>VALO_AMO!I4</f>
        <v>45405</v>
      </c>
      <c r="F4" s="63">
        <f>VALO_AMO!J4</f>
        <v>2165</v>
      </c>
      <c r="G4" s="63">
        <f>VALO_AMO!K4</f>
        <v>36</v>
      </c>
      <c r="H4" s="93">
        <f>VALO_AMO!N4</f>
        <v>0</v>
      </c>
      <c r="I4" s="41">
        <f>VALO_AMO!O4</f>
        <v>0</v>
      </c>
      <c r="J4" s="80">
        <f>VALO_AMO!Q4</f>
        <v>0</v>
      </c>
      <c r="K4" s="235"/>
      <c r="L4" s="93">
        <f>VALO_AMO!S4</f>
        <v>0.42189790944488137</v>
      </c>
      <c r="M4" s="41">
        <f>VALO_AMO!T4</f>
        <v>304.47106430908752</v>
      </c>
      <c r="N4" s="80">
        <f>VALO_AMO!V4</f>
        <v>304.47106430908752</v>
      </c>
      <c r="P4" s="93">
        <f>VALO_AMO!X4</f>
        <v>0</v>
      </c>
      <c r="Q4" s="41">
        <f>VALO_AMO!Y4</f>
        <v>0</v>
      </c>
      <c r="R4" s="80">
        <f>VALO_AMO!AA4</f>
        <v>0</v>
      </c>
    </row>
    <row r="5" spans="2:18" ht="15.75" x14ac:dyDescent="0.3">
      <c r="B5" s="60"/>
      <c r="C5" s="63">
        <f>VALO_AMO!G5</f>
        <v>59</v>
      </c>
      <c r="D5" s="63" t="str">
        <f>VALO_AMO!H5</f>
        <v>Apple MBA 13.6</v>
      </c>
      <c r="E5" s="63">
        <f>VALO_AMO!I5</f>
        <v>45292</v>
      </c>
      <c r="F5" s="63">
        <f>VALO_AMO!J5</f>
        <v>2165</v>
      </c>
      <c r="G5" s="63">
        <f>VALO_AMO!K5</f>
        <v>36</v>
      </c>
      <c r="H5" s="93">
        <f>VALO_AMO!N5</f>
        <v>0</v>
      </c>
      <c r="I5" s="41">
        <f>VALO_AMO!O5</f>
        <v>0</v>
      </c>
      <c r="J5" s="80">
        <f>VALO_AMO!Q5</f>
        <v>0</v>
      </c>
      <c r="K5" s="235"/>
      <c r="L5" s="93">
        <f>VALO_AMO!S5</f>
        <v>0.42189790944488137</v>
      </c>
      <c r="M5" s="41">
        <f>VALO_AMO!T5</f>
        <v>304.47106430908752</v>
      </c>
      <c r="N5" s="80">
        <f>VALO_AMO!V5</f>
        <v>304.47106430908752</v>
      </c>
      <c r="P5" s="93">
        <f>VALO_AMO!X5</f>
        <v>0</v>
      </c>
      <c r="Q5" s="41">
        <f>VALO_AMO!Y5</f>
        <v>0</v>
      </c>
      <c r="R5" s="80">
        <f>VALO_AMO!AA5</f>
        <v>0</v>
      </c>
    </row>
    <row r="6" spans="2:18" ht="15.75" x14ac:dyDescent="0.3">
      <c r="B6" s="60"/>
      <c r="C6" s="63">
        <f>VALO_AMO!G6</f>
        <v>66</v>
      </c>
      <c r="D6" s="63" t="str">
        <f>VALO_AMO!H6</f>
        <v>MAC</v>
      </c>
      <c r="E6" s="63">
        <f>VALO_AMO!I6</f>
        <v>45282</v>
      </c>
      <c r="F6" s="63">
        <f>VALO_AMO!J6</f>
        <v>2165</v>
      </c>
      <c r="G6" s="63">
        <f>VALO_AMO!K6</f>
        <v>36</v>
      </c>
      <c r="H6" s="93">
        <f>VALO_AMO!N6</f>
        <v>0</v>
      </c>
      <c r="I6" s="41">
        <f>VALO_AMO!O6</f>
        <v>0</v>
      </c>
      <c r="J6" s="80">
        <f>VALO_AMO!Q6</f>
        <v>0</v>
      </c>
      <c r="K6" s="235"/>
      <c r="L6" s="93">
        <f>VALO_AMO!S6</f>
        <v>0.42189790944488137</v>
      </c>
      <c r="M6" s="41">
        <f>VALO_AMO!T6</f>
        <v>304.47106430908752</v>
      </c>
      <c r="N6" s="80">
        <f>VALO_AMO!V6</f>
        <v>304.47106430908752</v>
      </c>
      <c r="P6" s="93">
        <f>VALO_AMO!X6</f>
        <v>0</v>
      </c>
      <c r="Q6" s="41">
        <f>VALO_AMO!Y6</f>
        <v>0</v>
      </c>
      <c r="R6" s="80">
        <f>VALO_AMO!AA6</f>
        <v>0</v>
      </c>
    </row>
    <row r="7" spans="2:18" ht="14.45" customHeight="1" x14ac:dyDescent="0.3">
      <c r="B7" s="60"/>
      <c r="C7" s="63">
        <f>VALO_AMO!G7</f>
        <v>71</v>
      </c>
      <c r="D7" s="63" t="str">
        <f>VALO_AMO!H7</f>
        <v>PC LENOVO</v>
      </c>
      <c r="E7" s="63">
        <f>VALO_AMO!I7</f>
        <v>45006</v>
      </c>
      <c r="F7" s="63">
        <f>VALO_AMO!J7</f>
        <v>1901.9</v>
      </c>
      <c r="G7" s="63">
        <f>VALO_AMO!K7</f>
        <v>36</v>
      </c>
      <c r="H7" s="93">
        <f>VALO_AMO!N7</f>
        <v>0</v>
      </c>
      <c r="I7" s="41">
        <f>VALO_AMO!O7</f>
        <v>0</v>
      </c>
      <c r="J7" s="80">
        <f>VALO_AMO!Q7</f>
        <v>0</v>
      </c>
      <c r="K7" s="235"/>
      <c r="L7" s="93">
        <f>VALO_AMO!S7</f>
        <v>0.42189790944488137</v>
      </c>
      <c r="M7" s="41">
        <f>VALO_AMO!T7</f>
        <v>267.47061765077143</v>
      </c>
      <c r="N7" s="80">
        <f>VALO_AMO!V7</f>
        <v>267.47061765077143</v>
      </c>
      <c r="P7" s="93">
        <f>VALO_AMO!X7</f>
        <v>0</v>
      </c>
      <c r="Q7" s="41">
        <f>VALO_AMO!Y7</f>
        <v>0</v>
      </c>
      <c r="R7" s="80">
        <f>VALO_AMO!AA7</f>
        <v>0</v>
      </c>
    </row>
    <row r="8" spans="2:18" ht="15.75" x14ac:dyDescent="0.3">
      <c r="B8" s="60"/>
      <c r="C8" s="63">
        <f>VALO_AMO!G8</f>
        <v>60</v>
      </c>
      <c r="D8" s="63" t="str">
        <f>VALO_AMO!H8</f>
        <v>Apple MBA 14</v>
      </c>
      <c r="E8" s="63">
        <f>VALO_AMO!I8</f>
        <v>45560</v>
      </c>
      <c r="F8" s="63">
        <f>VALO_AMO!J8</f>
        <v>1765.83</v>
      </c>
      <c r="G8" s="63">
        <f>VALO_AMO!K8</f>
        <v>36</v>
      </c>
      <c r="H8" s="93">
        <f>VALO_AMO!N8</f>
        <v>0</v>
      </c>
      <c r="I8" s="41">
        <f>VALO_AMO!O8</f>
        <v>0</v>
      </c>
      <c r="J8" s="80">
        <f>VALO_AMO!Q8</f>
        <v>0</v>
      </c>
      <c r="K8" s="235"/>
      <c r="L8" s="93">
        <f>VALO_AMO!S8</f>
        <v>0.42189790944488137</v>
      </c>
      <c r="M8" s="41">
        <f>VALO_AMO!T8</f>
        <v>248.33332847835163</v>
      </c>
      <c r="N8" s="80">
        <f>VALO_AMO!V8</f>
        <v>248.33332847835163</v>
      </c>
      <c r="P8" s="93">
        <f>VALO_AMO!X8</f>
        <v>0</v>
      </c>
      <c r="Q8" s="41">
        <f>VALO_AMO!Y8</f>
        <v>0</v>
      </c>
      <c r="R8" s="80">
        <f>VALO_AMO!AA8</f>
        <v>0</v>
      </c>
    </row>
    <row r="9" spans="2:18" ht="15.75" x14ac:dyDescent="0.3">
      <c r="B9" s="60"/>
      <c r="C9" s="63">
        <f>VALO_AMO!G9</f>
        <v>67</v>
      </c>
      <c r="D9" s="63" t="str">
        <f>VALO_AMO!H9</f>
        <v>Ordinateur</v>
      </c>
      <c r="E9" s="63">
        <f>VALO_AMO!I9</f>
        <v>45006</v>
      </c>
      <c r="F9" s="63">
        <f>VALO_AMO!J9</f>
        <v>1382.5</v>
      </c>
      <c r="G9" s="63">
        <f>VALO_AMO!K9</f>
        <v>36</v>
      </c>
      <c r="H9" s="93">
        <f>VALO_AMO!N9</f>
        <v>0</v>
      </c>
      <c r="I9" s="41">
        <f>VALO_AMO!O9</f>
        <v>0</v>
      </c>
      <c r="J9" s="80">
        <f>VALO_AMO!Q9</f>
        <v>0</v>
      </c>
      <c r="K9" s="235"/>
      <c r="L9" s="93">
        <f>VALO_AMO!S9</f>
        <v>0.42189790944488137</v>
      </c>
      <c r="M9" s="41">
        <f>VALO_AMO!T9</f>
        <v>194.42321360948466</v>
      </c>
      <c r="N9" s="80">
        <f>VALO_AMO!V9</f>
        <v>194.42321360948466</v>
      </c>
      <c r="P9" s="93">
        <f>VALO_AMO!X9</f>
        <v>0</v>
      </c>
      <c r="Q9" s="41">
        <f>VALO_AMO!Y9</f>
        <v>0</v>
      </c>
      <c r="R9" s="80">
        <f>VALO_AMO!AA9</f>
        <v>0</v>
      </c>
    </row>
    <row r="10" spans="2:18" ht="14.45" customHeight="1" x14ac:dyDescent="0.3">
      <c r="B10" s="60"/>
      <c r="C10" s="63">
        <f>VALO_AMO!G10</f>
        <v>69</v>
      </c>
      <c r="D10" s="63" t="str">
        <f>VALO_AMO!H10</f>
        <v>Ordinateurs et accesoire</v>
      </c>
      <c r="E10" s="63">
        <f>VALO_AMO!I10</f>
        <v>45072</v>
      </c>
      <c r="F10" s="63">
        <f>VALO_AMO!J10</f>
        <v>2135.79</v>
      </c>
      <c r="G10" s="63">
        <f>VALO_AMO!K10</f>
        <v>60</v>
      </c>
      <c r="H10" s="93">
        <f>VALO_AMO!N10</f>
        <v>0</v>
      </c>
      <c r="I10" s="41">
        <f>VALO_AMO!O10</f>
        <v>0</v>
      </c>
      <c r="J10" s="80">
        <f>VALO_AMO!Q10</f>
        <v>0</v>
      </c>
      <c r="K10" s="235"/>
      <c r="L10" s="93">
        <f>VALO_AMO!S10</f>
        <v>0.42189790944488137</v>
      </c>
      <c r="M10" s="41">
        <f>VALO_AMO!T10</f>
        <v>180.21791099847553</v>
      </c>
      <c r="N10" s="80">
        <f>VALO_AMO!V10</f>
        <v>180.21791099847553</v>
      </c>
      <c r="P10" s="93">
        <f>VALO_AMO!X10</f>
        <v>0</v>
      </c>
      <c r="Q10" s="41">
        <f>VALO_AMO!Y10</f>
        <v>0</v>
      </c>
      <c r="R10" s="80">
        <f>VALO_AMO!AA10</f>
        <v>0</v>
      </c>
    </row>
    <row r="11" spans="2:18" ht="15.75" thickBot="1" x14ac:dyDescent="0.3">
      <c r="C11" s="62"/>
      <c r="D11" s="62"/>
      <c r="E11" s="62"/>
      <c r="F11" s="62"/>
      <c r="G11" s="62"/>
      <c r="H11" s="65" t="s">
        <v>469</v>
      </c>
      <c r="I11" s="66">
        <f>SUM(I4:I10)</f>
        <v>0</v>
      </c>
      <c r="J11" s="66">
        <f>SUM(J4:J10)</f>
        <v>0</v>
      </c>
      <c r="K11" s="236"/>
      <c r="L11" s="65"/>
      <c r="M11" s="66">
        <f>SUM(M4:M10)</f>
        <v>1803.8582636643459</v>
      </c>
      <c r="N11" s="66">
        <f>SUM(N4:N10)</f>
        <v>1803.8582636643459</v>
      </c>
      <c r="P11" s="65"/>
      <c r="Q11" s="66">
        <f>SUM(Q4:Q10)</f>
        <v>0</v>
      </c>
      <c r="R11" s="66">
        <f>SUM(R4:R10)</f>
        <v>0</v>
      </c>
    </row>
    <row r="12" spans="2:18" ht="15.75" thickBot="1" x14ac:dyDescent="0.3"/>
    <row r="13" spans="2:18" ht="15.75" thickBot="1" x14ac:dyDescent="0.3">
      <c r="E13" s="44"/>
      <c r="F13" s="45"/>
      <c r="G13" s="45"/>
      <c r="H13" s="96" t="s">
        <v>470</v>
      </c>
      <c r="I13" s="66">
        <f>VALO_AMO!O24</f>
        <v>0</v>
      </c>
      <c r="J13" s="66">
        <f>VALO_AMO!Q24</f>
        <v>0</v>
      </c>
      <c r="K13" s="232"/>
    </row>
    <row r="14" spans="2:18" ht="15.75" thickBot="1" x14ac:dyDescent="0.3"/>
    <row r="15" spans="2:18" ht="15.75" thickBot="1" x14ac:dyDescent="0.3">
      <c r="E15" s="44"/>
      <c r="F15" s="45"/>
      <c r="G15" s="45"/>
      <c r="H15" s="96" t="s">
        <v>471</v>
      </c>
      <c r="I15" s="66">
        <f>VALO_AMO!O26</f>
        <v>0</v>
      </c>
      <c r="J15" s="66">
        <f>VALO_AMO!Q26</f>
        <v>0</v>
      </c>
      <c r="K15" s="232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A1:B1048576" name="Plage1"/>
  </protectedRanges>
  <conditionalFormatting sqref="C4:G10">
    <cfRule type="expression" dxfId="69" priority="3">
      <formula>$A4=1</formula>
    </cfRule>
  </conditionalFormatting>
  <conditionalFormatting sqref="C4:G10">
    <cfRule type="expression" dxfId="68" priority="2">
      <formula>$B4=1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C8CA-19D0-42BF-B6FA-2D829B5B71AE}">
  <sheetPr codeName="Feuil6">
    <tabColor theme="7" tint="0.79998168889431442"/>
  </sheetPr>
  <dimension ref="A1:AP26"/>
  <sheetViews>
    <sheetView showGridLines="0" workbookViewId="0">
      <selection activeCell="L44" sqref="L44"/>
    </sheetView>
  </sheetViews>
  <sheetFormatPr baseColWidth="10" defaultColWidth="11.42578125" defaultRowHeight="15" outlineLevelCol="1" x14ac:dyDescent="0.25"/>
  <cols>
    <col min="1" max="1" width="7.7109375" style="43" customWidth="1"/>
    <col min="2" max="3" width="2" style="50" bestFit="1" customWidth="1"/>
    <col min="4" max="4" width="8.140625" style="43" bestFit="1" customWidth="1"/>
    <col min="5" max="5" width="10.140625" style="43" bestFit="1" customWidth="1"/>
    <col min="6" max="6" width="15.5703125" style="43" customWidth="1"/>
    <col min="7" max="7" width="15.7109375" style="43" customWidth="1"/>
    <col min="8" max="8" width="29" style="43" customWidth="1"/>
    <col min="9" max="10" width="11.28515625" style="43" bestFit="1" customWidth="1"/>
    <col min="11" max="11" width="12.28515625" style="43" bestFit="1" customWidth="1"/>
    <col min="12" max="12" width="12.7109375" style="43" customWidth="1"/>
    <col min="13" max="13" width="25.28515625" style="43" bestFit="1" customWidth="1"/>
    <col min="14" max="14" width="19" style="43" hidden="1" customWidth="1" outlineLevel="1"/>
    <col min="15" max="15" width="13.28515625" style="43" hidden="1" customWidth="1" outlineLevel="1"/>
    <col min="16" max="16" width="11.28515625" style="69" hidden="1" customWidth="1" outlineLevel="1"/>
    <col min="17" max="17" width="10.7109375" style="43" hidden="1" customWidth="1" outlineLevel="1"/>
    <col min="18" max="18" width="2.140625" style="43" bestFit="1" customWidth="1" outlineLevel="1"/>
    <col min="19" max="19" width="15.140625" style="43" customWidth="1" outlineLevel="1"/>
    <col min="20" max="20" width="11.140625" style="43" customWidth="1" outlineLevel="1"/>
    <col min="21" max="21" width="11.140625" style="69" hidden="1" customWidth="1" outlineLevel="1"/>
    <col min="22" max="22" width="11.42578125" style="43" outlineLevel="1"/>
    <col min="23" max="23" width="11.42578125" style="43"/>
    <col min="24" max="24" width="0" style="43" hidden="1" customWidth="1" outlineLevel="1"/>
    <col min="25" max="25" width="6.7109375" style="43" hidden="1" customWidth="1" outlineLevel="1"/>
    <col min="26" max="26" width="11.140625" style="69" hidden="1" customWidth="1" outlineLevel="1"/>
    <col min="27" max="27" width="0" style="43" hidden="1" customWidth="1" outlineLevel="1"/>
    <col min="28" max="28" width="11.42578125" style="43" collapsed="1"/>
    <col min="29" max="31" width="11.42578125" style="43"/>
    <col min="32" max="32" width="10.7109375" style="43" bestFit="1" customWidth="1"/>
    <col min="33" max="33" width="28.28515625" style="43" bestFit="1" customWidth="1"/>
    <col min="34" max="34" width="10.7109375" style="86" bestFit="1" customWidth="1"/>
    <col min="35" max="35" width="4.7109375" style="89" bestFit="1" customWidth="1"/>
    <col min="36" max="37" width="11.42578125" style="43"/>
    <col min="38" max="38" width="4" style="43" bestFit="1" customWidth="1"/>
    <col min="39" max="39" width="20.5703125" style="43" bestFit="1" customWidth="1"/>
    <col min="40" max="40" width="4.85546875" style="86" bestFit="1" customWidth="1"/>
    <col min="41" max="41" width="3.7109375" style="89" bestFit="1" customWidth="1"/>
    <col min="42" max="16384" width="11.42578125" style="43"/>
  </cols>
  <sheetData>
    <row r="1" spans="2:42" ht="31.15" customHeight="1" thickBot="1" x14ac:dyDescent="0.3">
      <c r="O1" s="43" t="s">
        <v>13</v>
      </c>
      <c r="P1" s="71" t="s">
        <v>450</v>
      </c>
      <c r="T1" s="43" t="s">
        <v>27</v>
      </c>
      <c r="U1" s="71" t="s">
        <v>450</v>
      </c>
      <c r="Z1" s="71" t="s">
        <v>450</v>
      </c>
    </row>
    <row r="2" spans="2:42" ht="16.5" customHeight="1" thickBot="1" x14ac:dyDescent="0.3">
      <c r="D2" s="99"/>
      <c r="E2" s="100"/>
      <c r="F2" s="100"/>
      <c r="G2" s="100"/>
      <c r="H2" s="100"/>
      <c r="I2" s="100"/>
      <c r="J2" s="100"/>
      <c r="K2" s="100"/>
      <c r="L2" s="100"/>
      <c r="M2" s="99"/>
      <c r="N2" s="44" t="s">
        <v>13</v>
      </c>
      <c r="O2" s="45"/>
      <c r="P2" s="70"/>
      <c r="Q2" s="46"/>
      <c r="R2" s="233">
        <v>1</v>
      </c>
      <c r="S2" s="44" t="s">
        <v>451</v>
      </c>
      <c r="T2" s="45"/>
      <c r="U2" s="70"/>
      <c r="V2" s="46"/>
      <c r="X2" s="44" t="s">
        <v>38</v>
      </c>
      <c r="Y2" s="45"/>
      <c r="Z2" s="70"/>
      <c r="AA2" s="46"/>
    </row>
    <row r="3" spans="2:42" ht="60.75" thickBot="1" x14ac:dyDescent="0.3">
      <c r="D3" s="64" t="s">
        <v>452</v>
      </c>
      <c r="E3" s="64" t="s">
        <v>453</v>
      </c>
      <c r="F3" s="64" t="s">
        <v>454</v>
      </c>
      <c r="G3" s="64" t="s">
        <v>455</v>
      </c>
      <c r="H3" s="64" t="s">
        <v>383</v>
      </c>
      <c r="I3" s="64" t="s">
        <v>384</v>
      </c>
      <c r="J3" s="64" t="s">
        <v>385</v>
      </c>
      <c r="K3" s="215" t="s">
        <v>386</v>
      </c>
      <c r="L3" s="64" t="s">
        <v>456</v>
      </c>
      <c r="M3" s="48" t="s">
        <v>457</v>
      </c>
      <c r="N3" s="48" t="s">
        <v>458</v>
      </c>
      <c r="O3" s="49" t="str">
        <f>'REP cout'!B4</f>
        <v>Opération 1</v>
      </c>
      <c r="P3" s="67" t="s">
        <v>459</v>
      </c>
      <c r="Q3" s="81" t="s">
        <v>460</v>
      </c>
      <c r="R3" s="234">
        <v>1</v>
      </c>
      <c r="S3" s="48" t="s">
        <v>461</v>
      </c>
      <c r="T3" s="47" t="str">
        <f>'REP cout'!H32</f>
        <v>Projet 1</v>
      </c>
      <c r="U3" s="67" t="s">
        <v>459</v>
      </c>
      <c r="V3" s="47" t="s">
        <v>462</v>
      </c>
      <c r="X3" s="48" t="s">
        <v>463</v>
      </c>
      <c r="Y3" s="47" t="str">
        <f>'REP cout'!N32</f>
        <v>Nom projet</v>
      </c>
      <c r="Z3" s="67" t="s">
        <v>459</v>
      </c>
      <c r="AA3" s="47" t="s">
        <v>464</v>
      </c>
    </row>
    <row r="4" spans="2:42" ht="14.45" customHeight="1" x14ac:dyDescent="0.3">
      <c r="B4" s="50">
        <f t="shared" ref="B4:B21" si="0">IFERROR(IF((N4+S4+X4)&gt;1,1,0),0)</f>
        <v>0</v>
      </c>
      <c r="C4" s="60">
        <f t="shared" ref="C4:C21" si="1">IFERROR(IF((Q4+V4+AA4)&gt;L4,1,0),0)</f>
        <v>0</v>
      </c>
      <c r="D4" s="72" t="b">
        <v>0</v>
      </c>
      <c r="E4" s="63"/>
      <c r="F4" s="63">
        <v>2183</v>
      </c>
      <c r="G4" s="63">
        <v>58</v>
      </c>
      <c r="H4" s="63" t="s">
        <v>933</v>
      </c>
      <c r="I4" s="288">
        <v>45405</v>
      </c>
      <c r="J4" s="63">
        <v>2165</v>
      </c>
      <c r="K4" s="63">
        <v>36</v>
      </c>
      <c r="L4" s="63">
        <v>721.67</v>
      </c>
      <c r="M4" s="63" t="s">
        <v>21</v>
      </c>
      <c r="N4" s="93">
        <f>IF(M4=parametrage!$M$2,VALO_AMO!$AI$4,IF(M4=parametrage!$M$3,VALO_AMO!$AO$4,"à définir"))</f>
        <v>0</v>
      </c>
      <c r="O4" s="41">
        <f>IFERROR(IF(OR($M4=parametrage!$M$2,$M4=parametrage!$M$3),VALO_AMO!$N4*VALO_AMO!$L4*VALO_PERSO!Y$12/VALO_PERSO!$AA$12,0),0)</f>
        <v>0</v>
      </c>
      <c r="P4" s="41"/>
      <c r="Q4" s="80">
        <f t="shared" ref="Q4:Q21" si="2">SUM(O4:P4)</f>
        <v>0</v>
      </c>
      <c r="R4" s="235"/>
      <c r="S4" s="93">
        <f>IF(M4=parametrage!$M$2,VALO_AMO!$AI$7,IF(M4=parametrage!$M$3,VALO_AMO!$AO$7,"à définir"))</f>
        <v>0.42189790944488137</v>
      </c>
      <c r="T4" s="41">
        <f>IFERROR(IF(OR($M4=parametrage!$M$2,$M4=parametrage!$M$3),VALO_AMO!$S4*VALO_AMO!$L4*VALO_PERSO!AD$12/VALO_PERSO!$AF$12,0),0)</f>
        <v>304.47106430908752</v>
      </c>
      <c r="U4" s="41"/>
      <c r="V4" s="80">
        <f>SUM(T4:U4)</f>
        <v>304.47106430908752</v>
      </c>
      <c r="X4" s="93">
        <f>IF(M4=parametrage!$M$2,VALO_AMO!$AI$10,IF(M4=parametrage!$M$3,VALO_AMO!$AO$10,"à définir"))</f>
        <v>0</v>
      </c>
      <c r="Y4" s="41">
        <f>IFERROR(IF(OR($M4=parametrage!$M$2,$M4=parametrage!$M$3),VALO_AMO!$X4*VALO_AMO!$L4*VALO_PERSO!AI$12/VALO_PERSO!$AK$12,0),0)</f>
        <v>0</v>
      </c>
      <c r="Z4" s="41"/>
      <c r="AA4" s="80">
        <f>SUM(Y4:Z4)</f>
        <v>0</v>
      </c>
      <c r="AE4" s="504" t="s">
        <v>21</v>
      </c>
      <c r="AF4" s="505" t="s">
        <v>13</v>
      </c>
      <c r="AG4" s="57" t="s">
        <v>465</v>
      </c>
      <c r="AH4" s="87">
        <f>VALO_PERSO!AA12</f>
        <v>0</v>
      </c>
      <c r="AI4" s="503">
        <f>IFERROR(AH4/AH5,0)</f>
        <v>0</v>
      </c>
      <c r="AJ4" s="58"/>
      <c r="AK4" s="504" t="s">
        <v>466</v>
      </c>
      <c r="AL4" s="505" t="s">
        <v>13</v>
      </c>
      <c r="AM4" s="57" t="s">
        <v>465</v>
      </c>
      <c r="AN4" s="87">
        <f>VALO_PERSO!AA12</f>
        <v>0</v>
      </c>
      <c r="AO4" s="503">
        <f>IFERROR(AN4/AN5,0)</f>
        <v>0</v>
      </c>
      <c r="AP4" s="58"/>
    </row>
    <row r="5" spans="2:42" ht="15.75" x14ac:dyDescent="0.3">
      <c r="B5" s="50">
        <f t="shared" si="0"/>
        <v>0</v>
      </c>
      <c r="C5" s="60">
        <f t="shared" si="1"/>
        <v>0</v>
      </c>
      <c r="D5" s="72" t="b">
        <v>0</v>
      </c>
      <c r="E5" s="63"/>
      <c r="F5" s="63">
        <v>2183</v>
      </c>
      <c r="G5" s="63">
        <v>59</v>
      </c>
      <c r="H5" s="63" t="s">
        <v>933</v>
      </c>
      <c r="I5" s="288">
        <v>45292</v>
      </c>
      <c r="J5" s="63">
        <v>2165</v>
      </c>
      <c r="K5" s="63">
        <v>36</v>
      </c>
      <c r="L5" s="63">
        <v>721.67</v>
      </c>
      <c r="M5" s="63" t="s">
        <v>21</v>
      </c>
      <c r="N5" s="93">
        <f>IF(M5=parametrage!$M$2,VALO_AMO!$AI$4,IF(M5=parametrage!$M$3,VALO_AMO!$AO$4,"à définir"))</f>
        <v>0</v>
      </c>
      <c r="O5" s="41">
        <f>IFERROR(IF(OR($M5=parametrage!$M$2,$M5=parametrage!$M$3),VALO_AMO!$N5*VALO_AMO!$L5*VALO_PERSO!Y$12/VALO_PERSO!$AA$12,0),0)</f>
        <v>0</v>
      </c>
      <c r="P5" s="41"/>
      <c r="Q5" s="80">
        <f t="shared" si="2"/>
        <v>0</v>
      </c>
      <c r="R5" s="235"/>
      <c r="S5" s="93">
        <f>IF(M5=parametrage!$M$2,VALO_AMO!$AI$7,IF(M5=parametrage!$M$3,VALO_AMO!$AO$7,"à définir"))</f>
        <v>0.42189790944488137</v>
      </c>
      <c r="T5" s="41">
        <f>IFERROR(IF(OR($M5=parametrage!$M$2,$M5=parametrage!$M$3),VALO_AMO!$S5*VALO_AMO!$L5*VALO_PERSO!AD$12/VALO_PERSO!$AF$12,0),0)</f>
        <v>304.47106430908752</v>
      </c>
      <c r="U5" s="41"/>
      <c r="V5" s="80">
        <f t="shared" ref="V5:V21" si="3">SUM(T5:U5)</f>
        <v>304.47106430908752</v>
      </c>
      <c r="X5" s="93">
        <f>IF(M5=parametrage!$M$2,VALO_AMO!$AI$10,IF(M5=parametrage!$M$3,VALO_AMO!$AO$10,"à définir"))</f>
        <v>0</v>
      </c>
      <c r="Y5" s="41">
        <f>IFERROR(IF(OR($M5=parametrage!$M$2,$M5=parametrage!$M$3),VALO_AMO!$X5*VALO_AMO!$L5*VALO_PERSO!AI$12/VALO_PERSO!$AK$12,0),0)</f>
        <v>0</v>
      </c>
      <c r="Z5" s="41"/>
      <c r="AA5" s="80">
        <f t="shared" ref="AA5:AA21" si="4">SUM(Y5:Z5)</f>
        <v>0</v>
      </c>
      <c r="AE5" s="504"/>
      <c r="AF5" s="505"/>
      <c r="AG5" s="57" t="s">
        <v>467</v>
      </c>
      <c r="AH5" s="87">
        <f>VALO_PERSO!BA12</f>
        <v>0</v>
      </c>
      <c r="AI5" s="503"/>
      <c r="AJ5" s="58"/>
      <c r="AK5" s="504"/>
      <c r="AL5" s="505"/>
      <c r="AM5" s="57" t="s">
        <v>468</v>
      </c>
      <c r="AN5" s="91"/>
      <c r="AO5" s="503"/>
      <c r="AP5" s="58"/>
    </row>
    <row r="6" spans="2:42" ht="15.75" x14ac:dyDescent="0.3">
      <c r="B6" s="50">
        <f t="shared" si="0"/>
        <v>0</v>
      </c>
      <c r="C6" s="60">
        <f t="shared" si="1"/>
        <v>0</v>
      </c>
      <c r="D6" s="72" t="b">
        <v>0</v>
      </c>
      <c r="E6" s="63"/>
      <c r="F6" s="63">
        <v>2183</v>
      </c>
      <c r="G6" s="63">
        <v>66</v>
      </c>
      <c r="H6" s="63" t="s">
        <v>904</v>
      </c>
      <c r="I6" s="288">
        <v>45282</v>
      </c>
      <c r="J6" s="63">
        <v>2165</v>
      </c>
      <c r="K6" s="63">
        <v>36</v>
      </c>
      <c r="L6" s="63">
        <v>721.67</v>
      </c>
      <c r="M6" s="63" t="s">
        <v>21</v>
      </c>
      <c r="N6" s="93">
        <f>IF(M6=parametrage!$M$2,VALO_AMO!$AI$4,IF(M6=parametrage!$M$3,VALO_AMO!$AO$4,"à définir"))</f>
        <v>0</v>
      </c>
      <c r="O6" s="41">
        <f>IFERROR(IF(OR($M6=parametrage!$M$2,$M6=parametrage!$M$3),VALO_AMO!$N6*VALO_AMO!$L6*VALO_PERSO!Y$12/VALO_PERSO!$AA$12,0),0)</f>
        <v>0</v>
      </c>
      <c r="P6" s="41"/>
      <c r="Q6" s="80">
        <f t="shared" si="2"/>
        <v>0</v>
      </c>
      <c r="R6" s="235"/>
      <c r="S6" s="93">
        <f>IF(M6=parametrage!$M$2,VALO_AMO!$AI$7,IF(M6=parametrage!$M$3,VALO_AMO!$AO$7,"à définir"))</f>
        <v>0.42189790944488137</v>
      </c>
      <c r="T6" s="41">
        <f>IFERROR(IF(OR($M6=parametrage!$M$2,$M6=parametrage!$M$3),VALO_AMO!$S6*VALO_AMO!$L6*VALO_PERSO!AD$12/VALO_PERSO!$AF$12,0),0)</f>
        <v>304.47106430908752</v>
      </c>
      <c r="U6" s="41"/>
      <c r="V6" s="80">
        <f t="shared" si="3"/>
        <v>304.47106430908752</v>
      </c>
      <c r="X6" s="93">
        <f>IF(M6=parametrage!$M$2,VALO_AMO!$AI$10,IF(M6=parametrage!$M$3,VALO_AMO!$AO$10,"à définir"))</f>
        <v>0</v>
      </c>
      <c r="Y6" s="41">
        <f>IFERROR(IF(OR($M6=parametrage!$M$2,$M6=parametrage!$M$3),VALO_AMO!$X6*VALO_AMO!$L6*VALO_PERSO!AI$12/VALO_PERSO!$AK$12,0),0)</f>
        <v>0</v>
      </c>
      <c r="Z6" s="41"/>
      <c r="AA6" s="80">
        <f t="shared" si="4"/>
        <v>0</v>
      </c>
      <c r="AE6" s="58"/>
      <c r="AF6" s="58"/>
      <c r="AG6" s="58"/>
      <c r="AH6" s="88"/>
      <c r="AI6" s="90"/>
      <c r="AJ6" s="58"/>
      <c r="AK6" s="58"/>
      <c r="AL6" s="58"/>
      <c r="AM6" s="58"/>
      <c r="AN6" s="88"/>
      <c r="AO6" s="90"/>
      <c r="AP6" s="58"/>
    </row>
    <row r="7" spans="2:42" ht="14.45" customHeight="1" x14ac:dyDescent="0.3">
      <c r="B7" s="50">
        <f t="shared" si="0"/>
        <v>0</v>
      </c>
      <c r="C7" s="60">
        <f t="shared" si="1"/>
        <v>0</v>
      </c>
      <c r="D7" s="72" t="b">
        <v>0</v>
      </c>
      <c r="E7" s="63"/>
      <c r="F7" s="63">
        <v>2183</v>
      </c>
      <c r="G7" s="63">
        <v>71</v>
      </c>
      <c r="H7" s="63" t="s">
        <v>900</v>
      </c>
      <c r="I7" s="288">
        <v>45006</v>
      </c>
      <c r="J7" s="63">
        <v>1901.9</v>
      </c>
      <c r="K7" s="63">
        <v>36</v>
      </c>
      <c r="L7" s="63">
        <v>633.97</v>
      </c>
      <c r="M7" s="63" t="s">
        <v>21</v>
      </c>
      <c r="N7" s="93">
        <f>IF(M7=parametrage!$M$2,VALO_AMO!$AI$4,IF(M7=parametrage!$M$3,VALO_AMO!$AO$4,"à définir"))</f>
        <v>0</v>
      </c>
      <c r="O7" s="41">
        <f>IFERROR(IF(OR($M7=parametrage!$M$2,$M7=parametrage!$M$3),VALO_AMO!$N7*VALO_AMO!$L7*VALO_PERSO!Y$12/VALO_PERSO!$AA$12,0),0)</f>
        <v>0</v>
      </c>
      <c r="P7" s="41"/>
      <c r="Q7" s="80">
        <f t="shared" si="2"/>
        <v>0</v>
      </c>
      <c r="R7" s="235"/>
      <c r="S7" s="93">
        <f>IF(M7=parametrage!$M$2,VALO_AMO!$AI$7,IF(M7=parametrage!$M$3,VALO_AMO!$AO$7,"à définir"))</f>
        <v>0.42189790944488137</v>
      </c>
      <c r="T7" s="41">
        <f>IFERROR(IF(OR($M7=parametrage!$M$2,$M7=parametrage!$M$3),VALO_AMO!$S7*VALO_AMO!$L7*VALO_PERSO!AD$12/VALO_PERSO!$AF$12,0),0)</f>
        <v>267.47061765077143</v>
      </c>
      <c r="U7" s="41"/>
      <c r="V7" s="80">
        <f t="shared" si="3"/>
        <v>267.47061765077143</v>
      </c>
      <c r="X7" s="93">
        <f>IF(M7=parametrage!$M$2,VALO_AMO!$AI$10,IF(M7=parametrage!$M$3,VALO_AMO!$AO$10,"à définir"))</f>
        <v>0</v>
      </c>
      <c r="Y7" s="41">
        <f>IFERROR(IF(OR($M7=parametrage!$M$2,$M7=parametrage!$M$3),VALO_AMO!$X7*VALO_AMO!$L7*VALO_PERSO!AI$12/VALO_PERSO!$AK$12,0),0)</f>
        <v>0</v>
      </c>
      <c r="Z7" s="41"/>
      <c r="AA7" s="80">
        <f t="shared" si="4"/>
        <v>0</v>
      </c>
      <c r="AE7" s="504" t="s">
        <v>21</v>
      </c>
      <c r="AF7" s="505" t="s">
        <v>27</v>
      </c>
      <c r="AG7" s="57" t="s">
        <v>465</v>
      </c>
      <c r="AH7" s="87">
        <f>VALO_PERSO!AF12</f>
        <v>4345</v>
      </c>
      <c r="AI7" s="503">
        <f>IFERROR(AH7/AH8,0)</f>
        <v>0.42189790944488137</v>
      </c>
      <c r="AJ7" s="58"/>
      <c r="AK7" s="504" t="s">
        <v>466</v>
      </c>
      <c r="AL7" s="505" t="s">
        <v>27</v>
      </c>
      <c r="AM7" s="57" t="s">
        <v>465</v>
      </c>
      <c r="AN7" s="87">
        <f>VALO_PERSO!AF12</f>
        <v>4345</v>
      </c>
      <c r="AO7" s="503">
        <f>IFERROR(AN7/AN8,0)</f>
        <v>0</v>
      </c>
      <c r="AP7" s="58"/>
    </row>
    <row r="8" spans="2:42" ht="15.75" x14ac:dyDescent="0.3">
      <c r="B8" s="50">
        <f t="shared" si="0"/>
        <v>0</v>
      </c>
      <c r="C8" s="60">
        <f t="shared" si="1"/>
        <v>0</v>
      </c>
      <c r="D8" s="72" t="b">
        <v>0</v>
      </c>
      <c r="E8" s="63"/>
      <c r="F8" s="63">
        <v>2183</v>
      </c>
      <c r="G8" s="63">
        <v>60</v>
      </c>
      <c r="H8" s="63" t="s">
        <v>934</v>
      </c>
      <c r="I8" s="288">
        <v>45560</v>
      </c>
      <c r="J8" s="63">
        <v>1765.83</v>
      </c>
      <c r="K8" s="63">
        <v>36</v>
      </c>
      <c r="L8" s="63">
        <v>588.61</v>
      </c>
      <c r="M8" s="63" t="s">
        <v>21</v>
      </c>
      <c r="N8" s="93">
        <f>IF(M8=parametrage!$M$2,VALO_AMO!$AI$4,IF(M8=parametrage!$M$3,VALO_AMO!$AO$4,"à définir"))</f>
        <v>0</v>
      </c>
      <c r="O8" s="41">
        <f>IFERROR(IF(OR($M8=parametrage!$M$2,$M8=parametrage!$M$3),VALO_AMO!$N8*VALO_AMO!$L8*VALO_PERSO!Y$12/VALO_PERSO!$AA$12,0),0)</f>
        <v>0</v>
      </c>
      <c r="P8" s="41"/>
      <c r="Q8" s="80">
        <f t="shared" si="2"/>
        <v>0</v>
      </c>
      <c r="R8" s="235"/>
      <c r="S8" s="93">
        <f>IF(M8=parametrage!$M$2,VALO_AMO!$AI$7,IF(M8=parametrage!$M$3,VALO_AMO!$AO$7,"à définir"))</f>
        <v>0.42189790944488137</v>
      </c>
      <c r="T8" s="41">
        <f>IFERROR(IF(OR($M8=parametrage!$M$2,$M8=parametrage!$M$3),VALO_AMO!$S8*VALO_AMO!$L8*VALO_PERSO!AD$12/VALO_PERSO!$AF$12,0),0)</f>
        <v>248.33332847835163</v>
      </c>
      <c r="U8" s="41"/>
      <c r="V8" s="80">
        <f t="shared" si="3"/>
        <v>248.33332847835163</v>
      </c>
      <c r="X8" s="93">
        <f>IF(M8=parametrage!$M$2,VALO_AMO!$AI$10,IF(M8=parametrage!$M$3,VALO_AMO!$AO$10,"à définir"))</f>
        <v>0</v>
      </c>
      <c r="Y8" s="41">
        <f>IFERROR(IF(OR($M8=parametrage!$M$2,$M8=parametrage!$M$3),VALO_AMO!$X8*VALO_AMO!$L8*VALO_PERSO!AI$12/VALO_PERSO!$AK$12,0),0)</f>
        <v>0</v>
      </c>
      <c r="Z8" s="41"/>
      <c r="AA8" s="80">
        <f t="shared" si="4"/>
        <v>0</v>
      </c>
      <c r="AE8" s="504"/>
      <c r="AF8" s="505"/>
      <c r="AG8" s="57" t="s">
        <v>467</v>
      </c>
      <c r="AH8" s="87">
        <f>VALO_PERSO!BB12</f>
        <v>10298.700000000001</v>
      </c>
      <c r="AI8" s="503"/>
      <c r="AJ8" s="58"/>
      <c r="AK8" s="504"/>
      <c r="AL8" s="505"/>
      <c r="AM8" s="57" t="s">
        <v>468</v>
      </c>
      <c r="AN8" s="91"/>
      <c r="AO8" s="503"/>
      <c r="AP8" s="58"/>
    </row>
    <row r="9" spans="2:42" ht="15.75" x14ac:dyDescent="0.3">
      <c r="B9" s="50">
        <f t="shared" si="0"/>
        <v>0</v>
      </c>
      <c r="C9" s="60">
        <f t="shared" si="1"/>
        <v>0</v>
      </c>
      <c r="D9" s="72" t="b">
        <v>0</v>
      </c>
      <c r="E9" s="63"/>
      <c r="F9" s="63">
        <v>2183</v>
      </c>
      <c r="G9" s="63">
        <v>67</v>
      </c>
      <c r="H9" s="63" t="s">
        <v>899</v>
      </c>
      <c r="I9" s="288">
        <v>45006</v>
      </c>
      <c r="J9" s="63">
        <v>1382.5</v>
      </c>
      <c r="K9" s="63">
        <v>36</v>
      </c>
      <c r="L9" s="63">
        <v>460.83</v>
      </c>
      <c r="M9" s="63" t="s">
        <v>21</v>
      </c>
      <c r="N9" s="93">
        <f>IF(M9=parametrage!$M$2,VALO_AMO!$AI$4,IF(M9=parametrage!$M$3,VALO_AMO!$AO$4,"à définir"))</f>
        <v>0</v>
      </c>
      <c r="O9" s="41">
        <f>IFERROR(IF(OR($M9=parametrage!$M$2,$M9=parametrage!$M$3),VALO_AMO!$N9*VALO_AMO!$L9*VALO_PERSO!Y$12/VALO_PERSO!$AA$12,0),0)</f>
        <v>0</v>
      </c>
      <c r="P9" s="41"/>
      <c r="Q9" s="80">
        <f t="shared" si="2"/>
        <v>0</v>
      </c>
      <c r="R9" s="235"/>
      <c r="S9" s="93">
        <f>IF(M9=parametrage!$M$2,VALO_AMO!$AI$7,IF(M9=parametrage!$M$3,VALO_AMO!$AO$7,"à définir"))</f>
        <v>0.42189790944488137</v>
      </c>
      <c r="T9" s="41">
        <f>IFERROR(IF(OR($M9=parametrage!$M$2,$M9=parametrage!$M$3),VALO_AMO!$S9*VALO_AMO!$L9*VALO_PERSO!AD$12/VALO_PERSO!$AF$12,0),0)</f>
        <v>194.42321360948466</v>
      </c>
      <c r="U9" s="41"/>
      <c r="V9" s="80">
        <f t="shared" si="3"/>
        <v>194.42321360948466</v>
      </c>
      <c r="X9" s="93">
        <f>IF(M9=parametrage!$M$2,VALO_AMO!$AI$10,IF(M9=parametrage!$M$3,VALO_AMO!$AO$10,"à définir"))</f>
        <v>0</v>
      </c>
      <c r="Y9" s="41">
        <f>IFERROR(IF(OR($M9=parametrage!$M$2,$M9=parametrage!$M$3),VALO_AMO!$X9*VALO_AMO!$L9*VALO_PERSO!AI$12/VALO_PERSO!$AK$12,0),0)</f>
        <v>0</v>
      </c>
      <c r="Z9" s="41"/>
      <c r="AA9" s="80">
        <f t="shared" si="4"/>
        <v>0</v>
      </c>
      <c r="AE9" s="58"/>
      <c r="AF9" s="58"/>
      <c r="AG9" s="58"/>
      <c r="AH9" s="88"/>
      <c r="AI9" s="90"/>
      <c r="AJ9" s="58"/>
      <c r="AK9" s="58"/>
      <c r="AL9" s="58"/>
      <c r="AM9" s="58"/>
      <c r="AN9" s="88"/>
      <c r="AO9" s="90"/>
      <c r="AP9" s="58"/>
    </row>
    <row r="10" spans="2:42" ht="14.45" customHeight="1" x14ac:dyDescent="0.3">
      <c r="B10" s="50">
        <f t="shared" si="0"/>
        <v>0</v>
      </c>
      <c r="C10" s="60">
        <f t="shared" si="1"/>
        <v>0</v>
      </c>
      <c r="D10" s="72" t="b">
        <v>0</v>
      </c>
      <c r="E10" s="63"/>
      <c r="F10" s="63">
        <v>2183</v>
      </c>
      <c r="G10" s="63">
        <v>69</v>
      </c>
      <c r="H10" s="63" t="s">
        <v>935</v>
      </c>
      <c r="I10" s="288">
        <v>45072</v>
      </c>
      <c r="J10" s="63">
        <v>2135.79</v>
      </c>
      <c r="K10" s="63">
        <v>60</v>
      </c>
      <c r="L10" s="63">
        <v>427.16</v>
      </c>
      <c r="M10" s="63" t="s">
        <v>21</v>
      </c>
      <c r="N10" s="93">
        <f>IF(M10=parametrage!$M$2,VALO_AMO!$AI$4,IF(M10=parametrage!$M$3,VALO_AMO!$AO$4,"à définir"))</f>
        <v>0</v>
      </c>
      <c r="O10" s="41">
        <f>IFERROR(IF(OR($M10=parametrage!$M$2,$M10=parametrage!$M$3),VALO_AMO!$N10*VALO_AMO!$L10*VALO_PERSO!Y$12/VALO_PERSO!$AA$12,0),0)</f>
        <v>0</v>
      </c>
      <c r="P10" s="41"/>
      <c r="Q10" s="80">
        <f t="shared" si="2"/>
        <v>0</v>
      </c>
      <c r="R10" s="235"/>
      <c r="S10" s="93">
        <f>IF(M10=parametrage!$M$2,VALO_AMO!$AI$7,IF(M10=parametrage!$M$3,VALO_AMO!$AO$7,"à définir"))</f>
        <v>0.42189790944488137</v>
      </c>
      <c r="T10" s="41">
        <f>IFERROR(IF(OR($M10=parametrage!$M$2,$M10=parametrage!$M$3),VALO_AMO!$S10*VALO_AMO!$L10*VALO_PERSO!AD$12/VALO_PERSO!$AF$12,0),0)</f>
        <v>180.21791099847553</v>
      </c>
      <c r="U10" s="41"/>
      <c r="V10" s="80">
        <f t="shared" si="3"/>
        <v>180.21791099847553</v>
      </c>
      <c r="X10" s="93">
        <f>IF(M10=parametrage!$M$2,VALO_AMO!$AI$10,IF(M10=parametrage!$M$3,VALO_AMO!$AO$10,"à définir"))</f>
        <v>0</v>
      </c>
      <c r="Y10" s="41">
        <f>IFERROR(IF(OR($M10=parametrage!$M$2,$M10=parametrage!$M$3),VALO_AMO!$X10*VALO_AMO!$L10*VALO_PERSO!AI$12/VALO_PERSO!$AK$12,0),0)</f>
        <v>0</v>
      </c>
      <c r="Z10" s="41"/>
      <c r="AA10" s="80">
        <f t="shared" si="4"/>
        <v>0</v>
      </c>
      <c r="AE10" s="504" t="s">
        <v>21</v>
      </c>
      <c r="AF10" s="505" t="s">
        <v>38</v>
      </c>
      <c r="AG10" s="57" t="s">
        <v>465</v>
      </c>
      <c r="AH10" s="87">
        <f>VALO_PERSO!AK12</f>
        <v>0</v>
      </c>
      <c r="AI10" s="503">
        <f>IFERROR(AH10/AH11,0)</f>
        <v>0</v>
      </c>
      <c r="AJ10" s="58"/>
      <c r="AK10" s="504" t="s">
        <v>466</v>
      </c>
      <c r="AL10" s="505" t="s">
        <v>38</v>
      </c>
      <c r="AM10" s="57" t="s">
        <v>465</v>
      </c>
      <c r="AN10" s="87">
        <f>VALO_PERSO!AK12</f>
        <v>0</v>
      </c>
      <c r="AO10" s="503">
        <f>IFERROR(AN10/AN11,0)</f>
        <v>0</v>
      </c>
      <c r="AP10" s="58"/>
    </row>
    <row r="11" spans="2:42" ht="15.75" hidden="1" x14ac:dyDescent="0.3">
      <c r="B11" s="50">
        <f t="shared" si="0"/>
        <v>0</v>
      </c>
      <c r="C11" s="60">
        <f t="shared" si="1"/>
        <v>0</v>
      </c>
      <c r="D11" s="72" t="b">
        <v>0</v>
      </c>
      <c r="E11" s="63"/>
      <c r="F11" s="63"/>
      <c r="G11" s="63"/>
      <c r="H11" s="63"/>
      <c r="I11" s="288"/>
      <c r="J11" s="63"/>
      <c r="K11" s="63"/>
      <c r="L11" s="63"/>
      <c r="M11" s="63" t="s">
        <v>60</v>
      </c>
      <c r="N11" s="93" t="str">
        <f>IF(M11=parametrage!$M$2,VALO_AMO!$AI$4,IF(M11=parametrage!$M$3,VALO_AMO!$AO$4,"à définir"))</f>
        <v>à définir</v>
      </c>
      <c r="O11" s="41">
        <f>IFERROR(IF(OR($M11=parametrage!$M$2,$M11=parametrage!$M$3),VALO_AMO!$N11*VALO_AMO!$L11*VALO_PERSO!Y$12/VALO_PERSO!$AA$12,0),0)</f>
        <v>0</v>
      </c>
      <c r="P11" s="41"/>
      <c r="Q11" s="80">
        <f t="shared" si="2"/>
        <v>0</v>
      </c>
      <c r="R11" s="235"/>
      <c r="S11" s="93" t="str">
        <f>IF(M11=parametrage!$M$2,VALO_AMO!$AI$7,IF(M11=parametrage!$M$3,VALO_AMO!$AO$7,"à définir"))</f>
        <v>à définir</v>
      </c>
      <c r="T11" s="41">
        <f>IFERROR(IF(OR($M11=parametrage!$M$2,$M11=parametrage!$M$3),VALO_AMO!$S11*VALO_AMO!$L11*VALO_PERSO!AD$12/VALO_PERSO!$AF$12,0),0)</f>
        <v>0</v>
      </c>
      <c r="U11" s="41"/>
      <c r="V11" s="80">
        <f t="shared" si="3"/>
        <v>0</v>
      </c>
      <c r="X11" s="93" t="str">
        <f>IF(M11=parametrage!$M$2,VALO_AMO!$AI$10,IF(M11=parametrage!$M$3,VALO_AMO!$AO$10,"à définir"))</f>
        <v>à définir</v>
      </c>
      <c r="Y11" s="41">
        <f>IFERROR(IF(OR($M11=parametrage!$M$2,$M11=parametrage!$M$3),VALO_AMO!$X11*VALO_AMO!$L11*VALO_PERSO!AI$12/VALO_PERSO!$AK$12,0),0)</f>
        <v>0</v>
      </c>
      <c r="Z11" s="41"/>
      <c r="AA11" s="80">
        <f t="shared" si="4"/>
        <v>0</v>
      </c>
      <c r="AE11" s="504"/>
      <c r="AF11" s="505"/>
      <c r="AG11" s="57" t="s">
        <v>467</v>
      </c>
      <c r="AH11" s="87">
        <f>VALO_PERSO!BC12</f>
        <v>0</v>
      </c>
      <c r="AI11" s="503"/>
      <c r="AJ11" s="58"/>
      <c r="AK11" s="504"/>
      <c r="AL11" s="505"/>
      <c r="AM11" s="57" t="s">
        <v>468</v>
      </c>
      <c r="AN11" s="91"/>
      <c r="AO11" s="503"/>
      <c r="AP11" s="58"/>
    </row>
    <row r="12" spans="2:42" ht="15.75" hidden="1" x14ac:dyDescent="0.3">
      <c r="B12" s="50">
        <f t="shared" si="0"/>
        <v>0</v>
      </c>
      <c r="C12" s="60">
        <f t="shared" si="1"/>
        <v>0</v>
      </c>
      <c r="D12" s="72" t="b">
        <v>0</v>
      </c>
      <c r="E12" s="63"/>
      <c r="F12" s="63"/>
      <c r="G12" s="63"/>
      <c r="H12" s="63"/>
      <c r="I12" s="288"/>
      <c r="J12" s="63"/>
      <c r="K12" s="63"/>
      <c r="L12" s="63"/>
      <c r="M12" s="63" t="s">
        <v>60</v>
      </c>
      <c r="N12" s="93" t="str">
        <f>IF(M12=parametrage!$M$2,VALO_AMO!$AI$4,IF(M12=parametrage!$M$3,VALO_AMO!$AO$4,"à définir"))</f>
        <v>à définir</v>
      </c>
      <c r="O12" s="41">
        <f>IFERROR(IF(OR($M12=parametrage!$M$2,$M12=parametrage!$M$3),VALO_AMO!$N12*VALO_AMO!$L12*VALO_PERSO!Y$12/VALO_PERSO!$AA$12,0),0)</f>
        <v>0</v>
      </c>
      <c r="P12" s="41"/>
      <c r="Q12" s="80">
        <f t="shared" si="2"/>
        <v>0</v>
      </c>
      <c r="R12" s="235"/>
      <c r="S12" s="93" t="str">
        <f>IF(M12=parametrage!$M$2,VALO_AMO!$AI$7,IF(M12=parametrage!$M$3,VALO_AMO!$AO$7,"à définir"))</f>
        <v>à définir</v>
      </c>
      <c r="T12" s="41">
        <f>IFERROR(IF(OR($M12=parametrage!$M$2,$M12=parametrage!$M$3),VALO_AMO!$S12*VALO_AMO!$L12*VALO_PERSO!AD$12/VALO_PERSO!$AF$12,0),0)</f>
        <v>0</v>
      </c>
      <c r="U12" s="41"/>
      <c r="V12" s="80">
        <f t="shared" si="3"/>
        <v>0</v>
      </c>
      <c r="X12" s="93" t="str">
        <f>IF(M12=parametrage!$M$2,VALO_AMO!$AI$10,IF(M12=parametrage!$M$3,VALO_AMO!$AO$10,"à définir"))</f>
        <v>à définir</v>
      </c>
      <c r="Y12" s="41">
        <f>IFERROR(IF(OR($M12=parametrage!$M$2,$M12=parametrage!$M$3),VALO_AMO!$X12*VALO_AMO!$L12*VALO_PERSO!AI$12/VALO_PERSO!$AK$12,0),0)</f>
        <v>0</v>
      </c>
      <c r="Z12" s="41"/>
      <c r="AA12" s="80">
        <f t="shared" si="4"/>
        <v>0</v>
      </c>
      <c r="AE12" s="58"/>
      <c r="AF12" s="58"/>
      <c r="AG12" s="58"/>
      <c r="AH12" s="88"/>
      <c r="AI12" s="90"/>
      <c r="AJ12" s="58"/>
      <c r="AK12" s="58"/>
      <c r="AL12" s="58"/>
      <c r="AM12" s="58"/>
      <c r="AN12" s="88"/>
      <c r="AO12" s="90"/>
      <c r="AP12" s="58"/>
    </row>
    <row r="13" spans="2:42" ht="15.75" hidden="1" x14ac:dyDescent="0.3">
      <c r="B13" s="50">
        <f t="shared" si="0"/>
        <v>0</v>
      </c>
      <c r="C13" s="60">
        <f t="shared" si="1"/>
        <v>0</v>
      </c>
      <c r="D13" s="72" t="b">
        <v>0</v>
      </c>
      <c r="E13" s="63"/>
      <c r="F13" s="63"/>
      <c r="G13" s="63"/>
      <c r="H13" s="63"/>
      <c r="I13" s="288"/>
      <c r="J13" s="63"/>
      <c r="K13" s="63"/>
      <c r="L13" s="63"/>
      <c r="M13" s="63" t="s">
        <v>60</v>
      </c>
      <c r="N13" s="93" t="str">
        <f>IF(M13=parametrage!$M$2,VALO_AMO!$AI$4,IF(M13=parametrage!$M$3,VALO_AMO!$AO$4,"à définir"))</f>
        <v>à définir</v>
      </c>
      <c r="O13" s="41">
        <f>IFERROR(IF(OR($M13=parametrage!$M$2,$M13=parametrage!$M$3),VALO_AMO!$N13*VALO_AMO!$L13*VALO_PERSO!Y$12/VALO_PERSO!$AA$12,0),0)</f>
        <v>0</v>
      </c>
      <c r="P13" s="41"/>
      <c r="Q13" s="80">
        <f t="shared" si="2"/>
        <v>0</v>
      </c>
      <c r="R13" s="235"/>
      <c r="S13" s="93" t="str">
        <f>IF(M13=parametrage!$M$2,VALO_AMO!$AI$7,IF(M13=parametrage!$M$3,VALO_AMO!$AO$7,"à définir"))</f>
        <v>à définir</v>
      </c>
      <c r="T13" s="41">
        <f>IFERROR(IF(OR($M13=parametrage!$M$2,$M13=parametrage!$M$3),VALO_AMO!$S13*VALO_AMO!$L13*VALO_PERSO!AD$12/VALO_PERSO!$AF$12,0),0)</f>
        <v>0</v>
      </c>
      <c r="U13" s="41"/>
      <c r="V13" s="80">
        <f t="shared" si="3"/>
        <v>0</v>
      </c>
      <c r="X13" s="93" t="str">
        <f>IF(M13=parametrage!$M$2,VALO_AMO!$AI$10,IF(M13=parametrage!$M$3,VALO_AMO!$AO$10,"à définir"))</f>
        <v>à définir</v>
      </c>
      <c r="Y13" s="41">
        <f>IFERROR(IF(OR($M13=parametrage!$M$2,$M13=parametrage!$M$3),VALO_AMO!$X13*VALO_AMO!$L13*VALO_PERSO!AI$12/VALO_PERSO!$AK$12,0),0)</f>
        <v>0</v>
      </c>
      <c r="Z13" s="41"/>
      <c r="AA13" s="80">
        <f t="shared" si="4"/>
        <v>0</v>
      </c>
      <c r="AE13" s="58"/>
      <c r="AF13" s="58"/>
      <c r="AG13" s="58"/>
      <c r="AH13" s="88"/>
      <c r="AI13" s="90"/>
      <c r="AJ13" s="58"/>
      <c r="AK13" s="58"/>
      <c r="AL13" s="58"/>
      <c r="AM13" s="58"/>
      <c r="AN13" s="88"/>
      <c r="AO13" s="90"/>
      <c r="AP13" s="58"/>
    </row>
    <row r="14" spans="2:42" ht="15.75" hidden="1" x14ac:dyDescent="0.3">
      <c r="B14" s="50">
        <f t="shared" si="0"/>
        <v>0</v>
      </c>
      <c r="C14" s="60">
        <f t="shared" si="1"/>
        <v>0</v>
      </c>
      <c r="D14" s="72" t="b">
        <v>0</v>
      </c>
      <c r="E14" s="63"/>
      <c r="F14" s="63"/>
      <c r="G14" s="63"/>
      <c r="H14" s="63"/>
      <c r="I14" s="288"/>
      <c r="J14" s="63"/>
      <c r="K14" s="63"/>
      <c r="L14" s="63"/>
      <c r="M14" s="63" t="s">
        <v>60</v>
      </c>
      <c r="N14" s="93" t="str">
        <f>IF(M14=parametrage!$M$2,VALO_AMO!$AI$4,IF(M14=parametrage!$M$3,VALO_AMO!$AO$4,"à définir"))</f>
        <v>à définir</v>
      </c>
      <c r="O14" s="41">
        <f>IFERROR(IF(OR($M14=parametrage!$M$2,$M14=parametrage!$M$3),VALO_AMO!$N14*VALO_AMO!$L14*VALO_PERSO!Y$12/VALO_PERSO!$AA$12,0),0)</f>
        <v>0</v>
      </c>
      <c r="P14" s="41"/>
      <c r="Q14" s="80">
        <f t="shared" si="2"/>
        <v>0</v>
      </c>
      <c r="R14" s="235"/>
      <c r="S14" s="93" t="str">
        <f>IF(M14=parametrage!$M$2,VALO_AMO!$AI$7,IF(M14=parametrage!$M$3,VALO_AMO!$AO$7,"à définir"))</f>
        <v>à définir</v>
      </c>
      <c r="T14" s="41">
        <f>IFERROR(IF(OR($M14=parametrage!$M$2,$M14=parametrage!$M$3),VALO_AMO!$S14*VALO_AMO!$L14*VALO_PERSO!AD$12/VALO_PERSO!$AF$12,0),0)</f>
        <v>0</v>
      </c>
      <c r="U14" s="41"/>
      <c r="V14" s="80">
        <f t="shared" si="3"/>
        <v>0</v>
      </c>
      <c r="X14" s="93" t="str">
        <f>IF(M14=parametrage!$M$2,VALO_AMO!$AI$10,IF(M14=parametrage!$M$3,VALO_AMO!$AO$10,"à définir"))</f>
        <v>à définir</v>
      </c>
      <c r="Y14" s="41">
        <f>IFERROR(IF(OR($M14=parametrage!$M$2,$M14=parametrage!$M$3),VALO_AMO!$X14*VALO_AMO!$L14*VALO_PERSO!AI$12/VALO_PERSO!$AK$12,0),0)</f>
        <v>0</v>
      </c>
      <c r="Z14" s="41"/>
      <c r="AA14" s="80">
        <f t="shared" si="4"/>
        <v>0</v>
      </c>
      <c r="AE14" s="501" t="s">
        <v>53</v>
      </c>
      <c r="AF14" s="502" t="s">
        <v>59</v>
      </c>
      <c r="AG14" s="59" t="s">
        <v>60</v>
      </c>
      <c r="AH14" s="87">
        <v>0</v>
      </c>
      <c r="AI14" s="503">
        <f>IFERROR(AH14/AH15,0)</f>
        <v>0</v>
      </c>
      <c r="AJ14" s="58"/>
      <c r="AK14" s="58"/>
      <c r="AL14" s="58"/>
      <c r="AM14" s="58"/>
      <c r="AN14" s="88"/>
      <c r="AO14" s="90"/>
      <c r="AP14" s="58"/>
    </row>
    <row r="15" spans="2:42" ht="15.75" hidden="1" x14ac:dyDescent="0.3">
      <c r="B15" s="50">
        <f t="shared" si="0"/>
        <v>0</v>
      </c>
      <c r="C15" s="60">
        <f t="shared" si="1"/>
        <v>0</v>
      </c>
      <c r="D15" s="72" t="b">
        <v>0</v>
      </c>
      <c r="E15" s="63"/>
      <c r="F15" s="63"/>
      <c r="G15" s="63"/>
      <c r="H15" s="63"/>
      <c r="I15" s="288"/>
      <c r="J15" s="63"/>
      <c r="K15" s="63"/>
      <c r="L15" s="63"/>
      <c r="M15" s="63" t="s">
        <v>60</v>
      </c>
      <c r="N15" s="93" t="str">
        <f>IF(M15=parametrage!$M$2,VALO_AMO!$AI$4,IF(M15=parametrage!$M$3,VALO_AMO!$AO$4,"à définir"))</f>
        <v>à définir</v>
      </c>
      <c r="O15" s="41">
        <f>IFERROR(IF(OR($M15=parametrage!$M$2,$M15=parametrage!$M$3),VALO_AMO!$N15*VALO_AMO!$L15*VALO_PERSO!Y$12/VALO_PERSO!$AA$12,0),0)</f>
        <v>0</v>
      </c>
      <c r="P15" s="41"/>
      <c r="Q15" s="80">
        <f t="shared" si="2"/>
        <v>0</v>
      </c>
      <c r="R15" s="235"/>
      <c r="S15" s="93" t="str">
        <f>IF(M15=parametrage!$M$2,VALO_AMO!$AI$7,IF(M15=parametrage!$M$3,VALO_AMO!$AO$7,"à définir"))</f>
        <v>à définir</v>
      </c>
      <c r="T15" s="41">
        <f>IFERROR(IF(OR($M15=parametrage!$M$2,$M15=parametrage!$M$3),VALO_AMO!$S15*VALO_AMO!$L15*VALO_PERSO!AD$12/VALO_PERSO!$AF$12,0),0)</f>
        <v>0</v>
      </c>
      <c r="U15" s="41"/>
      <c r="V15" s="80">
        <f t="shared" si="3"/>
        <v>0</v>
      </c>
      <c r="X15" s="93" t="str">
        <f>IF(M15=parametrage!$M$2,VALO_AMO!$AI$10,IF(M15=parametrage!$M$3,VALO_AMO!$AO$10,"à définir"))</f>
        <v>à définir</v>
      </c>
      <c r="Y15" s="41">
        <f>IFERROR(IF(OR($M15=parametrage!$M$2,$M15=parametrage!$M$3),VALO_AMO!$X15*VALO_AMO!$L15*VALO_PERSO!AI$12/VALO_PERSO!$AK$12,0),0)</f>
        <v>0</v>
      </c>
      <c r="Z15" s="41"/>
      <c r="AA15" s="80">
        <f t="shared" si="4"/>
        <v>0</v>
      </c>
      <c r="AE15" s="501"/>
      <c r="AF15" s="502"/>
      <c r="AG15" s="59" t="s">
        <v>60</v>
      </c>
      <c r="AH15" s="87">
        <v>0</v>
      </c>
      <c r="AI15" s="503"/>
      <c r="AJ15" s="58"/>
      <c r="AK15" s="58"/>
      <c r="AL15" s="58"/>
      <c r="AM15" s="58"/>
      <c r="AN15" s="88"/>
      <c r="AO15" s="90"/>
      <c r="AP15" s="58"/>
    </row>
    <row r="16" spans="2:42" ht="15.75" hidden="1" x14ac:dyDescent="0.3">
      <c r="B16" s="50">
        <f t="shared" si="0"/>
        <v>0</v>
      </c>
      <c r="C16" s="60">
        <f t="shared" si="1"/>
        <v>0</v>
      </c>
      <c r="D16" s="72" t="b">
        <v>0</v>
      </c>
      <c r="E16" s="63"/>
      <c r="F16" s="63"/>
      <c r="G16" s="63"/>
      <c r="H16" s="63"/>
      <c r="I16" s="288"/>
      <c r="J16" s="63"/>
      <c r="K16" s="63"/>
      <c r="L16" s="63"/>
      <c r="M16" s="63" t="s">
        <v>60</v>
      </c>
      <c r="N16" s="93" t="str">
        <f>IF(M16=parametrage!$M$2,VALO_AMO!$AI$4,IF(M16=parametrage!$M$3,VALO_AMO!$AO$4,"à définir"))</f>
        <v>à définir</v>
      </c>
      <c r="O16" s="41">
        <f>IFERROR(IF(OR($M16=parametrage!$M$2,$M16=parametrage!$M$3),VALO_AMO!$N16*VALO_AMO!$L16*VALO_PERSO!Y$12/VALO_PERSO!$AA$12,0),0)</f>
        <v>0</v>
      </c>
      <c r="P16" s="41"/>
      <c r="Q16" s="80">
        <f t="shared" si="2"/>
        <v>0</v>
      </c>
      <c r="R16" s="235"/>
      <c r="S16" s="93" t="str">
        <f>IF(M16=parametrage!$M$2,VALO_AMO!$AI$7,IF(M16=parametrage!$M$3,VALO_AMO!$AO$7,"à définir"))</f>
        <v>à définir</v>
      </c>
      <c r="T16" s="41">
        <f>IFERROR(IF(OR($M16=parametrage!$M$2,$M16=parametrage!$M$3),VALO_AMO!$S16*VALO_AMO!$L16*VALO_PERSO!AD$12/VALO_PERSO!$AF$12,0),0)</f>
        <v>0</v>
      </c>
      <c r="U16" s="41"/>
      <c r="V16" s="80">
        <f t="shared" si="3"/>
        <v>0</v>
      </c>
      <c r="X16" s="93" t="str">
        <f>IF(M16=parametrage!$M$2,VALO_AMO!$AI$10,IF(M16=parametrage!$M$3,VALO_AMO!$AO$10,"à définir"))</f>
        <v>à définir</v>
      </c>
      <c r="Y16" s="41">
        <f>IFERROR(IF(OR($M16=parametrage!$M$2,$M16=parametrage!$M$3),VALO_AMO!$X16*VALO_AMO!$L16*VALO_PERSO!AI$12/VALO_PERSO!$AK$12,0),0)</f>
        <v>0</v>
      </c>
      <c r="Z16" s="41"/>
      <c r="AA16" s="80">
        <f t="shared" si="4"/>
        <v>0</v>
      </c>
    </row>
    <row r="17" spans="1:27" ht="15.75" hidden="1" x14ac:dyDescent="0.3">
      <c r="B17" s="50">
        <f t="shared" si="0"/>
        <v>0</v>
      </c>
      <c r="C17" s="60">
        <f t="shared" si="1"/>
        <v>0</v>
      </c>
      <c r="D17" s="72" t="b">
        <v>0</v>
      </c>
      <c r="E17" s="63"/>
      <c r="F17" s="63"/>
      <c r="G17" s="63"/>
      <c r="H17" s="63"/>
      <c r="I17" s="288"/>
      <c r="J17" s="63"/>
      <c r="K17" s="63"/>
      <c r="L17" s="63"/>
      <c r="M17" s="63" t="s">
        <v>60</v>
      </c>
      <c r="N17" s="93" t="str">
        <f>IF(M17=parametrage!$M$2,VALO_AMO!$AI$4,IF(M17=parametrage!$M$3,VALO_AMO!$AO$4,"à définir"))</f>
        <v>à définir</v>
      </c>
      <c r="O17" s="41">
        <f>IFERROR(IF(OR($M17=parametrage!$M$2,$M17=parametrage!$M$3),VALO_AMO!$N17*VALO_AMO!$L17*VALO_PERSO!Y$12/VALO_PERSO!$AA$12,0),0)</f>
        <v>0</v>
      </c>
      <c r="P17" s="41"/>
      <c r="Q17" s="80">
        <f t="shared" si="2"/>
        <v>0</v>
      </c>
      <c r="R17" s="235"/>
      <c r="S17" s="93" t="str">
        <f>IF(M17=parametrage!$M$2,VALO_AMO!$AI$7,IF(M17=parametrage!$M$3,VALO_AMO!$AO$7,"à définir"))</f>
        <v>à définir</v>
      </c>
      <c r="T17" s="41">
        <f>IFERROR(IF(OR($M17=parametrage!$M$2,$M17=parametrage!$M$3),VALO_AMO!$S17*VALO_AMO!$L17*VALO_PERSO!AD$12/VALO_PERSO!$AF$12,0),0)</f>
        <v>0</v>
      </c>
      <c r="U17" s="41"/>
      <c r="V17" s="80">
        <f t="shared" si="3"/>
        <v>0</v>
      </c>
      <c r="X17" s="93" t="str">
        <f>IF(M17=parametrage!$M$2,VALO_AMO!$AI$10,IF(M17=parametrage!$M$3,VALO_AMO!$AO$10,"à définir"))</f>
        <v>à définir</v>
      </c>
      <c r="Y17" s="41">
        <f>IFERROR(IF(OR($M17=parametrage!$M$2,$M17=parametrage!$M$3),VALO_AMO!$X17*VALO_AMO!$L17*VALO_PERSO!AI$12/VALO_PERSO!$AK$12,0),0)</f>
        <v>0</v>
      </c>
      <c r="Z17" s="41"/>
      <c r="AA17" s="80">
        <f t="shared" si="4"/>
        <v>0</v>
      </c>
    </row>
    <row r="18" spans="1:27" ht="15.75" hidden="1" x14ac:dyDescent="0.3">
      <c r="B18" s="50">
        <f t="shared" si="0"/>
        <v>0</v>
      </c>
      <c r="C18" s="60">
        <f t="shared" si="1"/>
        <v>0</v>
      </c>
      <c r="D18" s="72" t="b">
        <v>0</v>
      </c>
      <c r="E18" s="63"/>
      <c r="F18" s="63"/>
      <c r="G18" s="63"/>
      <c r="H18" s="63"/>
      <c r="I18" s="288"/>
      <c r="J18" s="63"/>
      <c r="K18" s="63"/>
      <c r="L18" s="63"/>
      <c r="M18" s="63" t="s">
        <v>60</v>
      </c>
      <c r="N18" s="93" t="str">
        <f>IF(M18=parametrage!$M$2,VALO_AMO!$AI$4,IF(M18=parametrage!$M$3,VALO_AMO!$AO$4,"à définir"))</f>
        <v>à définir</v>
      </c>
      <c r="O18" s="41">
        <f>IFERROR(IF(OR($M18=parametrage!$M$2,$M18=parametrage!$M$3),VALO_AMO!$N18*VALO_AMO!$L18*VALO_PERSO!Y$12/VALO_PERSO!$AA$12,0),0)</f>
        <v>0</v>
      </c>
      <c r="P18" s="41"/>
      <c r="Q18" s="80">
        <f t="shared" si="2"/>
        <v>0</v>
      </c>
      <c r="R18" s="235"/>
      <c r="S18" s="93" t="str">
        <f>IF(M18=parametrage!$M$2,VALO_AMO!$AI$7,IF(M18=parametrage!$M$3,VALO_AMO!$AO$7,"à définir"))</f>
        <v>à définir</v>
      </c>
      <c r="T18" s="41">
        <f>IFERROR(IF(OR($M18=parametrage!$M$2,$M18=parametrage!$M$3),VALO_AMO!$S18*VALO_AMO!$L18*VALO_PERSO!AD$12/VALO_PERSO!$AF$12,0),0)</f>
        <v>0</v>
      </c>
      <c r="U18" s="41"/>
      <c r="V18" s="80">
        <f t="shared" si="3"/>
        <v>0</v>
      </c>
      <c r="X18" s="93" t="str">
        <f>IF(M18=parametrage!$M$2,VALO_AMO!$AI$10,IF(M18=parametrage!$M$3,VALO_AMO!$AO$10,"à définir"))</f>
        <v>à définir</v>
      </c>
      <c r="Y18" s="41">
        <f>IFERROR(IF(OR($M18=parametrage!$M$2,$M18=parametrage!$M$3),VALO_AMO!$X18*VALO_AMO!$L18*VALO_PERSO!AI$12/VALO_PERSO!$AK$12,0),0)</f>
        <v>0</v>
      </c>
      <c r="Z18" s="41"/>
      <c r="AA18" s="80">
        <f t="shared" si="4"/>
        <v>0</v>
      </c>
    </row>
    <row r="19" spans="1:27" ht="15.75" hidden="1" x14ac:dyDescent="0.3">
      <c r="B19" s="50">
        <f t="shared" si="0"/>
        <v>0</v>
      </c>
      <c r="C19" s="60">
        <f t="shared" si="1"/>
        <v>0</v>
      </c>
      <c r="D19" s="72" t="b">
        <v>0</v>
      </c>
      <c r="E19" s="63"/>
      <c r="F19" s="63"/>
      <c r="G19" s="63"/>
      <c r="H19" s="63"/>
      <c r="I19" s="288"/>
      <c r="J19" s="63"/>
      <c r="K19" s="63"/>
      <c r="L19" s="63"/>
      <c r="M19" s="63" t="s">
        <v>60</v>
      </c>
      <c r="N19" s="93" t="str">
        <f>IF(M19=parametrage!$M$2,VALO_AMO!$AI$4,IF(M19=parametrage!$M$3,VALO_AMO!$AO$4,"à définir"))</f>
        <v>à définir</v>
      </c>
      <c r="O19" s="41">
        <f>IFERROR(IF(OR($M19=parametrage!$M$2,$M19=parametrage!$M$3),VALO_AMO!$N19*VALO_AMO!$L19*VALO_PERSO!Y$12/VALO_PERSO!$AA$12,0),0)</f>
        <v>0</v>
      </c>
      <c r="P19" s="41"/>
      <c r="Q19" s="80">
        <f t="shared" si="2"/>
        <v>0</v>
      </c>
      <c r="R19" s="235"/>
      <c r="S19" s="93" t="str">
        <f>IF(M19=parametrage!$M$2,VALO_AMO!$AI$7,IF(M19=parametrage!$M$3,VALO_AMO!$AO$7,"à définir"))</f>
        <v>à définir</v>
      </c>
      <c r="T19" s="41">
        <f>IFERROR(IF(OR($M19=parametrage!$M$2,$M19=parametrage!$M$3),VALO_AMO!$S19*VALO_AMO!$L19*VALO_PERSO!AD$12/VALO_PERSO!$AF$12,0),0)</f>
        <v>0</v>
      </c>
      <c r="U19" s="41"/>
      <c r="V19" s="80">
        <f t="shared" si="3"/>
        <v>0</v>
      </c>
      <c r="X19" s="93" t="str">
        <f>IF(M19=parametrage!$M$2,VALO_AMO!$AI$10,IF(M19=parametrage!$M$3,VALO_AMO!$AO$10,"à définir"))</f>
        <v>à définir</v>
      </c>
      <c r="Y19" s="41">
        <f>IFERROR(IF(OR($M19=parametrage!$M$2,$M19=parametrage!$M$3),VALO_AMO!$X19*VALO_AMO!$L19*VALO_PERSO!AI$12/VALO_PERSO!$AK$12,0),0)</f>
        <v>0</v>
      </c>
      <c r="Z19" s="41"/>
      <c r="AA19" s="80">
        <f t="shared" si="4"/>
        <v>0</v>
      </c>
    </row>
    <row r="20" spans="1:27" ht="15.75" hidden="1" x14ac:dyDescent="0.3">
      <c r="A20" s="43" t="s">
        <v>867</v>
      </c>
      <c r="B20" s="50">
        <f t="shared" si="0"/>
        <v>0</v>
      </c>
      <c r="C20" s="60">
        <f t="shared" si="1"/>
        <v>0</v>
      </c>
      <c r="D20" s="72" t="b">
        <v>0</v>
      </c>
      <c r="E20" s="63"/>
      <c r="F20" s="63"/>
      <c r="G20" s="63"/>
      <c r="H20" s="63"/>
      <c r="I20" s="288"/>
      <c r="J20" s="63"/>
      <c r="K20" s="63"/>
      <c r="L20" s="63"/>
      <c r="M20" s="63" t="s">
        <v>60</v>
      </c>
      <c r="N20" s="93" t="str">
        <f>IF(M20=parametrage!$M$2,VALO_AMO!$AI$4,IF(M20=parametrage!$M$3,VALO_AMO!$AO$4,"à définir"))</f>
        <v>à définir</v>
      </c>
      <c r="O20" s="41">
        <f>IFERROR(IF(OR($M20=parametrage!$M$2,$M20=parametrage!$M$3),VALO_AMO!$N20*VALO_AMO!$L20*VALO_PERSO!Y$12/VALO_PERSO!$AA$12,0),0)</f>
        <v>0</v>
      </c>
      <c r="P20" s="41"/>
      <c r="Q20" s="80">
        <f t="shared" si="2"/>
        <v>0</v>
      </c>
      <c r="R20" s="235"/>
      <c r="S20" s="93" t="str">
        <f>IF(M20=parametrage!$M$2,VALO_AMO!$AI$7,IF(M20=parametrage!$M$3,VALO_AMO!$AO$7,"à définir"))</f>
        <v>à définir</v>
      </c>
      <c r="T20" s="41">
        <f>IFERROR(IF(OR($M20=parametrage!$M$2,$M20=parametrage!$M$3),VALO_AMO!$S20*VALO_AMO!$L20*VALO_PERSO!AD$12/VALO_PERSO!$AF$12,0),0)</f>
        <v>0</v>
      </c>
      <c r="U20" s="41"/>
      <c r="V20" s="80">
        <f t="shared" si="3"/>
        <v>0</v>
      </c>
      <c r="X20" s="93" t="str">
        <f>IF(M20=parametrage!$M$2,VALO_AMO!$AI$10,IF(M20=parametrage!$M$3,VALO_AMO!$AO$10,"à définir"))</f>
        <v>à définir</v>
      </c>
      <c r="Y20" s="41">
        <f>IFERROR(IF(OR($M20=parametrage!$M$2,$M20=parametrage!$M$3),VALO_AMO!$X20*VALO_AMO!$L20*VALO_PERSO!AI$12/VALO_PERSO!$AK$12,0),0)</f>
        <v>0</v>
      </c>
      <c r="Z20" s="41"/>
      <c r="AA20" s="80">
        <f t="shared" si="4"/>
        <v>0</v>
      </c>
    </row>
    <row r="21" spans="1:27" ht="15.75" hidden="1" x14ac:dyDescent="0.3">
      <c r="B21" s="50">
        <f t="shared" si="0"/>
        <v>0</v>
      </c>
      <c r="C21" s="60">
        <f t="shared" si="1"/>
        <v>0</v>
      </c>
      <c r="D21" s="72" t="b">
        <v>0</v>
      </c>
      <c r="E21" s="63"/>
      <c r="F21" s="63"/>
      <c r="G21" s="63"/>
      <c r="H21" s="63"/>
      <c r="I21" s="288"/>
      <c r="J21" s="63"/>
      <c r="K21" s="63"/>
      <c r="L21" s="63"/>
      <c r="M21" s="63" t="s">
        <v>60</v>
      </c>
      <c r="N21" s="93" t="str">
        <f>IF(M21=parametrage!$M$2,VALO_AMO!$AI$4,IF(M21=parametrage!$M$3,VALO_AMO!$AO$4,"à définir"))</f>
        <v>à définir</v>
      </c>
      <c r="O21" s="41">
        <f>IFERROR(IF(OR($M21=parametrage!$M$2,$M21=parametrage!$M$3),VALO_AMO!$N21*VALO_AMO!$L21*VALO_PERSO!Y$12/VALO_PERSO!$AA$12,0),0)</f>
        <v>0</v>
      </c>
      <c r="P21" s="41"/>
      <c r="Q21" s="80">
        <f t="shared" si="2"/>
        <v>0</v>
      </c>
      <c r="R21" s="235"/>
      <c r="S21" s="93" t="str">
        <f>IF(M21=parametrage!$M$2,VALO_AMO!$AI$7,IF(M21=parametrage!$M$3,VALO_AMO!$AO$7,"à définir"))</f>
        <v>à définir</v>
      </c>
      <c r="T21" s="41">
        <f>IFERROR(IF(OR($M21=parametrage!$M$2,$M21=parametrage!$M$3),VALO_AMO!$S21*VALO_AMO!$L21*VALO_PERSO!AD$12/VALO_PERSO!$AF$12,0),0)</f>
        <v>0</v>
      </c>
      <c r="U21" s="41"/>
      <c r="V21" s="80">
        <f t="shared" si="3"/>
        <v>0</v>
      </c>
      <c r="X21" s="93" t="str">
        <f>IF(M21=parametrage!$M$2,VALO_AMO!$AI$10,IF(M21=parametrage!$M$3,VALO_AMO!$AO$10,"à définir"))</f>
        <v>à définir</v>
      </c>
      <c r="Y21" s="41">
        <f>IFERROR(IF(OR($M21=parametrage!$M$2,$M21=parametrage!$M$3),VALO_AMO!$X21*VALO_AMO!$L21*VALO_PERSO!AI$12/VALO_PERSO!$AK$12,0),0)</f>
        <v>0</v>
      </c>
      <c r="Z21" s="41"/>
      <c r="AA21" s="80">
        <f t="shared" si="4"/>
        <v>0</v>
      </c>
    </row>
    <row r="22" spans="1:27" ht="15.75" thickBot="1" x14ac:dyDescent="0.3">
      <c r="D22" s="61"/>
      <c r="E22" s="62"/>
      <c r="F22" s="62"/>
      <c r="G22" s="62"/>
      <c r="H22" s="62"/>
      <c r="I22" s="62"/>
      <c r="J22" s="62"/>
      <c r="K22" s="62"/>
      <c r="L22" s="62"/>
      <c r="M22" s="62"/>
      <c r="N22" s="65" t="s">
        <v>469</v>
      </c>
      <c r="O22" s="66">
        <f>SUM(O4:O21)</f>
        <v>0</v>
      </c>
      <c r="P22" s="68">
        <f>SUM(P4:P21)</f>
        <v>0</v>
      </c>
      <c r="Q22" s="66">
        <f>SUM(Q4:Q21)</f>
        <v>0</v>
      </c>
      <c r="R22" s="236"/>
      <c r="S22" s="65"/>
      <c r="T22" s="66">
        <f>SUM(T4:T21)</f>
        <v>1803.8582636643459</v>
      </c>
      <c r="U22" s="68">
        <f>SUM(U4:U21)</f>
        <v>0</v>
      </c>
      <c r="V22" s="66">
        <f>SUM(V4:V21)</f>
        <v>1803.8582636643459</v>
      </c>
      <c r="X22" s="65"/>
      <c r="Y22" s="66">
        <f>SUM(Y4:Y21)</f>
        <v>0</v>
      </c>
      <c r="Z22" s="68">
        <f>SUM(Z4:Z21)</f>
        <v>0</v>
      </c>
      <c r="AA22" s="66">
        <f>SUM(AA4:AA21)</f>
        <v>0</v>
      </c>
    </row>
    <row r="23" spans="1:27" ht="15.75" thickBot="1" x14ac:dyDescent="0.3"/>
    <row r="24" spans="1:27" ht="15.75" thickBot="1" x14ac:dyDescent="0.3">
      <c r="I24" s="44"/>
      <c r="J24" s="45"/>
      <c r="K24" s="45"/>
      <c r="L24" s="45"/>
      <c r="M24" s="45"/>
      <c r="N24" s="96" t="s">
        <v>470</v>
      </c>
      <c r="O24" s="66">
        <f>SUMIF(M:M,parametrage!$M$6,VALO_AMO!O:O)</f>
        <v>0</v>
      </c>
      <c r="Q24" s="66">
        <f>SUM(O24:P24)</f>
        <v>0</v>
      </c>
      <c r="R24" s="232"/>
    </row>
    <row r="25" spans="1:27" ht="15.75" thickBot="1" x14ac:dyDescent="0.3"/>
    <row r="26" spans="1:27" ht="15.75" thickBot="1" x14ac:dyDescent="0.3">
      <c r="I26" s="44"/>
      <c r="J26" s="45"/>
      <c r="K26" s="45"/>
      <c r="L26" s="45"/>
      <c r="M26" s="45"/>
      <c r="N26" s="96" t="s">
        <v>471</v>
      </c>
      <c r="O26" s="66">
        <f>O22-O24</f>
        <v>0</v>
      </c>
      <c r="Q26" s="66">
        <f>SUM(O26:P26)</f>
        <v>0</v>
      </c>
      <c r="R26" s="232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B1:C1048576" name="Plage1"/>
  </protectedRanges>
  <mergeCells count="21">
    <mergeCell ref="AK10:AK11"/>
    <mergeCell ref="AL10:AL11"/>
    <mergeCell ref="AO10:AO11"/>
    <mergeCell ref="AO4:AO5"/>
    <mergeCell ref="AE7:AE8"/>
    <mergeCell ref="AF7:AF8"/>
    <mergeCell ref="AI7:AI8"/>
    <mergeCell ref="AK7:AK8"/>
    <mergeCell ref="AL7:AL8"/>
    <mergeCell ref="AO7:AO8"/>
    <mergeCell ref="AF4:AF5"/>
    <mergeCell ref="AI4:AI5"/>
    <mergeCell ref="AE4:AE5"/>
    <mergeCell ref="AK4:AK5"/>
    <mergeCell ref="AL4:AL5"/>
    <mergeCell ref="AE14:AE15"/>
    <mergeCell ref="AF14:AF15"/>
    <mergeCell ref="AI14:AI15"/>
    <mergeCell ref="AE10:AE11"/>
    <mergeCell ref="AF10:AF11"/>
    <mergeCell ref="AI10:AI11"/>
  </mergeCells>
  <phoneticPr fontId="8" type="noConversion"/>
  <conditionalFormatting sqref="D11:L21 D4:G4 I5:K5 G5 G6:L10 D5:F10">
    <cfRule type="expression" dxfId="67" priority="5">
      <formula>$B4=1</formula>
    </cfRule>
  </conditionalFormatting>
  <conditionalFormatting sqref="D4:G4 F5:F10">
    <cfRule type="expression" dxfId="66" priority="4">
      <formula>$C4=1</formula>
    </cfRule>
  </conditionalFormatting>
  <conditionalFormatting sqref="G1 G3:G1048576">
    <cfRule type="duplicateValues" dxfId="65" priority="3"/>
  </conditionalFormatting>
  <conditionalFormatting sqref="H4:L4 L5 H5">
    <cfRule type="expression" dxfId="64" priority="2">
      <formula>$B4=1</formula>
    </cfRule>
  </conditionalFormatting>
  <conditionalFormatting sqref="H4:L4 L5 H5">
    <cfRule type="expression" dxfId="63" priority="1">
      <formula>$C4=1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Button 3">
              <controlPr defaultSize="0" print="0" autoFill="0" autoPict="0" macro="[0]!InsererColonneMultipl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Extraire_Immo_Tableau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352425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Module14.DupliquerLignesAvecTexteDansToutesFeuilles">
                <anchor moveWithCells="1" sizeWithCells="1">
                  <from>
                    <xdr:col>3</xdr:col>
                    <xdr:colOff>38100</xdr:colOff>
                    <xdr:row>0</xdr:row>
                    <xdr:rowOff>123825</xdr:rowOff>
                  </from>
                  <to>
                    <xdr:col>5</xdr:col>
                    <xdr:colOff>542925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18BFE7-4DBA-4864-8A77-B50FD5935756}">
          <x14:formula1>
            <xm:f>parametrage!$M$2:$M$7</xm:f>
          </x14:formula1>
          <xm:sqref>M4:M21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83B82-231A-453E-8115-242880E1C059}">
  <dimension ref="A1:I14"/>
  <sheetViews>
    <sheetView workbookViewId="0">
      <selection activeCell="H18" sqref="H18"/>
    </sheetView>
  </sheetViews>
  <sheetFormatPr baseColWidth="10" defaultRowHeight="15" x14ac:dyDescent="0.25"/>
  <cols>
    <col min="1" max="1" width="20.7109375" bestFit="1" customWidth="1"/>
    <col min="2" max="2" width="23.7109375" bestFit="1" customWidth="1"/>
    <col min="3" max="3" width="12.28515625" bestFit="1" customWidth="1"/>
    <col min="4" max="5" width="11.7109375" bestFit="1" customWidth="1"/>
    <col min="6" max="6" width="11.7109375" customWidth="1"/>
    <col min="7" max="7" width="12.28515625" bestFit="1" customWidth="1"/>
    <col min="8" max="8" width="11.28515625" bestFit="1" customWidth="1"/>
    <col min="9" max="9" width="10.28515625" bestFit="1" customWidth="1"/>
    <col min="10" max="10" width="11" bestFit="1" customWidth="1"/>
    <col min="11" max="11" width="12" bestFit="1" customWidth="1"/>
    <col min="12" max="12" width="12.28515625" bestFit="1" customWidth="1"/>
  </cols>
  <sheetData>
    <row r="1" spans="1:9" x14ac:dyDescent="0.25">
      <c r="A1" t="s">
        <v>569</v>
      </c>
      <c r="B1" t="s">
        <v>15</v>
      </c>
    </row>
    <row r="3" spans="1:9" x14ac:dyDescent="0.25">
      <c r="A3" t="s">
        <v>916</v>
      </c>
      <c r="D3" t="s">
        <v>917</v>
      </c>
      <c r="H3" s="470"/>
      <c r="I3" s="470"/>
    </row>
    <row r="4" spans="1:9" x14ac:dyDescent="0.25">
      <c r="A4" t="s">
        <v>366</v>
      </c>
      <c r="B4" t="s">
        <v>367</v>
      </c>
      <c r="C4" t="s">
        <v>918</v>
      </c>
      <c r="D4" t="s">
        <v>485</v>
      </c>
      <c r="E4" t="s">
        <v>482</v>
      </c>
      <c r="F4" t="s">
        <v>919</v>
      </c>
      <c r="G4" t="s">
        <v>335</v>
      </c>
      <c r="H4" s="471" t="s">
        <v>920</v>
      </c>
      <c r="I4" s="471" t="s">
        <v>921</v>
      </c>
    </row>
    <row r="5" spans="1:9" x14ac:dyDescent="0.25">
      <c r="A5">
        <v>1</v>
      </c>
      <c r="B5" t="s">
        <v>877</v>
      </c>
      <c r="C5" t="s">
        <v>886</v>
      </c>
      <c r="D5" s="77">
        <v>24662.519999999997</v>
      </c>
      <c r="E5" s="77">
        <v>57874.48</v>
      </c>
      <c r="F5" s="77"/>
      <c r="G5" s="77">
        <v>82537</v>
      </c>
      <c r="H5" s="77">
        <v>25625.209999999995</v>
      </c>
      <c r="I5" s="77">
        <f>VLOOKUP(A5,[2]Analyse!R:Z,9,0)</f>
        <v>1680</v>
      </c>
    </row>
    <row r="6" spans="1:9" x14ac:dyDescent="0.25">
      <c r="A6">
        <v>2</v>
      </c>
      <c r="B6" t="s">
        <v>878</v>
      </c>
      <c r="C6" t="s">
        <v>887</v>
      </c>
      <c r="D6" s="77">
        <v>29464.979999999996</v>
      </c>
      <c r="E6" s="77">
        <v>69999.960000000006</v>
      </c>
      <c r="F6" s="77"/>
      <c r="G6" s="77">
        <v>99464.94</v>
      </c>
      <c r="H6" s="77">
        <v>30619.5</v>
      </c>
      <c r="I6" s="77">
        <f>VLOOKUP(A6,[2]Analyse!R:Z,9,0)</f>
        <v>1728</v>
      </c>
    </row>
    <row r="7" spans="1:9" x14ac:dyDescent="0.25">
      <c r="A7">
        <v>5</v>
      </c>
      <c r="B7" t="s">
        <v>922</v>
      </c>
      <c r="C7" t="s">
        <v>888</v>
      </c>
      <c r="D7" s="77">
        <v>684.74999999999977</v>
      </c>
      <c r="E7" s="77">
        <v>11582.02</v>
      </c>
      <c r="F7" s="77"/>
      <c r="G7" s="77">
        <v>12266.77</v>
      </c>
      <c r="H7" s="77">
        <v>732.9399999999996</v>
      </c>
      <c r="I7" s="77">
        <f>VLOOKUP(A7,[2]Analyse!R:Z,9,0)</f>
        <v>1040.69</v>
      </c>
    </row>
    <row r="8" spans="1:9" x14ac:dyDescent="0.25">
      <c r="A8">
        <v>9</v>
      </c>
      <c r="B8" t="s">
        <v>879</v>
      </c>
      <c r="C8" t="s">
        <v>889</v>
      </c>
      <c r="D8" s="77">
        <v>13887.550000000001</v>
      </c>
      <c r="E8" s="77">
        <v>35957.25</v>
      </c>
      <c r="F8" s="77"/>
      <c r="G8" s="77">
        <v>49844.800000000003</v>
      </c>
      <c r="H8" s="77">
        <v>14492.34</v>
      </c>
      <c r="I8" s="77">
        <f>VLOOKUP(A8,[2]Analyse!R:Z,9,0)</f>
        <v>1704</v>
      </c>
    </row>
    <row r="9" spans="1:9" x14ac:dyDescent="0.25">
      <c r="A9">
        <v>10</v>
      </c>
      <c r="B9" t="s">
        <v>880</v>
      </c>
      <c r="C9" t="s">
        <v>890</v>
      </c>
      <c r="D9" s="77">
        <v>15306.559999999998</v>
      </c>
      <c r="E9" s="77">
        <v>39999.96</v>
      </c>
      <c r="F9" s="77">
        <v>522.4</v>
      </c>
      <c r="G9" s="77">
        <v>55828.92</v>
      </c>
      <c r="H9" s="77">
        <v>15979.279999999999</v>
      </c>
      <c r="I9" s="77">
        <f>VLOOKUP(A9,[2]Analyse!R:Z,9,0)</f>
        <v>1824</v>
      </c>
    </row>
    <row r="10" spans="1:9" x14ac:dyDescent="0.25">
      <c r="A10">
        <v>12</v>
      </c>
      <c r="B10" t="s">
        <v>881</v>
      </c>
      <c r="C10" t="s">
        <v>891</v>
      </c>
      <c r="D10" s="77">
        <v>15267.559999999998</v>
      </c>
      <c r="E10" s="77">
        <v>39999.96</v>
      </c>
      <c r="F10" s="77">
        <v>129.05000000000001</v>
      </c>
      <c r="G10" s="77">
        <v>55396.57</v>
      </c>
      <c r="H10" s="77">
        <v>15940.279999999999</v>
      </c>
      <c r="I10" s="77">
        <f>VLOOKUP(A10,[2]Analyse!R:Z,9,0)</f>
        <v>1776</v>
      </c>
    </row>
    <row r="11" spans="1:9" x14ac:dyDescent="0.25">
      <c r="A11">
        <v>19</v>
      </c>
      <c r="B11" t="s">
        <v>882</v>
      </c>
      <c r="C11" t="s">
        <v>892</v>
      </c>
      <c r="D11" s="77">
        <v>1015.9700000000003</v>
      </c>
      <c r="E11" s="77">
        <v>12216.73</v>
      </c>
      <c r="F11" s="77"/>
      <c r="G11" s="77">
        <v>13232.7</v>
      </c>
      <c r="H11" s="77">
        <v>1217.0900000000004</v>
      </c>
      <c r="I11" s="77">
        <f>VLOOKUP(A11,[2]Analyse!R:Z,9,0)</f>
        <v>1578.54</v>
      </c>
    </row>
    <row r="12" spans="1:9" x14ac:dyDescent="0.25">
      <c r="A12">
        <v>22</v>
      </c>
      <c r="B12" t="s">
        <v>883</v>
      </c>
      <c r="C12" t="s">
        <v>893</v>
      </c>
      <c r="D12" s="77">
        <v>544.61</v>
      </c>
      <c r="E12" s="77">
        <v>2557.83</v>
      </c>
      <c r="F12" s="77"/>
      <c r="G12" s="77">
        <v>3102.44</v>
      </c>
      <c r="H12" s="77">
        <v>545.58999999999992</v>
      </c>
      <c r="I12" s="77">
        <f>VLOOKUP(A12,[2]Analyse!R:Z,9,0)</f>
        <v>574.01</v>
      </c>
    </row>
    <row r="13" spans="1:9" x14ac:dyDescent="0.25">
      <c r="A13">
        <v>24</v>
      </c>
      <c r="B13" t="s">
        <v>884</v>
      </c>
      <c r="C13" t="s">
        <v>894</v>
      </c>
      <c r="D13" s="77">
        <v>332.75999999999988</v>
      </c>
      <c r="E13" s="77">
        <v>3477.82</v>
      </c>
      <c r="F13" s="77"/>
      <c r="G13" s="77">
        <v>3810.58</v>
      </c>
      <c r="H13" s="77">
        <v>389.99</v>
      </c>
      <c r="I13" s="77">
        <f>VLOOKUP(A13,[2]Analyse!R:Z,9,0)</f>
        <v>546.01</v>
      </c>
    </row>
    <row r="14" spans="1:9" x14ac:dyDescent="0.25">
      <c r="A14" t="s">
        <v>335</v>
      </c>
      <c r="D14" s="77">
        <v>101167.25999999998</v>
      </c>
      <c r="E14" s="77">
        <v>273666.01</v>
      </c>
      <c r="F14" s="77">
        <v>651.45000000000005</v>
      </c>
      <c r="G14" s="77">
        <v>375484.72000000003</v>
      </c>
      <c r="H14" s="472">
        <v>105542.21999999999</v>
      </c>
      <c r="I14" s="472">
        <f>VLOOKUP(A14,[2]Analyse!R:Z,9,0)</f>
        <v>12451.25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9853-231B-40E3-8793-A5171CCFEEBF}">
  <dimension ref="A1:C13"/>
  <sheetViews>
    <sheetView workbookViewId="0">
      <selection activeCell="C17" sqref="C17"/>
    </sheetView>
  </sheetViews>
  <sheetFormatPr baseColWidth="10" defaultRowHeight="15" x14ac:dyDescent="0.25"/>
  <cols>
    <col min="2" max="2" width="20.7109375" bestFit="1" customWidth="1"/>
  </cols>
  <sheetData>
    <row r="1" spans="1:3" ht="15.75" thickBot="1" x14ac:dyDescent="0.3"/>
    <row r="2" spans="1:3" x14ac:dyDescent="0.25">
      <c r="A2" t="s">
        <v>366</v>
      </c>
      <c r="B2" s="473" t="s">
        <v>923</v>
      </c>
      <c r="C2" s="474"/>
    </row>
    <row r="3" spans="1:3" x14ac:dyDescent="0.25">
      <c r="A3">
        <v>1</v>
      </c>
      <c r="B3" s="475" t="s">
        <v>924</v>
      </c>
      <c r="C3" s="476">
        <v>1131</v>
      </c>
    </row>
    <row r="4" spans="1:3" x14ac:dyDescent="0.25">
      <c r="A4">
        <v>2</v>
      </c>
      <c r="B4" s="475" t="s">
        <v>925</v>
      </c>
      <c r="C4" s="476">
        <v>693</v>
      </c>
    </row>
    <row r="5" spans="1:3" x14ac:dyDescent="0.25">
      <c r="A5">
        <v>5</v>
      </c>
      <c r="B5" s="475" t="s">
        <v>926</v>
      </c>
      <c r="C5" s="476">
        <v>221</v>
      </c>
    </row>
    <row r="6" spans="1:3" x14ac:dyDescent="0.25">
      <c r="A6">
        <v>9</v>
      </c>
      <c r="B6" s="475" t="s">
        <v>927</v>
      </c>
      <c r="C6" s="476">
        <v>853</v>
      </c>
    </row>
    <row r="7" spans="1:3" x14ac:dyDescent="0.25">
      <c r="A7">
        <v>10</v>
      </c>
      <c r="B7" s="475" t="s">
        <v>928</v>
      </c>
      <c r="C7" s="476">
        <v>868</v>
      </c>
    </row>
    <row r="8" spans="1:3" x14ac:dyDescent="0.25">
      <c r="A8">
        <v>12</v>
      </c>
      <c r="B8" s="475" t="s">
        <v>929</v>
      </c>
      <c r="C8" s="476">
        <v>145</v>
      </c>
    </row>
    <row r="9" spans="1:3" x14ac:dyDescent="0.25">
      <c r="A9">
        <v>19</v>
      </c>
      <c r="B9" s="475" t="s">
        <v>930</v>
      </c>
      <c r="C9" s="476">
        <v>0</v>
      </c>
    </row>
    <row r="10" spans="1:3" x14ac:dyDescent="0.25">
      <c r="A10">
        <v>22</v>
      </c>
      <c r="B10" s="475" t="s">
        <v>931</v>
      </c>
      <c r="C10" s="476">
        <v>0</v>
      </c>
    </row>
    <row r="11" spans="1:3" ht="15.75" thickBot="1" x14ac:dyDescent="0.3">
      <c r="A11">
        <v>24</v>
      </c>
      <c r="B11" s="477" t="s">
        <v>932</v>
      </c>
      <c r="C11" s="478">
        <v>434</v>
      </c>
    </row>
    <row r="13" spans="1:3" x14ac:dyDescent="0.25">
      <c r="C13">
        <f>SUM(C3:C11)</f>
        <v>4345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953EB-D352-4A1F-AC72-4ACFF8198387}">
  <sheetPr codeName="Feuil5">
    <tabColor theme="7" tint="0.79998168889431442"/>
  </sheetPr>
  <dimension ref="A1:BC16"/>
  <sheetViews>
    <sheetView showGridLines="0" workbookViewId="0">
      <selection activeCell="G5" sqref="G5:G11"/>
    </sheetView>
  </sheetViews>
  <sheetFormatPr baseColWidth="10" defaultColWidth="11.42578125" defaultRowHeight="15" outlineLevelCol="1" x14ac:dyDescent="0.25"/>
  <cols>
    <col min="2" max="2" width="2.28515625" style="60" customWidth="1"/>
    <col min="3" max="3" width="2.5703125" style="60" customWidth="1"/>
    <col min="4" max="4" width="5.7109375" customWidth="1"/>
    <col min="5" max="5" width="8.42578125" customWidth="1"/>
    <col min="6" max="6" width="7.28515625" customWidth="1"/>
    <col min="7" max="7" width="15.85546875" customWidth="1"/>
    <col min="8" max="8" width="15.85546875" customWidth="1" outlineLevel="1"/>
    <col min="9" max="9" width="22.28515625" bestFit="1" customWidth="1"/>
    <col min="10" max="10" width="0" hidden="1" customWidth="1"/>
    <col min="11" max="11" width="10.140625" hidden="1" customWidth="1"/>
    <col min="12" max="12" width="31.7109375" hidden="1" customWidth="1"/>
    <col min="13" max="13" width="13.42578125" hidden="1" customWidth="1"/>
    <col min="14" max="14" width="10.42578125" hidden="1" customWidth="1"/>
    <col min="15" max="15" width="9.42578125" style="74" hidden="1" customWidth="1"/>
    <col min="16" max="16" width="10.7109375" style="77" hidden="1" customWidth="1"/>
    <col min="17" max="17" width="8" style="77" hidden="1" customWidth="1"/>
    <col min="18" max="18" width="8.42578125" style="77" hidden="1" customWidth="1"/>
    <col min="19" max="19" width="8.28515625" hidden="1" customWidth="1"/>
    <col min="20" max="24" width="0" hidden="1" customWidth="1"/>
    <col min="25" max="25" width="0" style="43" hidden="1" customWidth="1" outlineLevel="1"/>
    <col min="26" max="26" width="4.5703125" style="69" hidden="1" customWidth="1" outlineLevel="1"/>
    <col min="27" max="27" width="0" style="43" hidden="1" customWidth="1" outlineLevel="1"/>
    <col min="28" max="28" width="7.7109375" style="43" hidden="1" customWidth="1" outlineLevel="1"/>
    <col min="29" max="29" width="1.7109375" customWidth="1" collapsed="1"/>
    <col min="30" max="30" width="11.5703125" style="43" customWidth="1" outlineLevel="1"/>
    <col min="31" max="31" width="11.5703125" style="69" hidden="1" customWidth="1" outlineLevel="1"/>
    <col min="32" max="32" width="11.5703125" style="43" customWidth="1" outlineLevel="1"/>
    <col min="33" max="33" width="7.140625" style="43" customWidth="1" outlineLevel="1"/>
    <col min="34" max="34" width="1.7109375" customWidth="1"/>
    <col min="35" max="35" width="11.5703125" style="43" hidden="1" customWidth="1" outlineLevel="1"/>
    <col min="36" max="36" width="11.5703125" style="69" hidden="1" customWidth="1" outlineLevel="1"/>
    <col min="37" max="37" width="11.5703125" style="43" hidden="1" customWidth="1" outlineLevel="1"/>
    <col min="38" max="38" width="6.7109375" style="43" hidden="1" customWidth="1" outlineLevel="1"/>
    <col min="39" max="39" width="1.7109375" customWidth="1" collapsed="1"/>
    <col min="40" max="40" width="0" style="43" hidden="1" customWidth="1" outlineLevel="1"/>
    <col min="41" max="41" width="3.7109375" style="69" hidden="1" customWidth="1" outlineLevel="1"/>
    <col min="42" max="42" width="0" style="43" hidden="1" customWidth="1" outlineLevel="1"/>
    <col min="43" max="43" width="1.7109375" customWidth="1" collapsed="1"/>
    <col min="44" max="44" width="11.5703125" style="43" customWidth="1" outlineLevel="1"/>
    <col min="45" max="45" width="11.5703125" style="69" hidden="1" customWidth="1" outlineLevel="1"/>
    <col min="46" max="46" width="11.5703125" style="43" customWidth="1" outlineLevel="1"/>
    <col min="47" max="47" width="1.7109375" customWidth="1"/>
    <col min="48" max="48" width="11.5703125" style="43" hidden="1" customWidth="1" outlineLevel="1"/>
    <col min="49" max="49" width="11.5703125" style="69" hidden="1" customWidth="1" outlineLevel="1"/>
    <col min="50" max="50" width="11.5703125" style="43" hidden="1" customWidth="1" outlineLevel="1"/>
    <col min="51" max="51" width="1.7109375" customWidth="1" collapsed="1"/>
    <col min="52" max="55" width="11.5703125" style="76"/>
  </cols>
  <sheetData>
    <row r="1" spans="1:55" x14ac:dyDescent="0.25">
      <c r="G1">
        <v>2</v>
      </c>
      <c r="H1">
        <f t="shared" ref="H1:AP1" si="0">G1+1</f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 t="shared" si="0"/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13</v>
      </c>
      <c r="S1">
        <f t="shared" si="0"/>
        <v>14</v>
      </c>
      <c r="T1">
        <f t="shared" si="0"/>
        <v>15</v>
      </c>
      <c r="U1">
        <f t="shared" si="0"/>
        <v>16</v>
      </c>
      <c r="V1">
        <f t="shared" si="0"/>
        <v>17</v>
      </c>
      <c r="W1">
        <f t="shared" si="0"/>
        <v>18</v>
      </c>
      <c r="X1">
        <f t="shared" si="0"/>
        <v>19</v>
      </c>
      <c r="Y1">
        <f t="shared" si="0"/>
        <v>20</v>
      </c>
      <c r="Z1">
        <f t="shared" si="0"/>
        <v>21</v>
      </c>
      <c r="AA1">
        <f t="shared" si="0"/>
        <v>22</v>
      </c>
      <c r="AB1">
        <f t="shared" si="0"/>
        <v>23</v>
      </c>
      <c r="AC1">
        <f t="shared" si="0"/>
        <v>24</v>
      </c>
      <c r="AD1">
        <f t="shared" si="0"/>
        <v>25</v>
      </c>
      <c r="AE1">
        <f t="shared" si="0"/>
        <v>26</v>
      </c>
      <c r="AF1">
        <f t="shared" si="0"/>
        <v>27</v>
      </c>
      <c r="AG1">
        <f t="shared" si="0"/>
        <v>28</v>
      </c>
      <c r="AH1">
        <f t="shared" si="0"/>
        <v>29</v>
      </c>
      <c r="AI1">
        <f t="shared" si="0"/>
        <v>30</v>
      </c>
      <c r="AJ1">
        <f t="shared" si="0"/>
        <v>31</v>
      </c>
      <c r="AK1">
        <f t="shared" si="0"/>
        <v>32</v>
      </c>
      <c r="AL1">
        <f t="shared" si="0"/>
        <v>33</v>
      </c>
      <c r="AM1">
        <f t="shared" si="0"/>
        <v>34</v>
      </c>
      <c r="AN1">
        <f t="shared" si="0"/>
        <v>35</v>
      </c>
      <c r="AO1">
        <f t="shared" si="0"/>
        <v>36</v>
      </c>
      <c r="AP1">
        <f t="shared" si="0"/>
        <v>37</v>
      </c>
    </row>
    <row r="2" spans="1:55" ht="15.75" thickBot="1" x14ac:dyDescent="0.3">
      <c r="R2" s="76"/>
      <c r="S2" s="431"/>
      <c r="Y2" s="43" t="s">
        <v>13</v>
      </c>
      <c r="Z2" s="71" t="s">
        <v>450</v>
      </c>
      <c r="AD2" s="43" t="s">
        <v>27</v>
      </c>
      <c r="AE2" s="71" t="s">
        <v>450</v>
      </c>
      <c r="AI2" s="43" t="s">
        <v>38</v>
      </c>
      <c r="AJ2" s="71" t="s">
        <v>450</v>
      </c>
      <c r="AN2" s="43" t="s">
        <v>13</v>
      </c>
      <c r="AO2" s="71" t="s">
        <v>450</v>
      </c>
      <c r="AR2" s="43" t="s">
        <v>27</v>
      </c>
      <c r="AS2" s="71" t="s">
        <v>450</v>
      </c>
      <c r="AV2" s="43" t="s">
        <v>38</v>
      </c>
      <c r="AW2" s="71" t="s">
        <v>450</v>
      </c>
    </row>
    <row r="3" spans="1:55" ht="15.75" thickBot="1" x14ac:dyDescent="0.3">
      <c r="D3" s="99"/>
      <c r="E3" s="99"/>
      <c r="F3" s="100"/>
      <c r="G3" s="100"/>
      <c r="H3" s="100"/>
      <c r="I3" s="99"/>
      <c r="J3" s="99"/>
      <c r="K3" s="99"/>
      <c r="L3" s="99"/>
      <c r="M3" s="99"/>
      <c r="N3" s="99"/>
      <c r="P3" s="100"/>
      <c r="Q3" s="100"/>
      <c r="R3" s="100"/>
      <c r="S3" s="100"/>
      <c r="W3" s="100"/>
      <c r="Y3" s="45" t="s">
        <v>13</v>
      </c>
      <c r="Z3" s="70"/>
      <c r="AA3" s="45"/>
      <c r="AB3" s="46"/>
      <c r="AD3" s="45" t="s">
        <v>27</v>
      </c>
      <c r="AE3" s="70"/>
      <c r="AF3" s="45"/>
      <c r="AG3" s="46"/>
      <c r="AI3" s="45" t="s">
        <v>38</v>
      </c>
      <c r="AJ3" s="70"/>
      <c r="AK3" s="45"/>
      <c r="AL3" s="46"/>
      <c r="AN3" s="45" t="s">
        <v>13</v>
      </c>
      <c r="AO3" s="70"/>
      <c r="AP3" s="45"/>
      <c r="AR3" s="45" t="s">
        <v>27</v>
      </c>
      <c r="AS3" s="70"/>
      <c r="AT3" s="45"/>
      <c r="AV3" s="45" t="s">
        <v>38</v>
      </c>
      <c r="AW3" s="70"/>
      <c r="AX3" s="45"/>
    </row>
    <row r="4" spans="1:55" ht="60.75" thickBot="1" x14ac:dyDescent="0.3">
      <c r="D4" s="64" t="s">
        <v>473</v>
      </c>
      <c r="E4" s="64" t="s">
        <v>474</v>
      </c>
      <c r="F4" s="64" t="s">
        <v>475</v>
      </c>
      <c r="G4" s="64" t="s">
        <v>367</v>
      </c>
      <c r="H4" s="64" t="s">
        <v>368</v>
      </c>
      <c r="I4" s="64" t="s">
        <v>369</v>
      </c>
      <c r="J4" s="64" t="s">
        <v>476</v>
      </c>
      <c r="K4" s="64" t="s">
        <v>477</v>
      </c>
      <c r="L4" s="47" t="s">
        <v>478</v>
      </c>
      <c r="M4" s="64" t="s">
        <v>479</v>
      </c>
      <c r="N4" s="64" t="s">
        <v>480</v>
      </c>
      <c r="O4" s="75" t="s">
        <v>481</v>
      </c>
      <c r="P4" s="78" t="s">
        <v>482</v>
      </c>
      <c r="Q4" s="78" t="s">
        <v>483</v>
      </c>
      <c r="R4" s="78" t="s">
        <v>484</v>
      </c>
      <c r="S4" s="75" t="s">
        <v>485</v>
      </c>
      <c r="T4" s="75" t="s">
        <v>486</v>
      </c>
      <c r="U4" s="75" t="s">
        <v>487</v>
      </c>
      <c r="V4" s="75" t="s">
        <v>488</v>
      </c>
      <c r="W4" s="75" t="s">
        <v>489</v>
      </c>
      <c r="X4" s="75" t="s">
        <v>490</v>
      </c>
      <c r="Y4" s="49" t="str">
        <f>'REP cout'!B4</f>
        <v>Opération 1</v>
      </c>
      <c r="Z4" s="67" t="s">
        <v>459</v>
      </c>
      <c r="AA4" s="47" t="s">
        <v>491</v>
      </c>
      <c r="AB4" s="83" t="s">
        <v>472</v>
      </c>
      <c r="AD4" s="47" t="str">
        <f>'REP cout'!H32</f>
        <v>Projet 1</v>
      </c>
      <c r="AE4" s="67" t="s">
        <v>459</v>
      </c>
      <c r="AF4" s="47" t="s">
        <v>492</v>
      </c>
      <c r="AG4" s="83" t="s">
        <v>451</v>
      </c>
      <c r="AI4" s="47" t="str">
        <f>'REP cout'!N32</f>
        <v>Nom projet</v>
      </c>
      <c r="AJ4" s="67" t="s">
        <v>459</v>
      </c>
      <c r="AK4" s="47" t="s">
        <v>493</v>
      </c>
      <c r="AL4" s="83" t="s">
        <v>494</v>
      </c>
      <c r="AN4" s="49" t="str">
        <f>'REP cout'!B4</f>
        <v>Opération 1</v>
      </c>
      <c r="AO4" s="67" t="s">
        <v>459</v>
      </c>
      <c r="AP4" s="47" t="s">
        <v>495</v>
      </c>
      <c r="AR4" s="47" t="str">
        <f>AD4</f>
        <v>Projet 1</v>
      </c>
      <c r="AS4" s="67" t="s">
        <v>459</v>
      </c>
      <c r="AT4" s="47" t="s">
        <v>496</v>
      </c>
      <c r="AV4" s="47" t="str">
        <f>AI4</f>
        <v>Nom projet</v>
      </c>
      <c r="AW4" s="67" t="s">
        <v>459</v>
      </c>
      <c r="AX4" s="47" t="s">
        <v>497</v>
      </c>
      <c r="AZ4" s="92" t="s">
        <v>498</v>
      </c>
      <c r="BA4" s="92" t="s">
        <v>499</v>
      </c>
      <c r="BB4" s="92" t="s">
        <v>500</v>
      </c>
      <c r="BC4" s="92" t="s">
        <v>501</v>
      </c>
    </row>
    <row r="5" spans="1:55" ht="15.75" x14ac:dyDescent="0.3">
      <c r="A5" s="112"/>
      <c r="B5" s="60">
        <f t="shared" ref="B5" si="1">IFERROR(IF((AB5+AG5+AL5)&gt;1,1,0),0)</f>
        <v>0</v>
      </c>
      <c r="C5" s="60">
        <f t="shared" ref="C5" si="2">IFERROR(IF(AP5+AT5+AX5&gt;V5,1,0),0)</f>
        <v>0</v>
      </c>
      <c r="D5" s="85" t="b">
        <v>1</v>
      </c>
      <c r="E5" s="84" t="b">
        <v>0</v>
      </c>
      <c r="F5" s="11">
        <v>1</v>
      </c>
      <c r="G5" s="11" t="s">
        <v>877</v>
      </c>
      <c r="H5" s="11" t="s">
        <v>886</v>
      </c>
      <c r="I5" s="11" t="s">
        <v>895</v>
      </c>
      <c r="J5" s="11" t="s">
        <v>905</v>
      </c>
      <c r="K5" s="11">
        <v>2019</v>
      </c>
      <c r="L5" s="11" t="s">
        <v>35</v>
      </c>
      <c r="M5" s="95">
        <v>45078</v>
      </c>
      <c r="N5" s="95"/>
      <c r="O5" s="172">
        <f>IF(AND(VALO_PERSO!M5&lt;=parametrage!$A$13,ISBLANK(VALO_PERSO!N5)),100%,IF(AND(VALO_PERSO!M5&gt;=parametrage!$A$13,ISBLANK(VALO_PERSO!N5)),((parametrage!$A$14-VALO_PERSO!M5+1)/365),IF(AND(VALO_PERSO!M5&lt;=parametrage!$A$13,AND(VALO_PERSO!N5&gt;parametrage!$A$13,VALO_PERSO!N5&lt;=parametrage!$A$14)),((VALO_PERSO!N5-parametrage!$A$13)/365),((VALO_PERSO!N5-VALO_PERSO!M5)/365))))</f>
        <v>1</v>
      </c>
      <c r="P5" s="11">
        <f>VLOOKUP(F5,'Fiche pour valo'!A:J,5,0)</f>
        <v>57874.48</v>
      </c>
      <c r="Q5" s="11">
        <f>VLOOKUP(F5,'Fiche pour valo'!A:J,6,0)</f>
        <v>0</v>
      </c>
      <c r="R5" s="11">
        <f>VLOOKUP(F5,'Fiche pour valo'!A:J,8,0)</f>
        <v>25625.209999999995</v>
      </c>
      <c r="S5" s="11">
        <f>VLOOKUP(F5,'Fiche pour valo'!A:J,4,0)</f>
        <v>24662.519999999997</v>
      </c>
      <c r="T5" s="93">
        <f t="shared" ref="T5:T8" si="3">IFERROR(R5/P5,0)</f>
        <v>0.44277218559890291</v>
      </c>
      <c r="U5" s="93">
        <f t="shared" ref="U5:U8" si="4">IFERROR(S5/R5,0)</f>
        <v>0.96243191763111413</v>
      </c>
      <c r="V5" s="41">
        <f t="shared" ref="V5:V8" si="5">P5+Q5+S5</f>
        <v>82537</v>
      </c>
      <c r="W5" s="11">
        <f>VLOOKUP(F5,'Fiche pour valo'!A:J,9,0)</f>
        <v>1680</v>
      </c>
      <c r="X5" s="41">
        <f t="shared" ref="X5:X8" si="6">IF(ISBLANK(W5),0,V5/W5)</f>
        <v>49.12916666666667</v>
      </c>
      <c r="Y5" s="11"/>
      <c r="Z5" s="41"/>
      <c r="AA5" s="82">
        <f t="shared" ref="AA5:AA11" si="7">SUM(Y5:Z5)</f>
        <v>0</v>
      </c>
      <c r="AB5" s="94">
        <f t="shared" ref="AB5:AB11" si="8">IFERROR(AA5/W5,0)</f>
        <v>0</v>
      </c>
      <c r="AD5" s="11">
        <f>VLOOKUP(F5,HRECH!A:C,3,0)</f>
        <v>1131</v>
      </c>
      <c r="AE5" s="41"/>
      <c r="AF5" s="82">
        <f t="shared" ref="AF5" si="9">SUM(AD5:AE5)</f>
        <v>1131</v>
      </c>
      <c r="AG5" s="94">
        <f t="shared" ref="AG5:AG11" si="10">IFERROR(AF5/W5,0)</f>
        <v>0.67321428571428577</v>
      </c>
      <c r="AI5" s="11"/>
      <c r="AJ5" s="41"/>
      <c r="AK5" s="82">
        <f t="shared" ref="AK5" si="11">SUM(AI5:AJ5)</f>
        <v>0</v>
      </c>
      <c r="AL5" s="94">
        <f t="shared" ref="AL5:AL11" si="12">IFERROR(AK5/W5,0)</f>
        <v>0</v>
      </c>
      <c r="AN5" s="29">
        <f t="shared" ref="AN5" si="13">IFERROR(Y5*$V5/$W5,0)</f>
        <v>0</v>
      </c>
      <c r="AO5" s="41"/>
      <c r="AP5" s="82">
        <f t="shared" ref="AP5:AP11" si="14">SUM(AN5:AO5)</f>
        <v>0</v>
      </c>
      <c r="AR5" s="11">
        <f t="shared" ref="AR5:AR11" si="15">IFERROR(AD5*$V5/$W5,0)</f>
        <v>55565.087500000001</v>
      </c>
      <c r="AS5" s="41"/>
      <c r="AT5" s="82">
        <f t="shared" ref="AT5" si="16">SUM(AR5:AS5)</f>
        <v>55565.087500000001</v>
      </c>
      <c r="AV5" s="11">
        <f t="shared" ref="AV5" si="17">IFERROR(AH5*$V5/$W5,0)</f>
        <v>0</v>
      </c>
      <c r="AW5" s="41"/>
      <c r="AX5" s="82">
        <f t="shared" ref="AX5" si="18">SUM(AV5:AW5)</f>
        <v>0</v>
      </c>
      <c r="AZ5" s="11">
        <f t="shared" ref="AZ5:AZ11" si="19">W5-AA5-AF5-AK5</f>
        <v>549</v>
      </c>
      <c r="BA5" s="11">
        <f t="shared" ref="BA5:BA11" si="20">IF(AA5&gt;0,W5,0)</f>
        <v>0</v>
      </c>
      <c r="BB5" s="11">
        <f t="shared" ref="BB5:BB11" si="21">IF(AF5&gt;0,W5,0)</f>
        <v>1680</v>
      </c>
      <c r="BC5" s="11">
        <f t="shared" ref="BC5:BC11" si="22">IF(AK5&gt;0,W5,0)</f>
        <v>0</v>
      </c>
    </row>
    <row r="6" spans="1:55" ht="15.75" x14ac:dyDescent="0.3">
      <c r="B6" s="60">
        <f t="shared" ref="B6:B11" si="23">IFERROR(IF((AB6+AG6+AL6)&gt;1,1,0),0)</f>
        <v>0</v>
      </c>
      <c r="C6" s="60">
        <f t="shared" ref="C6:C11" si="24">IFERROR(IF(AP6+AT6+AX6&gt;V6,1,0),0)</f>
        <v>0</v>
      </c>
      <c r="D6" s="85" t="b">
        <v>1</v>
      </c>
      <c r="E6" s="84" t="b">
        <v>0</v>
      </c>
      <c r="F6" s="11">
        <v>2</v>
      </c>
      <c r="G6" s="11" t="s">
        <v>878</v>
      </c>
      <c r="H6" s="11" t="s">
        <v>887</v>
      </c>
      <c r="I6" s="11" t="s">
        <v>896</v>
      </c>
      <c r="J6" s="11" t="s">
        <v>906</v>
      </c>
      <c r="K6" s="11"/>
      <c r="L6" s="11" t="s">
        <v>35</v>
      </c>
      <c r="M6" s="95">
        <v>45096</v>
      </c>
      <c r="N6" s="95"/>
      <c r="O6" s="172">
        <f>IF(AND(VALO_PERSO!M6&lt;=parametrage!$A$13,ISBLANK(VALO_PERSO!N6)),100%,IF(AND(VALO_PERSO!M6&gt;=parametrage!$A$13,ISBLANK(VALO_PERSO!N6)),((parametrage!$A$14-VALO_PERSO!M6+1)/365),IF(AND(VALO_PERSO!M6&lt;=parametrage!$A$13,AND(VALO_PERSO!N6&gt;parametrage!$A$13,VALO_PERSO!N6&lt;=parametrage!$A$14)),((VALO_PERSO!N6-parametrage!$A$13)/365),((VALO_PERSO!N6-VALO_PERSO!M6)/365))))</f>
        <v>1</v>
      </c>
      <c r="P6" s="11">
        <f>VLOOKUP(F6,'Fiche pour valo'!A:J,5,0)</f>
        <v>69999.960000000006</v>
      </c>
      <c r="Q6" s="11">
        <f>VLOOKUP(F6,'Fiche pour valo'!A:J,6,0)</f>
        <v>0</v>
      </c>
      <c r="R6" s="11">
        <f>VLOOKUP(F6,'Fiche pour valo'!A:J,8,0)</f>
        <v>30619.5</v>
      </c>
      <c r="S6" s="11">
        <f>VLOOKUP(F6,'Fiche pour valo'!A:J,4,0)</f>
        <v>29464.979999999996</v>
      </c>
      <c r="T6" s="93">
        <f t="shared" si="3"/>
        <v>0.43742167852667341</v>
      </c>
      <c r="U6" s="93">
        <f t="shared" si="4"/>
        <v>0.96229461617596612</v>
      </c>
      <c r="V6" s="41">
        <f t="shared" si="5"/>
        <v>99464.94</v>
      </c>
      <c r="W6" s="11">
        <f>VLOOKUP(F6,'Fiche pour valo'!A:J,9,0)</f>
        <v>1728</v>
      </c>
      <c r="X6" s="41">
        <f t="shared" si="6"/>
        <v>57.560729166666668</v>
      </c>
      <c r="Y6" s="11"/>
      <c r="Z6" s="41"/>
      <c r="AA6" s="82">
        <f t="shared" si="7"/>
        <v>0</v>
      </c>
      <c r="AB6" s="94">
        <f t="shared" si="8"/>
        <v>0</v>
      </c>
      <c r="AD6" s="11">
        <f>VLOOKUP(F6,HRECH!A:C,3,0)</f>
        <v>693</v>
      </c>
      <c r="AE6" s="41"/>
      <c r="AF6" s="82">
        <f t="shared" ref="AF6:AF11" si="25">SUM(AD6:AE6)</f>
        <v>693</v>
      </c>
      <c r="AG6" s="94">
        <f t="shared" si="10"/>
        <v>0.40104166666666669</v>
      </c>
      <c r="AI6" s="11"/>
      <c r="AJ6" s="41"/>
      <c r="AK6" s="82">
        <f t="shared" ref="AK6:AK11" si="26">SUM(AI6:AJ6)</f>
        <v>0</v>
      </c>
      <c r="AL6" s="94">
        <f t="shared" si="12"/>
        <v>0</v>
      </c>
      <c r="AN6" s="29">
        <f t="shared" ref="AN6:AN11" si="27">IFERROR(Y6*$V6/$W6,0)</f>
        <v>0</v>
      </c>
      <c r="AO6" s="41"/>
      <c r="AP6" s="82">
        <f t="shared" si="14"/>
        <v>0</v>
      </c>
      <c r="AR6" s="11">
        <f t="shared" si="15"/>
        <v>39889.585312499999</v>
      </c>
      <c r="AS6" s="41"/>
      <c r="AT6" s="82">
        <f t="shared" ref="AT6:AT11" si="28">SUM(AR6:AS6)</f>
        <v>39889.585312499999</v>
      </c>
      <c r="AV6" s="11">
        <f t="shared" ref="AV6:AV11" si="29">IFERROR(AI6*$V6/$W6,0)</f>
        <v>0</v>
      </c>
      <c r="AW6" s="41"/>
      <c r="AX6" s="82">
        <f t="shared" ref="AX6:AX11" si="30">SUM(AV6:AW6)</f>
        <v>0</v>
      </c>
      <c r="AZ6" s="11">
        <f t="shared" si="19"/>
        <v>1035</v>
      </c>
      <c r="BA6" s="11">
        <f t="shared" si="20"/>
        <v>0</v>
      </c>
      <c r="BB6" s="11">
        <f t="shared" si="21"/>
        <v>1728</v>
      </c>
      <c r="BC6" s="11">
        <f t="shared" si="22"/>
        <v>0</v>
      </c>
    </row>
    <row r="7" spans="1:55" ht="15.75" x14ac:dyDescent="0.3">
      <c r="B7" s="60">
        <f t="shared" si="23"/>
        <v>0</v>
      </c>
      <c r="C7" s="60">
        <f t="shared" si="24"/>
        <v>0</v>
      </c>
      <c r="D7" s="85" t="b">
        <v>1</v>
      </c>
      <c r="E7" s="84" t="b">
        <v>0</v>
      </c>
      <c r="F7" s="11">
        <v>5</v>
      </c>
      <c r="G7" s="11" t="s">
        <v>885</v>
      </c>
      <c r="H7" s="11" t="s">
        <v>888</v>
      </c>
      <c r="I7" s="11" t="s">
        <v>897</v>
      </c>
      <c r="J7" s="11" t="s">
        <v>908</v>
      </c>
      <c r="K7" s="11">
        <v>2022</v>
      </c>
      <c r="L7" s="11" t="s">
        <v>63</v>
      </c>
      <c r="M7" s="95">
        <v>45215</v>
      </c>
      <c r="N7" s="95"/>
      <c r="O7" s="172">
        <f>IF(AND(VALO_PERSO!M7&lt;=parametrage!$A$13,ISBLANK(VALO_PERSO!N7)),100%,IF(AND(VALO_PERSO!M7&gt;=parametrage!$A$13,ISBLANK(VALO_PERSO!N7)),((parametrage!$A$14-VALO_PERSO!M7+1)/365),IF(AND(VALO_PERSO!M7&lt;=parametrage!$A$13,AND(VALO_PERSO!N7&gt;parametrage!$A$13,VALO_PERSO!N7&lt;=parametrage!$A$14)),((VALO_PERSO!N7-parametrage!$A$13)/365),((VALO_PERSO!N7-VALO_PERSO!M7)/365))))</f>
        <v>1</v>
      </c>
      <c r="P7" s="11">
        <f>VLOOKUP(F7,'Fiche pour valo'!A:J,5,0)</f>
        <v>11582.02</v>
      </c>
      <c r="Q7" s="11">
        <f>VLOOKUP(F7,'Fiche pour valo'!A:J,6,0)</f>
        <v>0</v>
      </c>
      <c r="R7" s="11">
        <f>VLOOKUP(F7,'Fiche pour valo'!A:J,8,0)</f>
        <v>732.9399999999996</v>
      </c>
      <c r="S7" s="11">
        <f>VLOOKUP(F7,'Fiche pour valo'!A:J,4,0)</f>
        <v>684.74999999999977</v>
      </c>
      <c r="T7" s="93">
        <f t="shared" si="3"/>
        <v>6.3282570743272731E-2</v>
      </c>
      <c r="U7" s="93">
        <f t="shared" si="4"/>
        <v>0.93425109831636988</v>
      </c>
      <c r="V7" s="41">
        <f t="shared" si="5"/>
        <v>12266.77</v>
      </c>
      <c r="W7" s="11">
        <f>VLOOKUP(F7,'Fiche pour valo'!A:J,9,0)</f>
        <v>1040.69</v>
      </c>
      <c r="X7" s="41">
        <f t="shared" si="6"/>
        <v>11.787150832620664</v>
      </c>
      <c r="Y7" s="11"/>
      <c r="Z7" s="41"/>
      <c r="AA7" s="82">
        <f t="shared" si="7"/>
        <v>0</v>
      </c>
      <c r="AB7" s="94">
        <f t="shared" si="8"/>
        <v>0</v>
      </c>
      <c r="AD7" s="11">
        <f>VLOOKUP(F7,HRECH!A:C,3,0)</f>
        <v>221</v>
      </c>
      <c r="AE7" s="41"/>
      <c r="AF7" s="82">
        <f t="shared" si="25"/>
        <v>221</v>
      </c>
      <c r="AG7" s="94">
        <f t="shared" si="10"/>
        <v>0.21235910789956663</v>
      </c>
      <c r="AI7" s="11"/>
      <c r="AJ7" s="41"/>
      <c r="AK7" s="82">
        <f t="shared" si="26"/>
        <v>0</v>
      </c>
      <c r="AL7" s="94">
        <f t="shared" si="12"/>
        <v>0</v>
      </c>
      <c r="AN7" s="29">
        <f t="shared" si="27"/>
        <v>0</v>
      </c>
      <c r="AO7" s="41"/>
      <c r="AP7" s="82">
        <f t="shared" si="14"/>
        <v>0</v>
      </c>
      <c r="AR7" s="11">
        <f t="shared" si="15"/>
        <v>2604.9603340091667</v>
      </c>
      <c r="AS7" s="41"/>
      <c r="AT7" s="82">
        <f t="shared" si="28"/>
        <v>2604.9603340091667</v>
      </c>
      <c r="AV7" s="11">
        <f t="shared" si="29"/>
        <v>0</v>
      </c>
      <c r="AW7" s="41"/>
      <c r="AX7" s="82">
        <f t="shared" si="30"/>
        <v>0</v>
      </c>
      <c r="AZ7" s="11">
        <f t="shared" si="19"/>
        <v>819.69</v>
      </c>
      <c r="BA7" s="11">
        <f t="shared" si="20"/>
        <v>0</v>
      </c>
      <c r="BB7" s="11">
        <f t="shared" si="21"/>
        <v>1040.69</v>
      </c>
      <c r="BC7" s="11">
        <f t="shared" si="22"/>
        <v>0</v>
      </c>
    </row>
    <row r="8" spans="1:55" ht="15.75" x14ac:dyDescent="0.3">
      <c r="B8" s="60">
        <f t="shared" si="23"/>
        <v>0</v>
      </c>
      <c r="C8" s="60">
        <f t="shared" si="24"/>
        <v>0</v>
      </c>
      <c r="D8" s="85" t="b">
        <v>1</v>
      </c>
      <c r="E8" s="84" t="b">
        <v>0</v>
      </c>
      <c r="F8" s="11">
        <v>9</v>
      </c>
      <c r="G8" s="11" t="s">
        <v>879</v>
      </c>
      <c r="H8" s="11" t="s">
        <v>889</v>
      </c>
      <c r="I8" s="11" t="s">
        <v>898</v>
      </c>
      <c r="J8" s="11" t="s">
        <v>909</v>
      </c>
      <c r="K8" s="11">
        <v>2014</v>
      </c>
      <c r="L8" s="11" t="s">
        <v>35</v>
      </c>
      <c r="M8" s="95">
        <v>45631</v>
      </c>
      <c r="N8" s="95"/>
      <c r="O8" s="172">
        <f>IF(AND(VALO_PERSO!M8&lt;=parametrage!$A$13,ISBLANK(VALO_PERSO!N8)),100%,IF(AND(VALO_PERSO!M8&gt;=parametrage!$A$13,ISBLANK(VALO_PERSO!N8)),((parametrage!$A$14-VALO_PERSO!M8+1)/365),IF(AND(VALO_PERSO!M8&lt;=parametrage!$A$13,AND(VALO_PERSO!N8&gt;parametrage!$A$13,VALO_PERSO!N8&lt;=parametrage!$A$14)),((VALO_PERSO!N8-parametrage!$A$13)/365),((VALO_PERSO!N8-VALO_PERSO!M8)/365))))</f>
        <v>1</v>
      </c>
      <c r="P8" s="11">
        <f>VLOOKUP(F8,'Fiche pour valo'!A:J,5,0)</f>
        <v>35957.25</v>
      </c>
      <c r="Q8" s="11">
        <f>VLOOKUP(F8,'Fiche pour valo'!A:J,6,0)</f>
        <v>0</v>
      </c>
      <c r="R8" s="11">
        <f>VLOOKUP(F8,'Fiche pour valo'!A:J,8,0)</f>
        <v>14492.34</v>
      </c>
      <c r="S8" s="11">
        <f>VLOOKUP(F8,'Fiche pour valo'!A:J,4,0)</f>
        <v>13887.550000000001</v>
      </c>
      <c r="T8" s="93">
        <f t="shared" si="3"/>
        <v>0.40304361429197172</v>
      </c>
      <c r="U8" s="93">
        <f t="shared" si="4"/>
        <v>0.95826829897725285</v>
      </c>
      <c r="V8" s="41">
        <f t="shared" si="5"/>
        <v>49844.800000000003</v>
      </c>
      <c r="W8" s="11">
        <f>VLOOKUP(F8,'Fiche pour valo'!A:J,9,0)</f>
        <v>1704</v>
      </c>
      <c r="X8" s="41">
        <f t="shared" si="6"/>
        <v>29.251643192488263</v>
      </c>
      <c r="Y8" s="11"/>
      <c r="Z8" s="41"/>
      <c r="AA8" s="82">
        <f t="shared" si="7"/>
        <v>0</v>
      </c>
      <c r="AB8" s="94">
        <f t="shared" si="8"/>
        <v>0</v>
      </c>
      <c r="AD8" s="11">
        <f>VLOOKUP(F8,HRECH!A:C,3,0)</f>
        <v>853</v>
      </c>
      <c r="AE8" s="41"/>
      <c r="AF8" s="82">
        <f t="shared" si="25"/>
        <v>853</v>
      </c>
      <c r="AG8" s="94">
        <f t="shared" si="10"/>
        <v>0.50058685446009388</v>
      </c>
      <c r="AI8" s="11"/>
      <c r="AJ8" s="41"/>
      <c r="AK8" s="82">
        <f t="shared" si="26"/>
        <v>0</v>
      </c>
      <c r="AL8" s="94">
        <f t="shared" si="12"/>
        <v>0</v>
      </c>
      <c r="AN8" s="29">
        <f t="shared" si="27"/>
        <v>0</v>
      </c>
      <c r="AO8" s="41"/>
      <c r="AP8" s="82">
        <f t="shared" si="14"/>
        <v>0</v>
      </c>
      <c r="AR8" s="11">
        <f t="shared" si="15"/>
        <v>24951.65164319249</v>
      </c>
      <c r="AS8" s="41"/>
      <c r="AT8" s="82">
        <f t="shared" si="28"/>
        <v>24951.65164319249</v>
      </c>
      <c r="AV8" s="11">
        <f t="shared" si="29"/>
        <v>0</v>
      </c>
      <c r="AW8" s="41"/>
      <c r="AX8" s="82">
        <f t="shared" si="30"/>
        <v>0</v>
      </c>
      <c r="AZ8" s="11">
        <f t="shared" si="19"/>
        <v>851</v>
      </c>
      <c r="BA8" s="11">
        <f t="shared" si="20"/>
        <v>0</v>
      </c>
      <c r="BB8" s="11">
        <f t="shared" si="21"/>
        <v>1704</v>
      </c>
      <c r="BC8" s="11">
        <f t="shared" si="22"/>
        <v>0</v>
      </c>
    </row>
    <row r="9" spans="1:55" ht="15.75" x14ac:dyDescent="0.3">
      <c r="B9" s="60">
        <f t="shared" si="23"/>
        <v>0</v>
      </c>
      <c r="C9" s="60">
        <f t="shared" si="24"/>
        <v>0</v>
      </c>
      <c r="D9" s="85" t="b">
        <v>1</v>
      </c>
      <c r="E9" s="84" t="b">
        <v>0</v>
      </c>
      <c r="F9" s="11">
        <v>10</v>
      </c>
      <c r="G9" s="11" t="s">
        <v>880</v>
      </c>
      <c r="H9" s="11" t="s">
        <v>890</v>
      </c>
      <c r="I9" s="11" t="s">
        <v>898</v>
      </c>
      <c r="J9" s="11" t="s">
        <v>910</v>
      </c>
      <c r="K9" s="11">
        <v>2021</v>
      </c>
      <c r="L9" s="11" t="s">
        <v>35</v>
      </c>
      <c r="M9" s="95">
        <v>45287</v>
      </c>
      <c r="N9" s="95"/>
      <c r="O9" s="172">
        <f>IF(AND(VALO_PERSO!M9&lt;=parametrage!$A$13,ISBLANK(VALO_PERSO!N9)),100%,IF(AND(VALO_PERSO!M9&gt;=parametrage!$A$13,ISBLANK(VALO_PERSO!N9)),((parametrage!$A$14-VALO_PERSO!M9+1)/365),IF(AND(VALO_PERSO!M9&lt;=parametrage!$A$13,AND(VALO_PERSO!N9&gt;parametrage!$A$13,VALO_PERSO!N9&lt;=parametrage!$A$14)),((VALO_PERSO!N9-parametrage!$A$13)/365),((VALO_PERSO!N9-VALO_PERSO!M9)/365))))</f>
        <v>1</v>
      </c>
      <c r="P9" s="11">
        <f>VLOOKUP(F9,'Fiche pour valo'!A:J,5,0)</f>
        <v>39999.96</v>
      </c>
      <c r="Q9" s="11">
        <f>VLOOKUP(F9,'Fiche pour valo'!A:J,6,0)</f>
        <v>522.4</v>
      </c>
      <c r="R9" s="11">
        <f>VLOOKUP(F9,'Fiche pour valo'!A:J,8,0)</f>
        <v>15979.279999999999</v>
      </c>
      <c r="S9" s="11">
        <f>VLOOKUP(F9,'Fiche pour valo'!A:J,4,0)</f>
        <v>15306.559999999998</v>
      </c>
      <c r="T9" s="93">
        <f t="shared" ref="T9:T11" si="31">IFERROR(R9/P9,0)</f>
        <v>0.39948239948239944</v>
      </c>
      <c r="U9" s="93">
        <f t="shared" ref="U9:U11" si="32">IFERROR(S9/R9,0)</f>
        <v>0.95790048112305426</v>
      </c>
      <c r="V9" s="41">
        <f t="shared" ref="V9:V11" si="33">P9+Q9+S9</f>
        <v>55828.92</v>
      </c>
      <c r="W9" s="11">
        <f>VLOOKUP(F9,'Fiche pour valo'!A:J,9,0)</f>
        <v>1824</v>
      </c>
      <c r="X9" s="41">
        <f t="shared" ref="X9:X11" si="34">IF(ISBLANK(W9),0,V9/W9)</f>
        <v>30.607960526315789</v>
      </c>
      <c r="Y9" s="11"/>
      <c r="Z9" s="41"/>
      <c r="AA9" s="82">
        <f t="shared" si="7"/>
        <v>0</v>
      </c>
      <c r="AB9" s="94">
        <f t="shared" si="8"/>
        <v>0</v>
      </c>
      <c r="AD9" s="11">
        <f>VLOOKUP(F9,HRECH!A:C,3,0)</f>
        <v>868</v>
      </c>
      <c r="AE9" s="41"/>
      <c r="AF9" s="82">
        <f t="shared" si="25"/>
        <v>868</v>
      </c>
      <c r="AG9" s="94">
        <f t="shared" si="10"/>
        <v>0.47587719298245612</v>
      </c>
      <c r="AI9" s="11"/>
      <c r="AJ9" s="41"/>
      <c r="AK9" s="82">
        <f t="shared" si="26"/>
        <v>0</v>
      </c>
      <c r="AL9" s="94">
        <f t="shared" si="12"/>
        <v>0</v>
      </c>
      <c r="AN9" s="29">
        <f t="shared" si="27"/>
        <v>0</v>
      </c>
      <c r="AO9" s="41"/>
      <c r="AP9" s="82">
        <f t="shared" si="14"/>
        <v>0</v>
      </c>
      <c r="AR9" s="11">
        <f t="shared" si="15"/>
        <v>26567.709736842102</v>
      </c>
      <c r="AS9" s="41"/>
      <c r="AT9" s="82">
        <f t="shared" si="28"/>
        <v>26567.709736842102</v>
      </c>
      <c r="AV9" s="11">
        <f t="shared" si="29"/>
        <v>0</v>
      </c>
      <c r="AW9" s="41"/>
      <c r="AX9" s="82">
        <f t="shared" si="30"/>
        <v>0</v>
      </c>
      <c r="AZ9" s="11">
        <f t="shared" si="19"/>
        <v>956</v>
      </c>
      <c r="BA9" s="11">
        <f t="shared" si="20"/>
        <v>0</v>
      </c>
      <c r="BB9" s="11">
        <f t="shared" si="21"/>
        <v>1824</v>
      </c>
      <c r="BC9" s="11">
        <f t="shared" si="22"/>
        <v>0</v>
      </c>
    </row>
    <row r="10" spans="1:55" ht="15.75" x14ac:dyDescent="0.3">
      <c r="B10" s="60">
        <f t="shared" si="23"/>
        <v>0</v>
      </c>
      <c r="C10" s="60">
        <f t="shared" si="24"/>
        <v>0</v>
      </c>
      <c r="D10" s="85" t="b">
        <v>1</v>
      </c>
      <c r="E10" s="84" t="b">
        <v>0</v>
      </c>
      <c r="F10" s="11">
        <v>12</v>
      </c>
      <c r="G10" s="11" t="s">
        <v>881</v>
      </c>
      <c r="H10" s="11" t="s">
        <v>891</v>
      </c>
      <c r="I10" s="11" t="s">
        <v>898</v>
      </c>
      <c r="J10" s="11" t="s">
        <v>911</v>
      </c>
      <c r="K10" s="11">
        <v>2021</v>
      </c>
      <c r="L10" s="11" t="s">
        <v>35</v>
      </c>
      <c r="M10" s="95">
        <v>45295</v>
      </c>
      <c r="N10" s="95"/>
      <c r="O10" s="172">
        <f>IF(AND(VALO_PERSO!M10&lt;=parametrage!$A$13,ISBLANK(VALO_PERSO!N10)),100%,IF(AND(VALO_PERSO!M10&gt;=parametrage!$A$13,ISBLANK(VALO_PERSO!N10)),((parametrage!$A$14-VALO_PERSO!M10+1)/365),IF(AND(VALO_PERSO!M10&lt;=parametrage!$A$13,AND(VALO_PERSO!N10&gt;parametrage!$A$13,VALO_PERSO!N10&lt;=parametrage!$A$14)),((VALO_PERSO!N10-parametrage!$A$13)/365),((VALO_PERSO!N10-VALO_PERSO!M10)/365))))</f>
        <v>1</v>
      </c>
      <c r="P10" s="11">
        <f>VLOOKUP(F10,'Fiche pour valo'!A:J,5,0)</f>
        <v>39999.96</v>
      </c>
      <c r="Q10" s="11">
        <f>VLOOKUP(F10,'Fiche pour valo'!A:J,6,0)</f>
        <v>129.05000000000001</v>
      </c>
      <c r="R10" s="11">
        <f>VLOOKUP(F10,'Fiche pour valo'!A:J,8,0)</f>
        <v>15940.279999999999</v>
      </c>
      <c r="S10" s="11">
        <f>VLOOKUP(F10,'Fiche pour valo'!A:J,4,0)</f>
        <v>15267.559999999998</v>
      </c>
      <c r="T10" s="93">
        <f t="shared" si="31"/>
        <v>0.39850739850739847</v>
      </c>
      <c r="U10" s="93">
        <f t="shared" si="32"/>
        <v>0.95779747909070601</v>
      </c>
      <c r="V10" s="41">
        <f t="shared" si="33"/>
        <v>55396.57</v>
      </c>
      <c r="W10" s="11">
        <f>VLOOKUP(F10,'Fiche pour valo'!A:J,9,0)</f>
        <v>1776</v>
      </c>
      <c r="X10" s="41">
        <f t="shared" si="34"/>
        <v>31.191762387387389</v>
      </c>
      <c r="Y10" s="11"/>
      <c r="Z10" s="41"/>
      <c r="AA10" s="82">
        <f t="shared" si="7"/>
        <v>0</v>
      </c>
      <c r="AB10" s="94">
        <f t="shared" si="8"/>
        <v>0</v>
      </c>
      <c r="AD10" s="11">
        <f>VLOOKUP(F10,HRECH!A:C,3,0)</f>
        <v>145</v>
      </c>
      <c r="AE10" s="41"/>
      <c r="AF10" s="82">
        <f t="shared" si="25"/>
        <v>145</v>
      </c>
      <c r="AG10" s="94">
        <f t="shared" si="10"/>
        <v>8.1644144144144143E-2</v>
      </c>
      <c r="AI10" s="11"/>
      <c r="AJ10" s="41"/>
      <c r="AK10" s="82">
        <f t="shared" si="26"/>
        <v>0</v>
      </c>
      <c r="AL10" s="94">
        <f t="shared" si="12"/>
        <v>0</v>
      </c>
      <c r="AN10" s="29">
        <f t="shared" si="27"/>
        <v>0</v>
      </c>
      <c r="AO10" s="41"/>
      <c r="AP10" s="82">
        <f t="shared" si="14"/>
        <v>0</v>
      </c>
      <c r="AR10" s="11">
        <f t="shared" si="15"/>
        <v>4522.805546171171</v>
      </c>
      <c r="AS10" s="41"/>
      <c r="AT10" s="82">
        <f t="shared" si="28"/>
        <v>4522.805546171171</v>
      </c>
      <c r="AV10" s="11">
        <f t="shared" si="29"/>
        <v>0</v>
      </c>
      <c r="AW10" s="41"/>
      <c r="AX10" s="82">
        <f t="shared" si="30"/>
        <v>0</v>
      </c>
      <c r="AZ10" s="11">
        <f t="shared" si="19"/>
        <v>1631</v>
      </c>
      <c r="BA10" s="11">
        <f t="shared" si="20"/>
        <v>0</v>
      </c>
      <c r="BB10" s="11">
        <f t="shared" si="21"/>
        <v>1776</v>
      </c>
      <c r="BC10" s="11">
        <f t="shared" si="22"/>
        <v>0</v>
      </c>
    </row>
    <row r="11" spans="1:55" ht="15.75" x14ac:dyDescent="0.3">
      <c r="B11" s="60">
        <f t="shared" si="23"/>
        <v>0</v>
      </c>
      <c r="C11" s="60">
        <f t="shared" si="24"/>
        <v>0</v>
      </c>
      <c r="D11" s="85" t="b">
        <v>1</v>
      </c>
      <c r="E11" s="84" t="b">
        <v>0</v>
      </c>
      <c r="F11" s="11">
        <v>24</v>
      </c>
      <c r="G11" s="11" t="s">
        <v>884</v>
      </c>
      <c r="H11" s="11" t="s">
        <v>894</v>
      </c>
      <c r="I11" s="11" t="s">
        <v>897</v>
      </c>
      <c r="J11" s="11"/>
      <c r="K11" s="11"/>
      <c r="L11" s="11" t="s">
        <v>63</v>
      </c>
      <c r="M11" s="95">
        <v>45908</v>
      </c>
      <c r="N11" s="95"/>
      <c r="O11" s="172">
        <f>IF(AND(VALO_PERSO!M11&lt;=parametrage!$A$13,ISBLANK(VALO_PERSO!N11)),100%,IF(AND(VALO_PERSO!M11&gt;=parametrage!$A$13,ISBLANK(VALO_PERSO!N11)),((parametrage!$A$14-VALO_PERSO!M11+1)/365),IF(AND(VALO_PERSO!M11&lt;=parametrage!$A$13,AND(VALO_PERSO!N11&gt;parametrage!$A$13,VALO_PERSO!N11&lt;=parametrage!$A$14)),((VALO_PERSO!N11-parametrage!$A$13)/365),((VALO_PERSO!N11-VALO_PERSO!M11)/365))))</f>
        <v>0.31506849315068491</v>
      </c>
      <c r="P11" s="11">
        <f>VLOOKUP(F11,'Fiche pour valo'!A:J,5,0)</f>
        <v>3477.82</v>
      </c>
      <c r="Q11" s="11">
        <f>VLOOKUP(F11,'Fiche pour valo'!A:J,6,0)</f>
        <v>0</v>
      </c>
      <c r="R11" s="11">
        <f>VLOOKUP(F11,'Fiche pour valo'!A:J,8,0)</f>
        <v>389.99</v>
      </c>
      <c r="S11" s="11">
        <f>VLOOKUP(F11,'Fiche pour valo'!A:J,4,0)</f>
        <v>332.75999999999988</v>
      </c>
      <c r="T11" s="93">
        <f t="shared" si="31"/>
        <v>0.1121363382808771</v>
      </c>
      <c r="U11" s="93">
        <f t="shared" si="32"/>
        <v>0.85325264750378182</v>
      </c>
      <c r="V11" s="41">
        <f t="shared" si="33"/>
        <v>3810.58</v>
      </c>
      <c r="W11" s="11">
        <f>VLOOKUP(F11,'Fiche pour valo'!A:J,9,0)</f>
        <v>546.01</v>
      </c>
      <c r="X11" s="41">
        <f t="shared" si="34"/>
        <v>6.9789564293694255</v>
      </c>
      <c r="Y11" s="11"/>
      <c r="Z11" s="41"/>
      <c r="AA11" s="82">
        <f t="shared" si="7"/>
        <v>0</v>
      </c>
      <c r="AB11" s="94">
        <f t="shared" si="8"/>
        <v>0</v>
      </c>
      <c r="AD11" s="11">
        <f>VLOOKUP(F11,HRECH!A:C,3,0)</f>
        <v>434</v>
      </c>
      <c r="AE11" s="41"/>
      <c r="AF11" s="82">
        <f t="shared" si="25"/>
        <v>434</v>
      </c>
      <c r="AG11" s="94">
        <f t="shared" si="10"/>
        <v>0.79485723704694056</v>
      </c>
      <c r="AI11" s="11"/>
      <c r="AJ11" s="41"/>
      <c r="AK11" s="82">
        <f t="shared" si="26"/>
        <v>0</v>
      </c>
      <c r="AL11" s="94">
        <f t="shared" si="12"/>
        <v>0</v>
      </c>
      <c r="AN11" s="29">
        <f t="shared" si="27"/>
        <v>0</v>
      </c>
      <c r="AO11" s="41"/>
      <c r="AP11" s="82">
        <f t="shared" si="14"/>
        <v>0</v>
      </c>
      <c r="AR11" s="11">
        <f t="shared" si="15"/>
        <v>3028.8670903463308</v>
      </c>
      <c r="AS11" s="41"/>
      <c r="AT11" s="82">
        <f t="shared" si="28"/>
        <v>3028.8670903463308</v>
      </c>
      <c r="AV11" s="11">
        <f t="shared" si="29"/>
        <v>0</v>
      </c>
      <c r="AW11" s="41"/>
      <c r="AX11" s="82">
        <f t="shared" si="30"/>
        <v>0</v>
      </c>
      <c r="AZ11" s="11">
        <f t="shared" si="19"/>
        <v>112.00999999999999</v>
      </c>
      <c r="BA11" s="11">
        <f t="shared" si="20"/>
        <v>0</v>
      </c>
      <c r="BB11" s="11">
        <f t="shared" si="21"/>
        <v>546.01</v>
      </c>
      <c r="BC11" s="11">
        <f t="shared" si="22"/>
        <v>0</v>
      </c>
    </row>
    <row r="12" spans="1:55" ht="15.75" thickBot="1" x14ac:dyDescent="0.3">
      <c r="D12" s="61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5" t="s">
        <v>360</v>
      </c>
      <c r="Y12" s="66">
        <f>SUM(Y5:Y11)</f>
        <v>0</v>
      </c>
      <c r="Z12" s="68">
        <f>SUM(Z5:Z11)</f>
        <v>0</v>
      </c>
      <c r="AA12" s="66">
        <f>SUM(AA5:AA11)</f>
        <v>0</v>
      </c>
      <c r="AB12" s="79"/>
      <c r="AD12" s="66">
        <f>SUM(AD5:AD11)</f>
        <v>4345</v>
      </c>
      <c r="AE12" s="68">
        <f>SUM(AE5:AE11)</f>
        <v>0</v>
      </c>
      <c r="AF12" s="66">
        <f>SUM(AF5:AF11)</f>
        <v>4345</v>
      </c>
      <c r="AG12" s="79"/>
      <c r="AI12" s="66">
        <f>SUM(AI5:AI11)</f>
        <v>0</v>
      </c>
      <c r="AJ12" s="68">
        <f>SUM(AJ5:AJ11)</f>
        <v>0</v>
      </c>
      <c r="AK12" s="66">
        <f>SUM(AK5:AK11)</f>
        <v>0</v>
      </c>
      <c r="AL12" s="79"/>
      <c r="AN12" s="66">
        <f>SUM(AN5:AN11)</f>
        <v>0</v>
      </c>
      <c r="AO12" s="68">
        <f>SUM(AO5:AO11)</f>
        <v>0</v>
      </c>
      <c r="AP12" s="66">
        <f>SUM(AP5:AP11)</f>
        <v>0</v>
      </c>
      <c r="AR12" s="66">
        <f>SUM(AR5:AR11)</f>
        <v>157130.66716306127</v>
      </c>
      <c r="AS12" s="68">
        <f>SUM(AS5:AS11)</f>
        <v>0</v>
      </c>
      <c r="AT12" s="66">
        <f>SUM(AT5:AT11)</f>
        <v>157130.66716306127</v>
      </c>
      <c r="AV12" s="66">
        <f>SUM(AV5:AV11)</f>
        <v>0</v>
      </c>
      <c r="AW12" s="68">
        <f>SUM(AW5:AW11)</f>
        <v>0</v>
      </c>
      <c r="AX12" s="66">
        <f>SUM(AX5:AX11)</f>
        <v>0</v>
      </c>
      <c r="AZ12" s="66">
        <f>SUM(AZ5:AZ11)</f>
        <v>5953.7000000000007</v>
      </c>
      <c r="BA12" s="66">
        <f>SUM(BA5:BA11)</f>
        <v>0</v>
      </c>
      <c r="BB12" s="66">
        <f>SUM(BB5:BB11)</f>
        <v>10298.700000000001</v>
      </c>
      <c r="BC12" s="66">
        <f>SUM(BC5:BC11)</f>
        <v>0</v>
      </c>
    </row>
    <row r="14" spans="1:55" ht="15.75" thickBot="1" x14ac:dyDescent="0.3">
      <c r="T14" s="216"/>
      <c r="U14" s="216"/>
      <c r="V14" s="216"/>
      <c r="W14" s="216"/>
      <c r="X14" s="217" t="s">
        <v>502</v>
      </c>
      <c r="AN14" s="66">
        <f>SUMIF(L:L,parametrage!$P$4,VALO_PERSO!AN:AN)</f>
        <v>0</v>
      </c>
      <c r="AP14" s="66">
        <f>SUM(AN14:AO14)</f>
        <v>0</v>
      </c>
    </row>
    <row r="16" spans="1:55" ht="15.75" thickBot="1" x14ac:dyDescent="0.3">
      <c r="T16" s="62"/>
      <c r="U16" s="62"/>
      <c r="V16" s="62"/>
      <c r="W16" s="62"/>
      <c r="X16" s="65" t="s">
        <v>503</v>
      </c>
      <c r="AN16" s="66">
        <f>AN12-AN14</f>
        <v>0</v>
      </c>
      <c r="AP16" s="66">
        <f>SUM(AN16:AO16)</f>
        <v>0</v>
      </c>
    </row>
  </sheetData>
  <conditionalFormatting sqref="D11:L11 D5:I10 L5:L10">
    <cfRule type="expression" dxfId="61" priority="12">
      <formula>$B5&gt;0</formula>
    </cfRule>
  </conditionalFormatting>
  <conditionalFormatting sqref="F1:F1048576">
    <cfRule type="duplicateValues" dxfId="60" priority="11"/>
  </conditionalFormatting>
  <conditionalFormatting sqref="T1:T1048576">
    <cfRule type="top10" dxfId="59" priority="5" bottom="1" rank="3"/>
    <cfRule type="top10" dxfId="58" priority="6" rank="3"/>
  </conditionalFormatting>
  <conditionalFormatting sqref="U1:U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{F8DBB1C6-B42E-4ED8-AD1A-442D9ED2F16A}</x14:id>
        </ext>
      </extLst>
    </cfRule>
  </conditionalFormatting>
  <conditionalFormatting sqref="P3:S3">
    <cfRule type="duplicateValues" dxfId="57" priority="3"/>
  </conditionalFormatting>
  <conditionalFormatting sqref="W3">
    <cfRule type="duplicateValues" dxfId="56" priority="2"/>
  </conditionalFormatting>
  <conditionalFormatting sqref="J5:K10">
    <cfRule type="expression" dxfId="55" priority="1">
      <formula>$A5&gt;0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9" r:id="rId3" name="Button 17">
              <controlPr defaultSize="0" print="0" autoFill="0" autoPict="0" macro="[0]!InsererColonneMultiple">
                <anchor moveWithCells="1" sizeWithCells="1">
                  <from>
                    <xdr:col>8</xdr:col>
                    <xdr:colOff>1047750</xdr:colOff>
                    <xdr:row>1</xdr:row>
                    <xdr:rowOff>19050</xdr:rowOff>
                  </from>
                  <to>
                    <xdr:col>9</xdr:col>
                    <xdr:colOff>742950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4" name="Button 18">
              <controlPr defaultSize="0" print="0" autoFill="0" autoPict="0" macro="[0]!Module13.DupliquerLignesAvecTexteDansToutesFeuilles">
                <anchor moveWithCells="1" sizeWithCells="1">
                  <from>
                    <xdr:col>3</xdr:col>
                    <xdr:colOff>47625</xdr:colOff>
                    <xdr:row>1</xdr:row>
                    <xdr:rowOff>0</xdr:rowOff>
                  </from>
                  <to>
                    <xdr:col>6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DBB1C6-B42E-4ED8-AD1A-442D9ED2F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5E0E3F-2BA8-4704-BD6D-B5A98BDCEF68}">
          <x14:formula1>
            <xm:f>parametrage!$P$2:$P$11</xm:f>
          </x14:formula1>
          <xm:sqref>L5:L11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4C9A-58EE-474B-B742-756A224D741F}">
  <sheetPr codeName="Feuil23">
    <tabColor rgb="FF2D44EA"/>
  </sheetPr>
  <dimension ref="A1:AM19"/>
  <sheetViews>
    <sheetView showGridLines="0" workbookViewId="0">
      <selection activeCell="F3" sqref="F3"/>
    </sheetView>
  </sheetViews>
  <sheetFormatPr baseColWidth="10" defaultColWidth="11.42578125" defaultRowHeight="15" outlineLevelCol="1" x14ac:dyDescent="0.25"/>
  <cols>
    <col min="2" max="2" width="7.28515625" customWidth="1"/>
    <col min="3" max="3" width="15.85546875" customWidth="1"/>
    <col min="4" max="4" width="15.85546875" customWidth="1" outlineLevel="1"/>
    <col min="5" max="5" width="22.28515625" bestFit="1" customWidth="1"/>
    <col min="7" max="7" width="10.140625" customWidth="1"/>
    <col min="8" max="8" width="10" style="77" customWidth="1"/>
    <col min="9" max="9" width="8.42578125" style="77" customWidth="1"/>
    <col min="10" max="10" width="8.28515625" customWidth="1"/>
    <col min="14" max="15" width="0" style="43" hidden="1" customWidth="1" outlineLevel="1"/>
    <col min="16" max="16" width="1.7109375" customWidth="1" collapsed="1"/>
    <col min="17" max="17" width="11.5703125" style="43" customWidth="1" outlineLevel="1"/>
    <col min="18" max="18" width="11.5703125" style="69" hidden="1" customWidth="1" outlineLevel="1"/>
    <col min="19" max="19" width="11.5703125" style="43" customWidth="1" outlineLevel="1"/>
    <col min="20" max="20" width="1.7109375" customWidth="1"/>
    <col min="21" max="21" width="11.5703125" style="43" hidden="1" customWidth="1" outlineLevel="1"/>
    <col min="22" max="22" width="11.5703125" style="69" hidden="1" customWidth="1" outlineLevel="1"/>
    <col min="23" max="23" width="11.5703125" style="43" hidden="1" customWidth="1" outlineLevel="1"/>
    <col min="24" max="24" width="1.7109375" hidden="1" customWidth="1" collapsed="1"/>
    <col min="25" max="26" width="0" style="43" hidden="1" customWidth="1" outlineLevel="1"/>
    <col min="27" max="27" width="1.7109375" customWidth="1" collapsed="1"/>
    <col min="28" max="28" width="11.5703125" style="43" customWidth="1" outlineLevel="1"/>
    <col min="29" max="29" width="11.5703125" style="69" hidden="1" customWidth="1" outlineLevel="1"/>
    <col min="30" max="30" width="11.5703125" style="43" customWidth="1" outlineLevel="1"/>
    <col min="31" max="31" width="1.7109375" customWidth="1"/>
    <col min="32" max="32" width="11.5703125" style="43" hidden="1" customWidth="1" outlineLevel="1"/>
    <col min="33" max="33" width="11.5703125" style="69" hidden="1" customWidth="1" outlineLevel="1"/>
    <col min="34" max="34" width="11.5703125" style="43" hidden="1" customWidth="1" outlineLevel="1"/>
    <col min="35" max="35" width="1.7109375" customWidth="1" collapsed="1"/>
    <col min="36" max="36" width="11.5703125" style="76"/>
    <col min="37" max="37" width="0" style="76" hidden="1" customWidth="1"/>
    <col min="38" max="38" width="11.5703125" style="76"/>
    <col min="39" max="39" width="0" style="76" hidden="1" customWidth="1"/>
  </cols>
  <sheetData>
    <row r="1" spans="1:39" ht="15.75" thickBot="1" x14ac:dyDescent="0.3">
      <c r="E1" s="99"/>
      <c r="F1" s="99"/>
      <c r="G1" s="99"/>
      <c r="H1"/>
      <c r="I1"/>
      <c r="N1" s="45" t="s">
        <v>13</v>
      </c>
      <c r="O1" s="45"/>
      <c r="Q1" s="45" t="s">
        <v>27</v>
      </c>
      <c r="R1" s="70"/>
      <c r="S1" s="45"/>
      <c r="U1" s="45" t="s">
        <v>38</v>
      </c>
      <c r="V1" s="70"/>
      <c r="W1" s="45"/>
      <c r="Y1" s="45" t="s">
        <v>13</v>
      </c>
      <c r="Z1" s="45"/>
      <c r="AB1" s="45" t="s">
        <v>27</v>
      </c>
      <c r="AC1" s="70"/>
      <c r="AD1" s="45"/>
      <c r="AF1" s="45" t="s">
        <v>38</v>
      </c>
      <c r="AG1" s="70"/>
      <c r="AH1" s="45"/>
    </row>
    <row r="2" spans="1:39" ht="60.75" thickBot="1" x14ac:dyDescent="0.3">
      <c r="B2" s="64" t="s">
        <v>475</v>
      </c>
      <c r="C2" s="64" t="s">
        <v>367</v>
      </c>
      <c r="D2" s="64" t="s">
        <v>368</v>
      </c>
      <c r="E2" s="64" t="s">
        <v>369</v>
      </c>
      <c r="F2" s="64" t="s">
        <v>476</v>
      </c>
      <c r="G2" s="64" t="s">
        <v>477</v>
      </c>
      <c r="H2" s="78" t="s">
        <v>482</v>
      </c>
      <c r="I2" s="78" t="s">
        <v>484</v>
      </c>
      <c r="J2" s="75" t="s">
        <v>485</v>
      </c>
      <c r="K2" s="75" t="s">
        <v>488</v>
      </c>
      <c r="L2" s="75" t="s">
        <v>489</v>
      </c>
      <c r="M2" s="75" t="s">
        <v>490</v>
      </c>
      <c r="N2" s="49" t="str">
        <f>'REP cout'!B4</f>
        <v>Opération 1</v>
      </c>
      <c r="O2" s="47" t="s">
        <v>491</v>
      </c>
      <c r="Q2" s="47" t="str">
        <f>'REP cout'!H32</f>
        <v>Projet 1</v>
      </c>
      <c r="R2" s="67" t="s">
        <v>459</v>
      </c>
      <c r="S2" s="47" t="s">
        <v>492</v>
      </c>
      <c r="U2" s="47" t="str">
        <f>'REP cout'!N32</f>
        <v>Nom projet</v>
      </c>
      <c r="V2" s="67" t="s">
        <v>459</v>
      </c>
      <c r="W2" s="47" t="s">
        <v>493</v>
      </c>
      <c r="Y2" s="49" t="str">
        <f>'REP cout'!B4</f>
        <v>Opération 1</v>
      </c>
      <c r="Z2" s="47" t="s">
        <v>495</v>
      </c>
      <c r="AB2" s="47" t="str">
        <f>Q2</f>
        <v>Projet 1</v>
      </c>
      <c r="AC2" s="67" t="s">
        <v>459</v>
      </c>
      <c r="AD2" s="47" t="s">
        <v>496</v>
      </c>
      <c r="AF2" s="47" t="str">
        <f>U2</f>
        <v>Nom projet</v>
      </c>
      <c r="AG2" s="67" t="s">
        <v>459</v>
      </c>
      <c r="AH2" s="47" t="s">
        <v>497</v>
      </c>
      <c r="AJ2" s="92" t="s">
        <v>498</v>
      </c>
      <c r="AK2" s="92" t="s">
        <v>499</v>
      </c>
      <c r="AL2" s="92" t="s">
        <v>500</v>
      </c>
      <c r="AM2" s="92" t="s">
        <v>501</v>
      </c>
    </row>
    <row r="3" spans="1:39" ht="15.75" x14ac:dyDescent="0.3">
      <c r="A3" s="112"/>
      <c r="B3" s="11">
        <f>VALO_PERSO!F5</f>
        <v>1</v>
      </c>
      <c r="C3" s="11" t="str">
        <f>VALO_PERSO!G5</f>
        <v>PY</v>
      </c>
      <c r="D3" s="11" t="str">
        <f>VALO_PERSO!H5</f>
        <v>Elodie</v>
      </c>
      <c r="E3" s="11" t="str">
        <f>VALO_PERSO!I5</f>
        <v>UX DESIGNER</v>
      </c>
      <c r="F3" s="11" t="str">
        <f>VALO_PERSO!J5</f>
        <v>Expert en stratégie digitale - IESA Multimedia - ECAD Consultants</v>
      </c>
      <c r="G3" s="11">
        <f>VALO_PERSO!K5</f>
        <v>2019</v>
      </c>
      <c r="H3" s="11">
        <f>VALO_PERSO!P5</f>
        <v>57874.48</v>
      </c>
      <c r="I3" s="11">
        <f>VALO_PERSO!R5</f>
        <v>25625.209999999995</v>
      </c>
      <c r="J3" s="11">
        <f>VALO_PERSO!S5</f>
        <v>24662.519999999997</v>
      </c>
      <c r="K3" s="29">
        <f>VALO_PERSO!V5</f>
        <v>82537</v>
      </c>
      <c r="L3" s="29">
        <f>VALO_PERSO!W5</f>
        <v>1680</v>
      </c>
      <c r="M3" s="29">
        <f>VALO_PERSO!X5</f>
        <v>49.12916666666667</v>
      </c>
      <c r="N3" s="11">
        <f>VALO_PERSO!Y5</f>
        <v>0</v>
      </c>
      <c r="O3" s="82">
        <f>VALO_PERSO!AA5</f>
        <v>0</v>
      </c>
      <c r="Q3" s="11">
        <f>VALO_PERSO!AD5</f>
        <v>1131</v>
      </c>
      <c r="R3" s="41"/>
      <c r="S3" s="82">
        <f>VALO_PERSO!AF5</f>
        <v>1131</v>
      </c>
      <c r="U3" s="11">
        <f>VALO_PERSO!AI5</f>
        <v>0</v>
      </c>
      <c r="V3" s="41"/>
      <c r="W3" s="82">
        <f>VALO_PERSO!AK5</f>
        <v>0</v>
      </c>
      <c r="Y3" s="29">
        <f>VALO_PERSO!AN5</f>
        <v>0</v>
      </c>
      <c r="Z3" s="82">
        <f>VALO_PERSO!AP5</f>
        <v>0</v>
      </c>
      <c r="AB3" s="11">
        <f>VALO_PERSO!AR5</f>
        <v>55565.087500000001</v>
      </c>
      <c r="AC3" s="41"/>
      <c r="AD3" s="82">
        <f>VALO_PERSO!AT5</f>
        <v>55565.087500000001</v>
      </c>
      <c r="AF3" s="11">
        <f>VALO_PERSO!AV5</f>
        <v>0</v>
      </c>
      <c r="AG3" s="41"/>
      <c r="AH3" s="82">
        <f>VALO_PERSO!AX5</f>
        <v>0</v>
      </c>
      <c r="AJ3" s="11">
        <f>VALO_PERSO!AZ5</f>
        <v>549</v>
      </c>
      <c r="AK3" s="11">
        <f>VALO_PERSO!BA5</f>
        <v>0</v>
      </c>
      <c r="AL3" s="11">
        <f>VALO_PERSO!BB5</f>
        <v>1680</v>
      </c>
      <c r="AM3" s="11">
        <f>VALO_PERSO!BC5</f>
        <v>0</v>
      </c>
    </row>
    <row r="4" spans="1:39" ht="15.75" x14ac:dyDescent="0.3">
      <c r="B4" s="11">
        <f>VALO_PERSO!F6</f>
        <v>2</v>
      </c>
      <c r="C4" s="11" t="str">
        <f>VALO_PERSO!G6</f>
        <v>GASPERIN</v>
      </c>
      <c r="D4" s="11" t="str">
        <f>VALO_PERSO!H6</f>
        <v>Anthony</v>
      </c>
      <c r="E4" s="11" t="str">
        <f>VALO_PERSO!I6</f>
        <v>Lead Developer</v>
      </c>
      <c r="F4" s="11" t="str">
        <f>VALO_PERSO!J6</f>
        <v xml:space="preserve">Docteur en Sciences mention informatique - Université de Genève </v>
      </c>
      <c r="G4" s="11">
        <f>VALO_PERSO!K6</f>
        <v>0</v>
      </c>
      <c r="H4" s="11">
        <f>VALO_PERSO!P6</f>
        <v>69999.960000000006</v>
      </c>
      <c r="I4" s="11">
        <f>VALO_PERSO!R6</f>
        <v>30619.5</v>
      </c>
      <c r="J4" s="11">
        <f>VALO_PERSO!S6</f>
        <v>29464.979999999996</v>
      </c>
      <c r="K4" s="29">
        <f>VALO_PERSO!V6</f>
        <v>99464.94</v>
      </c>
      <c r="L4" s="29">
        <f>VALO_PERSO!W6</f>
        <v>1728</v>
      </c>
      <c r="M4" s="29">
        <f>VALO_PERSO!X6</f>
        <v>57.560729166666668</v>
      </c>
      <c r="N4" s="11">
        <f>VALO_PERSO!Y6</f>
        <v>0</v>
      </c>
      <c r="O4" s="82">
        <f>VALO_PERSO!AA6</f>
        <v>0</v>
      </c>
      <c r="Q4" s="11">
        <f>VALO_PERSO!AD6</f>
        <v>693</v>
      </c>
      <c r="R4" s="41"/>
      <c r="S4" s="82">
        <f>VALO_PERSO!AF6</f>
        <v>693</v>
      </c>
      <c r="U4" s="11">
        <f>VALO_PERSO!AI6</f>
        <v>0</v>
      </c>
      <c r="V4" s="41"/>
      <c r="W4" s="82">
        <f>VALO_PERSO!AK6</f>
        <v>0</v>
      </c>
      <c r="Y4" s="29">
        <f>VALO_PERSO!AN6</f>
        <v>0</v>
      </c>
      <c r="Z4" s="82">
        <f>VALO_PERSO!AP6</f>
        <v>0</v>
      </c>
      <c r="AB4" s="11">
        <f>VALO_PERSO!AR6</f>
        <v>39889.585312499999</v>
      </c>
      <c r="AC4" s="41"/>
      <c r="AD4" s="82">
        <f>VALO_PERSO!AT6</f>
        <v>39889.585312499999</v>
      </c>
      <c r="AF4" s="11">
        <f>VALO_PERSO!AV6</f>
        <v>0</v>
      </c>
      <c r="AG4" s="41"/>
      <c r="AH4" s="82">
        <f>VALO_PERSO!AX6</f>
        <v>0</v>
      </c>
      <c r="AJ4" s="11">
        <f>VALO_PERSO!AZ6</f>
        <v>1035</v>
      </c>
      <c r="AK4" s="11">
        <f>VALO_PERSO!BA6</f>
        <v>0</v>
      </c>
      <c r="AL4" s="11">
        <f>VALO_PERSO!BB6</f>
        <v>1728</v>
      </c>
      <c r="AM4" s="11">
        <f>VALO_PERSO!BC6</f>
        <v>0</v>
      </c>
    </row>
    <row r="5" spans="1:39" ht="15.75" x14ac:dyDescent="0.3">
      <c r="B5" s="11">
        <f>VALO_PERSO!F7</f>
        <v>5</v>
      </c>
      <c r="C5" s="11" t="str">
        <f>VALO_PERSO!G7</f>
        <v>LA CORTE</v>
      </c>
      <c r="D5" s="11" t="str">
        <f>VALO_PERSO!H7</f>
        <v>Matias</v>
      </c>
      <c r="E5" s="11" t="str">
        <f>VALO_PERSO!I7</f>
        <v>Apprenti</v>
      </c>
      <c r="F5" s="11" t="str">
        <f>VALO_PERSO!J7</f>
        <v>Baccalauréat Général - Acadmie de Grenoble</v>
      </c>
      <c r="G5" s="11">
        <f>VALO_PERSO!K7</f>
        <v>2022</v>
      </c>
      <c r="H5" s="11">
        <f>VALO_PERSO!P7</f>
        <v>11582.02</v>
      </c>
      <c r="I5" s="11">
        <f>VALO_PERSO!R7</f>
        <v>732.9399999999996</v>
      </c>
      <c r="J5" s="11">
        <f>VALO_PERSO!S7</f>
        <v>684.74999999999977</v>
      </c>
      <c r="K5" s="29">
        <f>VALO_PERSO!V7</f>
        <v>12266.77</v>
      </c>
      <c r="L5" s="29">
        <f>VALO_PERSO!W7</f>
        <v>1040.69</v>
      </c>
      <c r="M5" s="29">
        <f>VALO_PERSO!X7</f>
        <v>11.787150832620664</v>
      </c>
      <c r="N5" s="11">
        <f>VALO_PERSO!Y7</f>
        <v>0</v>
      </c>
      <c r="O5" s="82">
        <f>VALO_PERSO!AA7</f>
        <v>0</v>
      </c>
      <c r="Q5" s="11">
        <f>VALO_PERSO!AD7</f>
        <v>221</v>
      </c>
      <c r="R5" s="41"/>
      <c r="S5" s="82">
        <f>VALO_PERSO!AF7</f>
        <v>221</v>
      </c>
      <c r="U5" s="11">
        <f>VALO_PERSO!AI7</f>
        <v>0</v>
      </c>
      <c r="V5" s="41"/>
      <c r="W5" s="82">
        <f>VALO_PERSO!AK7</f>
        <v>0</v>
      </c>
      <c r="Y5" s="29">
        <f>VALO_PERSO!AN7</f>
        <v>0</v>
      </c>
      <c r="Z5" s="82">
        <f>VALO_PERSO!AP7</f>
        <v>0</v>
      </c>
      <c r="AB5" s="11">
        <f>VALO_PERSO!AR7</f>
        <v>2604.9603340091667</v>
      </c>
      <c r="AC5" s="41"/>
      <c r="AD5" s="82">
        <f>VALO_PERSO!AT7</f>
        <v>2604.9603340091667</v>
      </c>
      <c r="AF5" s="11">
        <f>VALO_PERSO!AV7</f>
        <v>0</v>
      </c>
      <c r="AG5" s="41"/>
      <c r="AH5" s="82">
        <f>VALO_PERSO!AX7</f>
        <v>0</v>
      </c>
      <c r="AJ5" s="11">
        <f>VALO_PERSO!AZ7</f>
        <v>819.69</v>
      </c>
      <c r="AK5" s="11">
        <f>VALO_PERSO!BA7</f>
        <v>0</v>
      </c>
      <c r="AL5" s="11">
        <f>VALO_PERSO!BB7</f>
        <v>1040.69</v>
      </c>
      <c r="AM5" s="11">
        <f>VALO_PERSO!BC7</f>
        <v>0</v>
      </c>
    </row>
    <row r="6" spans="1:39" ht="15.75" x14ac:dyDescent="0.3">
      <c r="B6" s="11">
        <f>VALO_PERSO!F8</f>
        <v>9</v>
      </c>
      <c r="C6" s="11" t="str">
        <f>VALO_PERSO!G8</f>
        <v>WIRTH</v>
      </c>
      <c r="D6" s="11" t="str">
        <f>VALO_PERSO!H8</f>
        <v>Romain</v>
      </c>
      <c r="E6" s="11" t="str">
        <f>VALO_PERSO!I8</f>
        <v>Développeur Full Stack</v>
      </c>
      <c r="F6" s="11" t="str">
        <f>VALO_PERSO!J8</f>
        <v xml:space="preserve">Bachelor of science - Ecole Hôtelière de Lausanne </v>
      </c>
      <c r="G6" s="11">
        <f>VALO_PERSO!K8</f>
        <v>2014</v>
      </c>
      <c r="H6" s="11">
        <f>VALO_PERSO!P8</f>
        <v>35957.25</v>
      </c>
      <c r="I6" s="11">
        <f>VALO_PERSO!R8</f>
        <v>14492.34</v>
      </c>
      <c r="J6" s="11">
        <f>VALO_PERSO!S8</f>
        <v>13887.550000000001</v>
      </c>
      <c r="K6" s="29">
        <f>VALO_PERSO!V8</f>
        <v>49844.800000000003</v>
      </c>
      <c r="L6" s="29">
        <f>VALO_PERSO!W8</f>
        <v>1704</v>
      </c>
      <c r="M6" s="29">
        <f>VALO_PERSO!X8</f>
        <v>29.251643192488263</v>
      </c>
      <c r="N6" s="11">
        <f>VALO_PERSO!Y8</f>
        <v>0</v>
      </c>
      <c r="O6" s="82">
        <f>VALO_PERSO!AA8</f>
        <v>0</v>
      </c>
      <c r="Q6" s="11">
        <f>VALO_PERSO!AD8</f>
        <v>853</v>
      </c>
      <c r="R6" s="41"/>
      <c r="S6" s="82">
        <f>VALO_PERSO!AF8</f>
        <v>853</v>
      </c>
      <c r="U6" s="11">
        <f>VALO_PERSO!AI8</f>
        <v>0</v>
      </c>
      <c r="V6" s="41"/>
      <c r="W6" s="82">
        <f>VALO_PERSO!AK8</f>
        <v>0</v>
      </c>
      <c r="Y6" s="29">
        <f>VALO_PERSO!AN8</f>
        <v>0</v>
      </c>
      <c r="Z6" s="82">
        <f>VALO_PERSO!AP8</f>
        <v>0</v>
      </c>
      <c r="AB6" s="11">
        <f>VALO_PERSO!AR8</f>
        <v>24951.65164319249</v>
      </c>
      <c r="AC6" s="41"/>
      <c r="AD6" s="82">
        <f>VALO_PERSO!AT8</f>
        <v>24951.65164319249</v>
      </c>
      <c r="AF6" s="11">
        <f>VALO_PERSO!AV8</f>
        <v>0</v>
      </c>
      <c r="AG6" s="41"/>
      <c r="AH6" s="82">
        <f>VALO_PERSO!AX8</f>
        <v>0</v>
      </c>
      <c r="AJ6" s="11">
        <f>VALO_PERSO!AZ8</f>
        <v>851</v>
      </c>
      <c r="AK6" s="11">
        <f>VALO_PERSO!BA8</f>
        <v>0</v>
      </c>
      <c r="AL6" s="11">
        <f>VALO_PERSO!BB8</f>
        <v>1704</v>
      </c>
      <c r="AM6" s="11">
        <f>VALO_PERSO!BC8</f>
        <v>0</v>
      </c>
    </row>
    <row r="7" spans="1:39" ht="15.75" x14ac:dyDescent="0.3">
      <c r="B7" s="11">
        <f>VALO_PERSO!F9</f>
        <v>10</v>
      </c>
      <c r="C7" s="11" t="str">
        <f>VALO_PERSO!G9</f>
        <v>CILES</v>
      </c>
      <c r="D7" s="11" t="str">
        <f>VALO_PERSO!H9</f>
        <v>Grégoire</v>
      </c>
      <c r="E7" s="11" t="str">
        <f>VALO_PERSO!I9</f>
        <v>Développeur Full Stack</v>
      </c>
      <c r="F7" s="11" t="str">
        <f>VALO_PERSO!J9</f>
        <v>RNCP Niveau 5 (Bac +2) - Developpeur web et web mobile - Simplon.co</v>
      </c>
      <c r="G7" s="11">
        <f>VALO_PERSO!K9</f>
        <v>2021</v>
      </c>
      <c r="H7" s="11">
        <f>VALO_PERSO!P9</f>
        <v>39999.96</v>
      </c>
      <c r="I7" s="11">
        <f>VALO_PERSO!R9</f>
        <v>15979.279999999999</v>
      </c>
      <c r="J7" s="11">
        <f>VALO_PERSO!S9</f>
        <v>15306.559999999998</v>
      </c>
      <c r="K7" s="29">
        <f>VALO_PERSO!V9</f>
        <v>55828.92</v>
      </c>
      <c r="L7" s="29">
        <f>VALO_PERSO!W9</f>
        <v>1824</v>
      </c>
      <c r="M7" s="29">
        <f>VALO_PERSO!X9</f>
        <v>30.607960526315789</v>
      </c>
      <c r="N7" s="11">
        <f>VALO_PERSO!Y9</f>
        <v>0</v>
      </c>
      <c r="O7" s="82">
        <f>VALO_PERSO!AA9</f>
        <v>0</v>
      </c>
      <c r="Q7" s="11">
        <f>VALO_PERSO!AD9</f>
        <v>868</v>
      </c>
      <c r="R7" s="41"/>
      <c r="S7" s="82">
        <f>VALO_PERSO!AF9</f>
        <v>868</v>
      </c>
      <c r="U7" s="11">
        <f>VALO_PERSO!AI9</f>
        <v>0</v>
      </c>
      <c r="V7" s="41"/>
      <c r="W7" s="82">
        <f>VALO_PERSO!AK9</f>
        <v>0</v>
      </c>
      <c r="Y7" s="29">
        <f>VALO_PERSO!AN9</f>
        <v>0</v>
      </c>
      <c r="Z7" s="82">
        <f>VALO_PERSO!AP9</f>
        <v>0</v>
      </c>
      <c r="AB7" s="11">
        <f>VALO_PERSO!AR9</f>
        <v>26567.709736842102</v>
      </c>
      <c r="AC7" s="41"/>
      <c r="AD7" s="82">
        <f>VALO_PERSO!AT9</f>
        <v>26567.709736842102</v>
      </c>
      <c r="AF7" s="11">
        <f>VALO_PERSO!AV9</f>
        <v>0</v>
      </c>
      <c r="AG7" s="41"/>
      <c r="AH7" s="82">
        <f>VALO_PERSO!AX9</f>
        <v>0</v>
      </c>
      <c r="AJ7" s="11">
        <f>VALO_PERSO!AZ9</f>
        <v>956</v>
      </c>
      <c r="AK7" s="11">
        <f>VALO_PERSO!BA9</f>
        <v>0</v>
      </c>
      <c r="AL7" s="11">
        <f>VALO_PERSO!BB9</f>
        <v>1824</v>
      </c>
      <c r="AM7" s="11">
        <f>VALO_PERSO!BC9</f>
        <v>0</v>
      </c>
    </row>
    <row r="8" spans="1:39" ht="15.75" x14ac:dyDescent="0.3">
      <c r="B8" s="11">
        <f>VALO_PERSO!F10</f>
        <v>12</v>
      </c>
      <c r="C8" s="11" t="str">
        <f>VALO_PERSO!G10</f>
        <v>RALANTOARISON</v>
      </c>
      <c r="D8" s="11" t="str">
        <f>VALO_PERSO!H10</f>
        <v>Osée</v>
      </c>
      <c r="E8" s="11" t="str">
        <f>VALO_PERSO!I10</f>
        <v>Développeur Full Stack</v>
      </c>
      <c r="F8" s="11" t="str">
        <f>VALO_PERSO!J10</f>
        <v>Attestation de suivi Développeur Web et Web Mobile - Oclock</v>
      </c>
      <c r="G8" s="11">
        <f>VALO_PERSO!K10</f>
        <v>2021</v>
      </c>
      <c r="H8" s="11">
        <f>VALO_PERSO!P10</f>
        <v>39999.96</v>
      </c>
      <c r="I8" s="11">
        <f>VALO_PERSO!R10</f>
        <v>15940.279999999999</v>
      </c>
      <c r="J8" s="11">
        <f>VALO_PERSO!S10</f>
        <v>15267.559999999998</v>
      </c>
      <c r="K8" s="29">
        <f>VALO_PERSO!V10</f>
        <v>55396.57</v>
      </c>
      <c r="L8" s="29">
        <f>VALO_PERSO!W10</f>
        <v>1776</v>
      </c>
      <c r="M8" s="29">
        <f>VALO_PERSO!X10</f>
        <v>31.191762387387389</v>
      </c>
      <c r="N8" s="11">
        <f>VALO_PERSO!Y10</f>
        <v>0</v>
      </c>
      <c r="O8" s="82">
        <f>VALO_PERSO!AA10</f>
        <v>0</v>
      </c>
      <c r="Q8" s="11">
        <f>VALO_PERSO!AD10</f>
        <v>145</v>
      </c>
      <c r="R8" s="41"/>
      <c r="S8" s="82">
        <f>VALO_PERSO!AF10</f>
        <v>145</v>
      </c>
      <c r="U8" s="11">
        <f>VALO_PERSO!AI10</f>
        <v>0</v>
      </c>
      <c r="V8" s="41"/>
      <c r="W8" s="82">
        <f>VALO_PERSO!AK10</f>
        <v>0</v>
      </c>
      <c r="Y8" s="29">
        <f>VALO_PERSO!AN10</f>
        <v>0</v>
      </c>
      <c r="Z8" s="82">
        <f>VALO_PERSO!AP10</f>
        <v>0</v>
      </c>
      <c r="AB8" s="11">
        <f>VALO_PERSO!AR10</f>
        <v>4522.805546171171</v>
      </c>
      <c r="AC8" s="41"/>
      <c r="AD8" s="82">
        <f>VALO_PERSO!AT10</f>
        <v>4522.805546171171</v>
      </c>
      <c r="AF8" s="11">
        <f>VALO_PERSO!AV10</f>
        <v>0</v>
      </c>
      <c r="AG8" s="41"/>
      <c r="AH8" s="82">
        <f>VALO_PERSO!AX10</f>
        <v>0</v>
      </c>
      <c r="AJ8" s="11">
        <f>VALO_PERSO!AZ10</f>
        <v>1631</v>
      </c>
      <c r="AK8" s="11">
        <f>VALO_PERSO!BA10</f>
        <v>0</v>
      </c>
      <c r="AL8" s="11">
        <f>VALO_PERSO!BB10</f>
        <v>1776</v>
      </c>
      <c r="AM8" s="11">
        <f>VALO_PERSO!BC10</f>
        <v>0</v>
      </c>
    </row>
    <row r="9" spans="1:39" ht="15.75" x14ac:dyDescent="0.3">
      <c r="B9" s="11">
        <f>VALO_PERSO!F11</f>
        <v>24</v>
      </c>
      <c r="C9" s="11" t="str">
        <f>VALO_PERSO!G11</f>
        <v>KANDIAH</v>
      </c>
      <c r="D9" s="11" t="str">
        <f>VALO_PERSO!H11</f>
        <v>Corrège</v>
      </c>
      <c r="E9" s="11" t="str">
        <f>VALO_PERSO!I11</f>
        <v>Apprenti</v>
      </c>
      <c r="F9" s="11">
        <f>VALO_PERSO!J11</f>
        <v>0</v>
      </c>
      <c r="G9" s="11">
        <f>VALO_PERSO!K11</f>
        <v>0</v>
      </c>
      <c r="H9" s="11">
        <f>VALO_PERSO!P11</f>
        <v>3477.82</v>
      </c>
      <c r="I9" s="11">
        <f>VALO_PERSO!R11</f>
        <v>389.99</v>
      </c>
      <c r="J9" s="11">
        <f>VALO_PERSO!S11</f>
        <v>332.75999999999988</v>
      </c>
      <c r="K9" s="29">
        <f>VALO_PERSO!V11</f>
        <v>3810.58</v>
      </c>
      <c r="L9" s="29">
        <f>VALO_PERSO!W11</f>
        <v>546.01</v>
      </c>
      <c r="M9" s="29">
        <f>VALO_PERSO!X11</f>
        <v>6.9789564293694255</v>
      </c>
      <c r="N9" s="11">
        <f>VALO_PERSO!Y11</f>
        <v>0</v>
      </c>
      <c r="O9" s="82">
        <f>VALO_PERSO!AA11</f>
        <v>0</v>
      </c>
      <c r="Q9" s="11">
        <f>VALO_PERSO!AD11</f>
        <v>434</v>
      </c>
      <c r="R9" s="41"/>
      <c r="S9" s="82">
        <f>VALO_PERSO!AF11</f>
        <v>434</v>
      </c>
      <c r="U9" s="11">
        <f>VALO_PERSO!AI11</f>
        <v>0</v>
      </c>
      <c r="V9" s="41"/>
      <c r="W9" s="82">
        <f>VALO_PERSO!AK11</f>
        <v>0</v>
      </c>
      <c r="Y9" s="29">
        <f>VALO_PERSO!AN11</f>
        <v>0</v>
      </c>
      <c r="Z9" s="82">
        <f>VALO_PERSO!AP11</f>
        <v>0</v>
      </c>
      <c r="AB9" s="11">
        <f>VALO_PERSO!AR11</f>
        <v>3028.8670903463308</v>
      </c>
      <c r="AC9" s="41"/>
      <c r="AD9" s="82">
        <f>VALO_PERSO!AT11</f>
        <v>3028.8670903463308</v>
      </c>
      <c r="AF9" s="11">
        <f>VALO_PERSO!AV11</f>
        <v>0</v>
      </c>
      <c r="AG9" s="41"/>
      <c r="AH9" s="82">
        <f>VALO_PERSO!AX11</f>
        <v>0</v>
      </c>
      <c r="AJ9" s="11">
        <f>VALO_PERSO!AZ11</f>
        <v>112.00999999999999</v>
      </c>
      <c r="AK9" s="11">
        <f>VALO_PERSO!BA11</f>
        <v>0</v>
      </c>
      <c r="AL9" s="11">
        <f>VALO_PERSO!BB11</f>
        <v>546.01</v>
      </c>
      <c r="AM9" s="11">
        <f>VALO_PERSO!BC11</f>
        <v>0</v>
      </c>
    </row>
    <row r="10" spans="1:39" ht="15.75" hidden="1" x14ac:dyDescent="0.3">
      <c r="B10" s="11">
        <f>VALO_PERSO!F12</f>
        <v>0</v>
      </c>
      <c r="C10" s="11">
        <f>VALO_PERSO!G12</f>
        <v>0</v>
      </c>
      <c r="D10" s="11">
        <f>VALO_PERSO!H12</f>
        <v>0</v>
      </c>
      <c r="E10" s="11">
        <f>VALO_PERSO!I12</f>
        <v>0</v>
      </c>
      <c r="F10" s="11">
        <f>VALO_PERSO!J12</f>
        <v>0</v>
      </c>
      <c r="G10" s="11">
        <f>VALO_PERSO!K12</f>
        <v>0</v>
      </c>
      <c r="H10" s="11">
        <f>VALO_PERSO!P12</f>
        <v>0</v>
      </c>
      <c r="I10" s="11">
        <f>VALO_PERSO!R12</f>
        <v>0</v>
      </c>
      <c r="J10" s="11">
        <f>VALO_PERSO!S12</f>
        <v>0</v>
      </c>
      <c r="K10" s="29">
        <f>VALO_PERSO!V12</f>
        <v>0</v>
      </c>
      <c r="L10" s="29">
        <f>VALO_PERSO!W12</f>
        <v>0</v>
      </c>
      <c r="M10" s="29" t="str">
        <f>VALO_PERSO!X12</f>
        <v>Dépenses de personnel</v>
      </c>
      <c r="N10" s="11">
        <f>VALO_PERSO!Y12</f>
        <v>0</v>
      </c>
      <c r="O10" s="82">
        <f>VALO_PERSO!AA12</f>
        <v>0</v>
      </c>
      <c r="Q10" s="11">
        <f>VALO_PERSO!AD12</f>
        <v>4345</v>
      </c>
      <c r="R10" s="41"/>
      <c r="S10" s="82">
        <f>VALO_PERSO!AF12</f>
        <v>4345</v>
      </c>
      <c r="U10" s="11">
        <f>VALO_PERSO!AI12</f>
        <v>0</v>
      </c>
      <c r="V10" s="41"/>
      <c r="W10" s="82">
        <f>VALO_PERSO!AK12</f>
        <v>0</v>
      </c>
      <c r="Y10" s="29">
        <f>VALO_PERSO!AN12</f>
        <v>0</v>
      </c>
      <c r="Z10" s="82">
        <f>VALO_PERSO!AP12</f>
        <v>0</v>
      </c>
      <c r="AB10" s="11">
        <f>VALO_PERSO!AR12</f>
        <v>157130.66716306127</v>
      </c>
      <c r="AC10" s="41"/>
      <c r="AD10" s="82">
        <f>VALO_PERSO!AT12</f>
        <v>157130.66716306127</v>
      </c>
      <c r="AF10" s="11">
        <f>VALO_PERSO!AV12</f>
        <v>0</v>
      </c>
      <c r="AG10" s="41"/>
      <c r="AH10" s="82">
        <f>VALO_PERSO!AX12</f>
        <v>0</v>
      </c>
      <c r="AJ10" s="11">
        <f>VALO_PERSO!AZ12</f>
        <v>5953.7000000000007</v>
      </c>
      <c r="AK10" s="11">
        <f>VALO_PERSO!BA12</f>
        <v>0</v>
      </c>
      <c r="AL10" s="11">
        <f>VALO_PERSO!BB12</f>
        <v>10298.700000000001</v>
      </c>
      <c r="AM10" s="11">
        <f>VALO_PERSO!BC12</f>
        <v>0</v>
      </c>
    </row>
    <row r="11" spans="1:39" ht="15.75" hidden="1" x14ac:dyDescent="0.3">
      <c r="B11" s="11">
        <f>VALO_PERSO!F13</f>
        <v>0</v>
      </c>
      <c r="C11" s="11">
        <f>VALO_PERSO!G13</f>
        <v>0</v>
      </c>
      <c r="D11" s="11">
        <f>VALO_PERSO!H13</f>
        <v>0</v>
      </c>
      <c r="E11" s="11">
        <f>VALO_PERSO!I13</f>
        <v>0</v>
      </c>
      <c r="F11" s="11">
        <f>VALO_PERSO!J13</f>
        <v>0</v>
      </c>
      <c r="G11" s="11">
        <f>VALO_PERSO!K13</f>
        <v>0</v>
      </c>
      <c r="H11" s="11">
        <f>VALO_PERSO!P13</f>
        <v>0</v>
      </c>
      <c r="I11" s="11">
        <f>VALO_PERSO!R13</f>
        <v>0</v>
      </c>
      <c r="J11" s="11">
        <f>VALO_PERSO!S13</f>
        <v>0</v>
      </c>
      <c r="K11" s="29">
        <f>VALO_PERSO!V13</f>
        <v>0</v>
      </c>
      <c r="L11" s="29">
        <f>VALO_PERSO!W13</f>
        <v>0</v>
      </c>
      <c r="M11" s="29">
        <f>VALO_PERSO!X13</f>
        <v>0</v>
      </c>
      <c r="N11" s="11">
        <f>VALO_PERSO!Y13</f>
        <v>0</v>
      </c>
      <c r="O11" s="82">
        <f>VALO_PERSO!AA13</f>
        <v>0</v>
      </c>
      <c r="Q11" s="11">
        <f>VALO_PERSO!AD13</f>
        <v>0</v>
      </c>
      <c r="R11" s="41"/>
      <c r="S11" s="82">
        <f>VALO_PERSO!AF13</f>
        <v>0</v>
      </c>
      <c r="U11" s="11">
        <f>VALO_PERSO!AI13</f>
        <v>0</v>
      </c>
      <c r="V11" s="41"/>
      <c r="W11" s="82">
        <f>VALO_PERSO!AK13</f>
        <v>0</v>
      </c>
      <c r="Y11" s="29">
        <f>VALO_PERSO!AN13</f>
        <v>0</v>
      </c>
      <c r="Z11" s="82">
        <f>VALO_PERSO!AP13</f>
        <v>0</v>
      </c>
      <c r="AB11" s="11">
        <f>VALO_PERSO!AR13</f>
        <v>0</v>
      </c>
      <c r="AC11" s="41"/>
      <c r="AD11" s="82">
        <f>VALO_PERSO!AT13</f>
        <v>0</v>
      </c>
      <c r="AF11" s="11">
        <f>VALO_PERSO!AV13</f>
        <v>0</v>
      </c>
      <c r="AG11" s="41"/>
      <c r="AH11" s="82">
        <f>VALO_PERSO!AX13</f>
        <v>0</v>
      </c>
      <c r="AJ11" s="11">
        <f>VALO_PERSO!AZ13</f>
        <v>0</v>
      </c>
      <c r="AK11" s="11">
        <f>VALO_PERSO!BA13</f>
        <v>0</v>
      </c>
      <c r="AL11" s="11">
        <f>VALO_PERSO!BB13</f>
        <v>0</v>
      </c>
      <c r="AM11" s="11">
        <f>VALO_PERSO!BC13</f>
        <v>0</v>
      </c>
    </row>
    <row r="12" spans="1:39" ht="15.75" hidden="1" x14ac:dyDescent="0.3">
      <c r="B12" s="11" t="e">
        <f>VALO_PERSO!#REF!</f>
        <v>#REF!</v>
      </c>
      <c r="C12" s="11" t="e">
        <f>VALO_PERSO!#REF!</f>
        <v>#REF!</v>
      </c>
      <c r="D12" s="11" t="e">
        <f>VALO_PERSO!#REF!</f>
        <v>#REF!</v>
      </c>
      <c r="E12" s="11" t="e">
        <f>VALO_PERSO!#REF!</f>
        <v>#REF!</v>
      </c>
      <c r="F12" s="11" t="e">
        <f>VALO_PERSO!#REF!</f>
        <v>#REF!</v>
      </c>
      <c r="G12" s="11" t="e">
        <f>VALO_PERSO!#REF!</f>
        <v>#REF!</v>
      </c>
      <c r="H12" s="11" t="e">
        <f>VALO_PERSO!#REF!</f>
        <v>#REF!</v>
      </c>
      <c r="I12" s="11" t="e">
        <f>VALO_PERSO!#REF!</f>
        <v>#REF!</v>
      </c>
      <c r="J12" s="11" t="e">
        <f>VALO_PERSO!#REF!</f>
        <v>#REF!</v>
      </c>
      <c r="K12" s="29" t="e">
        <f>VALO_PERSO!#REF!</f>
        <v>#REF!</v>
      </c>
      <c r="L12" s="29" t="e">
        <f>VALO_PERSO!#REF!</f>
        <v>#REF!</v>
      </c>
      <c r="M12" s="29" t="e">
        <f>VALO_PERSO!#REF!</f>
        <v>#REF!</v>
      </c>
      <c r="N12" s="11" t="e">
        <f>VALO_PERSO!#REF!</f>
        <v>#REF!</v>
      </c>
      <c r="O12" s="82" t="e">
        <f t="shared" ref="O12:O14" si="0">SUM(N12:N12)</f>
        <v>#REF!</v>
      </c>
      <c r="Q12" s="11" t="e">
        <f>VALO_PERSO!#REF!</f>
        <v>#REF!</v>
      </c>
      <c r="R12" s="41"/>
      <c r="S12" s="82" t="e">
        <f>VALO_PERSO!#REF!</f>
        <v>#REF!</v>
      </c>
      <c r="U12" s="11" t="e">
        <f>VALO_PERSO!#REF!</f>
        <v>#REF!</v>
      </c>
      <c r="V12" s="41"/>
      <c r="W12" s="82" t="e">
        <f>VALO_PERSO!#REF!</f>
        <v>#REF!</v>
      </c>
      <c r="Y12" s="29" t="e">
        <f>VALO_PERSO!#REF!</f>
        <v>#REF!</v>
      </c>
      <c r="Z12" s="82" t="e">
        <f>VALO_PERSO!#REF!</f>
        <v>#REF!</v>
      </c>
      <c r="AB12" s="11" t="e">
        <f>VALO_PERSO!#REF!</f>
        <v>#REF!</v>
      </c>
      <c r="AC12" s="41"/>
      <c r="AD12" s="82" t="e">
        <f>VALO_PERSO!#REF!</f>
        <v>#REF!</v>
      </c>
      <c r="AF12" s="11" t="e">
        <f>VALO_PERSO!#REF!</f>
        <v>#REF!</v>
      </c>
      <c r="AG12" s="41"/>
      <c r="AH12" s="82" t="e">
        <f>VALO_PERSO!#REF!</f>
        <v>#REF!</v>
      </c>
      <c r="AJ12" s="11" t="e">
        <f>VALO_PERSO!#REF!</f>
        <v>#REF!</v>
      </c>
      <c r="AK12" s="11" t="e">
        <f>VALO_PERSO!#REF!</f>
        <v>#REF!</v>
      </c>
      <c r="AL12" s="11" t="e">
        <f>VALO_PERSO!#REF!</f>
        <v>#REF!</v>
      </c>
      <c r="AM12" s="11" t="e">
        <f>VALO_PERSO!#REF!</f>
        <v>#REF!</v>
      </c>
    </row>
    <row r="13" spans="1:39" ht="15.75" hidden="1" x14ac:dyDescent="0.3">
      <c r="A13" s="112" t="s">
        <v>816</v>
      </c>
      <c r="B13" s="11" t="e">
        <f>VALO_PERSO!#REF!</f>
        <v>#REF!</v>
      </c>
      <c r="C13" s="11" t="e">
        <f>VALO_PERSO!#REF!</f>
        <v>#REF!</v>
      </c>
      <c r="D13" s="11" t="e">
        <f>VALO_PERSO!#REF!</f>
        <v>#REF!</v>
      </c>
      <c r="E13" s="11" t="e">
        <f>VALO_PERSO!#REF!</f>
        <v>#REF!</v>
      </c>
      <c r="F13" s="11" t="e">
        <f>VALO_PERSO!#REF!</f>
        <v>#REF!</v>
      </c>
      <c r="G13" s="11" t="e">
        <f>VALO_PERSO!#REF!</f>
        <v>#REF!</v>
      </c>
      <c r="H13" s="11" t="e">
        <f>VALO_PERSO!#REF!</f>
        <v>#REF!</v>
      </c>
      <c r="I13" s="11" t="e">
        <f>VALO_PERSO!#REF!</f>
        <v>#REF!</v>
      </c>
      <c r="J13" s="11" t="e">
        <f>VALO_PERSO!#REF!</f>
        <v>#REF!</v>
      </c>
      <c r="K13" s="29" t="e">
        <f>VALO_PERSO!#REF!</f>
        <v>#REF!</v>
      </c>
      <c r="L13" s="29" t="e">
        <f>VALO_PERSO!#REF!</f>
        <v>#REF!</v>
      </c>
      <c r="M13" s="29" t="e">
        <f>VALO_PERSO!#REF!</f>
        <v>#REF!</v>
      </c>
      <c r="N13" s="11" t="e">
        <f>VALO_PERSO!#REF!</f>
        <v>#REF!</v>
      </c>
      <c r="O13" s="82" t="e">
        <f t="shared" si="0"/>
        <v>#REF!</v>
      </c>
      <c r="Q13" s="11" t="e">
        <f>VALO_PERSO!#REF!</f>
        <v>#REF!</v>
      </c>
      <c r="R13" s="41"/>
      <c r="S13" s="82" t="e">
        <f>VALO_PERSO!#REF!</f>
        <v>#REF!</v>
      </c>
      <c r="U13" s="11" t="e">
        <f>VALO_PERSO!#REF!</f>
        <v>#REF!</v>
      </c>
      <c r="V13" s="41"/>
      <c r="W13" s="82" t="e">
        <f>VALO_PERSO!#REF!</f>
        <v>#REF!</v>
      </c>
      <c r="Y13" s="29" t="e">
        <f>VALO_PERSO!#REF!</f>
        <v>#REF!</v>
      </c>
      <c r="Z13" s="82" t="e">
        <f>VALO_PERSO!#REF!</f>
        <v>#REF!</v>
      </c>
      <c r="AB13" s="11" t="e">
        <f>VALO_PERSO!#REF!</f>
        <v>#REF!</v>
      </c>
      <c r="AC13" s="41"/>
      <c r="AD13" s="82" t="e">
        <f>VALO_PERSO!#REF!</f>
        <v>#REF!</v>
      </c>
      <c r="AF13" s="11" t="e">
        <f>VALO_PERSO!#REF!</f>
        <v>#REF!</v>
      </c>
      <c r="AG13" s="41"/>
      <c r="AH13" s="82" t="e">
        <f>VALO_PERSO!#REF!</f>
        <v>#REF!</v>
      </c>
      <c r="AJ13" s="11" t="e">
        <f>VALO_PERSO!#REF!</f>
        <v>#REF!</v>
      </c>
      <c r="AK13" s="11" t="e">
        <f>VALO_PERSO!#REF!</f>
        <v>#REF!</v>
      </c>
      <c r="AL13" s="11" t="e">
        <f>VALO_PERSO!#REF!</f>
        <v>#REF!</v>
      </c>
      <c r="AM13" s="11" t="e">
        <f>VALO_PERSO!#REF!</f>
        <v>#REF!</v>
      </c>
    </row>
    <row r="14" spans="1:39" ht="15.75" hidden="1" x14ac:dyDescent="0.3">
      <c r="B14" s="11" t="e">
        <f>VALO_PERSO!#REF!</f>
        <v>#REF!</v>
      </c>
      <c r="C14" s="11" t="e">
        <f>VALO_PERSO!#REF!</f>
        <v>#REF!</v>
      </c>
      <c r="D14" s="11" t="e">
        <f>VALO_PERSO!#REF!</f>
        <v>#REF!</v>
      </c>
      <c r="E14" s="11" t="e">
        <f>VALO_PERSO!#REF!</f>
        <v>#REF!</v>
      </c>
      <c r="F14" s="11" t="e">
        <f>VALO_PERSO!#REF!</f>
        <v>#REF!</v>
      </c>
      <c r="G14" s="11" t="e">
        <f>VALO_PERSO!#REF!</f>
        <v>#REF!</v>
      </c>
      <c r="H14" s="11" t="e">
        <f>VALO_PERSO!#REF!</f>
        <v>#REF!</v>
      </c>
      <c r="I14" s="11" t="e">
        <f>VALO_PERSO!#REF!</f>
        <v>#REF!</v>
      </c>
      <c r="J14" s="11" t="e">
        <f>VALO_PERSO!#REF!</f>
        <v>#REF!</v>
      </c>
      <c r="K14" s="29" t="e">
        <f>VALO_PERSO!#REF!</f>
        <v>#REF!</v>
      </c>
      <c r="L14" s="29" t="e">
        <f>VALO_PERSO!#REF!</f>
        <v>#REF!</v>
      </c>
      <c r="M14" s="29" t="e">
        <f>VALO_PERSO!#REF!</f>
        <v>#REF!</v>
      </c>
      <c r="N14" s="11" t="e">
        <f>VALO_PERSO!#REF!</f>
        <v>#REF!</v>
      </c>
      <c r="O14" s="82" t="e">
        <f t="shared" si="0"/>
        <v>#REF!</v>
      </c>
      <c r="Q14" s="11" t="e">
        <f>VALO_PERSO!#REF!</f>
        <v>#REF!</v>
      </c>
      <c r="R14" s="41"/>
      <c r="S14" s="82" t="e">
        <f>VALO_PERSO!#REF!</f>
        <v>#REF!</v>
      </c>
      <c r="U14" s="11" t="e">
        <f>VALO_PERSO!#REF!</f>
        <v>#REF!</v>
      </c>
      <c r="V14" s="41"/>
      <c r="W14" s="82" t="e">
        <f>VALO_PERSO!#REF!</f>
        <v>#REF!</v>
      </c>
      <c r="Y14" s="29" t="e">
        <f>VALO_PERSO!#REF!</f>
        <v>#REF!</v>
      </c>
      <c r="Z14" s="82" t="e">
        <f>VALO_PERSO!#REF!</f>
        <v>#REF!</v>
      </c>
      <c r="AB14" s="11" t="e">
        <f>VALO_PERSO!#REF!</f>
        <v>#REF!</v>
      </c>
      <c r="AC14" s="41"/>
      <c r="AD14" s="82" t="e">
        <f>VALO_PERSO!#REF!</f>
        <v>#REF!</v>
      </c>
      <c r="AF14" s="11" t="e">
        <f>VALO_PERSO!#REF!</f>
        <v>#REF!</v>
      </c>
      <c r="AG14" s="41"/>
      <c r="AH14" s="82" t="e">
        <f>VALO_PERSO!#REF!</f>
        <v>#REF!</v>
      </c>
      <c r="AJ14" s="11" t="e">
        <f>VALO_PERSO!#REF!</f>
        <v>#REF!</v>
      </c>
      <c r="AK14" s="11" t="e">
        <f>VALO_PERSO!#REF!</f>
        <v>#REF!</v>
      </c>
      <c r="AL14" s="11" t="e">
        <f>VALO_PERSO!#REF!</f>
        <v>#REF!</v>
      </c>
      <c r="AM14" s="11" t="e">
        <f>VALO_PERSO!#REF!</f>
        <v>#REF!</v>
      </c>
    </row>
    <row r="15" spans="1:39" ht="15.75" thickBot="1" x14ac:dyDescent="0.3"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5" t="s">
        <v>360</v>
      </c>
      <c r="N15" s="66" t="e">
        <f>SUM(N3:N14)</f>
        <v>#REF!</v>
      </c>
      <c r="O15" s="66" t="e">
        <f>SUM(O3:O14)</f>
        <v>#REF!</v>
      </c>
      <c r="Q15" s="66">
        <f>SUM(Q3:Q9)</f>
        <v>4345</v>
      </c>
      <c r="R15" s="66">
        <f>SUM(R3:R9)</f>
        <v>0</v>
      </c>
      <c r="S15" s="66">
        <f>SUM(S3:S9)</f>
        <v>4345</v>
      </c>
      <c r="U15" s="66" t="e">
        <f>SUM(U3:U14)</f>
        <v>#REF!</v>
      </c>
      <c r="V15" s="68">
        <f>SUM(V3:V14)</f>
        <v>0</v>
      </c>
      <c r="W15" s="66" t="e">
        <f>SUM(W3:W14)</f>
        <v>#REF!</v>
      </c>
      <c r="Y15" s="66" t="e">
        <f>SUM(Y3:Y14)</f>
        <v>#REF!</v>
      </c>
      <c r="Z15" s="66" t="e">
        <f>SUM(Z3:Z14)</f>
        <v>#REF!</v>
      </c>
      <c r="AB15" s="66">
        <f>SUM(AB3:AB9)</f>
        <v>157130.66716306127</v>
      </c>
      <c r="AC15" s="66">
        <f t="shared" ref="AC15:AD15" si="1">SUM(AC3:AC9)</f>
        <v>0</v>
      </c>
      <c r="AD15" s="66">
        <f t="shared" si="1"/>
        <v>157130.66716306127</v>
      </c>
      <c r="AF15" s="66" t="e">
        <f>SUM(AF3:AF14)</f>
        <v>#REF!</v>
      </c>
      <c r="AG15" s="68">
        <f>SUM(AG3:AG14)</f>
        <v>0</v>
      </c>
      <c r="AH15" s="66" t="e">
        <f>SUM(AH3:AH14)</f>
        <v>#REF!</v>
      </c>
      <c r="AJ15" s="66">
        <f t="shared" ref="AJ15:AM15" si="2">SUM(AJ3:AJ9)</f>
        <v>5953.7000000000007</v>
      </c>
      <c r="AK15" s="66">
        <f t="shared" si="2"/>
        <v>0</v>
      </c>
      <c r="AL15" s="66">
        <f t="shared" si="2"/>
        <v>10298.700000000001</v>
      </c>
      <c r="AM15" s="66">
        <f t="shared" si="2"/>
        <v>0</v>
      </c>
    </row>
    <row r="17" spans="11:26" ht="15.75" thickBot="1" x14ac:dyDescent="0.3">
      <c r="K17" s="216"/>
      <c r="L17" s="216"/>
      <c r="M17" s="217" t="s">
        <v>502</v>
      </c>
      <c r="Y17" s="66">
        <f>VALO_PERSO!AN14</f>
        <v>0</v>
      </c>
      <c r="Z17" s="66">
        <f>VALO_PERSO!AP14</f>
        <v>0</v>
      </c>
    </row>
    <row r="19" spans="11:26" ht="15.75" thickBot="1" x14ac:dyDescent="0.3">
      <c r="K19" s="62"/>
      <c r="L19" s="62"/>
      <c r="M19" s="65" t="s">
        <v>503</v>
      </c>
      <c r="Y19" s="66">
        <f>VALO_PERSO!AN16</f>
        <v>0</v>
      </c>
      <c r="Z19" s="66">
        <f>VALO_PERSO!AP16</f>
        <v>0</v>
      </c>
    </row>
  </sheetData>
  <conditionalFormatting sqref="L1">
    <cfRule type="duplicateValues" dxfId="153" priority="1"/>
  </conditionalFormatting>
  <conditionalFormatting sqref="B3:G14">
    <cfRule type="expression" dxfId="152" priority="104">
      <formula>#REF!&gt;0</formula>
    </cfRule>
  </conditionalFormatting>
  <conditionalFormatting sqref="H1:J1">
    <cfRule type="duplicateValues" dxfId="151" priority="105"/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0AB8-05BE-4152-8C8E-0FF24DD17EDC}">
  <sheetPr codeName="Feuil16">
    <tabColor theme="2" tint="-0.249977111117893"/>
  </sheetPr>
  <dimension ref="A2:R15"/>
  <sheetViews>
    <sheetView showGridLines="0" workbookViewId="0">
      <selection activeCell="D13" sqref="D13"/>
    </sheetView>
  </sheetViews>
  <sheetFormatPr baseColWidth="10" defaultColWidth="11.42578125" defaultRowHeight="12.75" x14ac:dyDescent="0.2"/>
  <cols>
    <col min="1" max="1" width="11.42578125" style="205"/>
    <col min="2" max="2" width="72" style="205" customWidth="1"/>
    <col min="3" max="3" width="35" style="205" bestFit="1" customWidth="1"/>
    <col min="4" max="4" width="44.85546875" style="205" customWidth="1"/>
    <col min="5" max="5" width="20.42578125" style="208" customWidth="1"/>
    <col min="6" max="6" width="55.42578125" style="205" customWidth="1"/>
    <col min="7" max="7" width="15.5703125" style="205" bestFit="1" customWidth="1"/>
    <col min="8" max="13" width="11.42578125" style="205"/>
    <col min="14" max="14" width="19.28515625" style="205" bestFit="1" customWidth="1"/>
    <col min="15" max="15" width="25.7109375" style="205" bestFit="1" customWidth="1"/>
    <col min="16" max="16" width="17.42578125" style="205" customWidth="1"/>
    <col min="17" max="17" width="22.5703125" style="205" bestFit="1" customWidth="1"/>
    <col min="18" max="16384" width="11.42578125" style="205"/>
  </cols>
  <sheetData>
    <row r="2" spans="1:18" ht="38.25" x14ac:dyDescent="0.2">
      <c r="A2" s="204" t="s">
        <v>839</v>
      </c>
      <c r="B2" s="204" t="s">
        <v>504</v>
      </c>
      <c r="C2" s="204" t="s">
        <v>505</v>
      </c>
      <c r="D2" s="204" t="s">
        <v>506</v>
      </c>
      <c r="E2" s="444" t="s">
        <v>507</v>
      </c>
      <c r="F2" s="444" t="s">
        <v>508</v>
      </c>
      <c r="H2" s="206"/>
    </row>
    <row r="3" spans="1:18" ht="25.5" x14ac:dyDescent="0.2">
      <c r="A3" s="440" t="s">
        <v>509</v>
      </c>
      <c r="B3" s="441" t="s">
        <v>510</v>
      </c>
      <c r="C3" s="441" t="s">
        <v>511</v>
      </c>
      <c r="D3" s="441" t="s">
        <v>512</v>
      </c>
      <c r="E3" s="445">
        <f>7*5*52</f>
        <v>1820</v>
      </c>
      <c r="F3" s="441" t="s">
        <v>513</v>
      </c>
      <c r="G3" s="207"/>
      <c r="H3" s="206"/>
      <c r="R3" s="205" t="s">
        <v>509</v>
      </c>
    </row>
    <row r="4" spans="1:18" ht="25.5" x14ac:dyDescent="0.2">
      <c r="A4" s="440" t="s">
        <v>509</v>
      </c>
      <c r="B4" s="441" t="s">
        <v>514</v>
      </c>
      <c r="C4" s="441" t="s">
        <v>511</v>
      </c>
      <c r="D4" s="441" t="s">
        <v>512</v>
      </c>
      <c r="E4" s="445">
        <f>7.8*5*52</f>
        <v>2028</v>
      </c>
      <c r="F4" s="441"/>
      <c r="G4" s="207"/>
      <c r="H4" s="206"/>
      <c r="R4" s="205" t="s">
        <v>515</v>
      </c>
    </row>
    <row r="5" spans="1:18" ht="25.5" x14ac:dyDescent="0.2">
      <c r="A5" s="440" t="s">
        <v>509</v>
      </c>
      <c r="B5" s="441" t="s">
        <v>516</v>
      </c>
      <c r="C5" s="441" t="s">
        <v>511</v>
      </c>
      <c r="D5" s="441" t="s">
        <v>512</v>
      </c>
      <c r="E5" s="445">
        <f>8*5*52</f>
        <v>2080</v>
      </c>
      <c r="F5" s="441"/>
      <c r="G5" s="207"/>
      <c r="H5" s="206"/>
      <c r="R5" s="205" t="s">
        <v>517</v>
      </c>
    </row>
    <row r="6" spans="1:18" ht="25.5" x14ac:dyDescent="0.2">
      <c r="A6" s="440" t="s">
        <v>515</v>
      </c>
      <c r="B6" s="441" t="s">
        <v>518</v>
      </c>
      <c r="C6" s="441" t="s">
        <v>511</v>
      </c>
      <c r="D6" s="441" t="s">
        <v>512</v>
      </c>
      <c r="E6" s="445">
        <f>7*5*52</f>
        <v>1820</v>
      </c>
      <c r="F6" s="441" t="s">
        <v>513</v>
      </c>
      <c r="R6" s="205" t="s">
        <v>519</v>
      </c>
    </row>
    <row r="7" spans="1:18" x14ac:dyDescent="0.2">
      <c r="A7" s="440" t="s">
        <v>515</v>
      </c>
      <c r="B7" s="441" t="s">
        <v>520</v>
      </c>
      <c r="C7" s="441" t="s">
        <v>511</v>
      </c>
      <c r="D7" s="441" t="s">
        <v>512</v>
      </c>
      <c r="E7" s="445">
        <f>7.8*5*52</f>
        <v>2028</v>
      </c>
      <c r="F7" s="441"/>
      <c r="R7" s="205" t="s">
        <v>521</v>
      </c>
    </row>
    <row r="8" spans="1:18" x14ac:dyDescent="0.2">
      <c r="A8" s="440" t="s">
        <v>515</v>
      </c>
      <c r="B8" s="441" t="s">
        <v>522</v>
      </c>
      <c r="C8" s="441" t="s">
        <v>511</v>
      </c>
      <c r="D8" s="441" t="s">
        <v>512</v>
      </c>
      <c r="E8" s="445">
        <f>8*5*52</f>
        <v>2080</v>
      </c>
      <c r="F8" s="441"/>
    </row>
    <row r="9" spans="1:18" ht="25.5" x14ac:dyDescent="0.2">
      <c r="A9" s="440" t="s">
        <v>517</v>
      </c>
      <c r="B9" s="441" t="s">
        <v>523</v>
      </c>
      <c r="C9" s="441" t="s">
        <v>524</v>
      </c>
      <c r="D9" s="441" t="s">
        <v>525</v>
      </c>
      <c r="E9" s="445" t="s">
        <v>526</v>
      </c>
      <c r="F9" s="441" t="s">
        <v>527</v>
      </c>
    </row>
    <row r="10" spans="1:18" ht="25.5" x14ac:dyDescent="0.2">
      <c r="A10" s="440" t="s">
        <v>517</v>
      </c>
      <c r="B10" s="441" t="s">
        <v>528</v>
      </c>
      <c r="C10" s="441" t="s">
        <v>524</v>
      </c>
      <c r="D10" s="441" t="s">
        <v>529</v>
      </c>
      <c r="E10" s="445" t="s">
        <v>526</v>
      </c>
      <c r="F10" s="441" t="s">
        <v>527</v>
      </c>
    </row>
    <row r="11" spans="1:18" ht="25.5" x14ac:dyDescent="0.2">
      <c r="A11" s="440" t="s">
        <v>517</v>
      </c>
      <c r="B11" s="441" t="s">
        <v>530</v>
      </c>
      <c r="C11" s="441" t="s">
        <v>524</v>
      </c>
      <c r="D11" s="441" t="s">
        <v>531</v>
      </c>
      <c r="E11" s="445" t="s">
        <v>526</v>
      </c>
      <c r="F11" s="441" t="s">
        <v>527</v>
      </c>
    </row>
    <row r="12" spans="1:18" ht="25.5" x14ac:dyDescent="0.2">
      <c r="A12" s="440" t="s">
        <v>519</v>
      </c>
      <c r="B12" s="441" t="s">
        <v>532</v>
      </c>
      <c r="C12" s="441" t="s">
        <v>533</v>
      </c>
      <c r="D12" s="441" t="s">
        <v>534</v>
      </c>
      <c r="E12" s="445" t="s">
        <v>526</v>
      </c>
      <c r="F12" s="441" t="s">
        <v>535</v>
      </c>
    </row>
    <row r="13" spans="1:18" ht="25.5" x14ac:dyDescent="0.2">
      <c r="A13" s="440" t="s">
        <v>519</v>
      </c>
      <c r="B13" s="441" t="s">
        <v>536</v>
      </c>
      <c r="C13" s="441" t="s">
        <v>533</v>
      </c>
      <c r="D13" s="441" t="s">
        <v>537</v>
      </c>
      <c r="E13" s="445" t="s">
        <v>526</v>
      </c>
      <c r="F13" s="441" t="s">
        <v>535</v>
      </c>
    </row>
    <row r="14" spans="1:18" ht="25.5" x14ac:dyDescent="0.2">
      <c r="A14" s="440" t="s">
        <v>521</v>
      </c>
      <c r="B14" s="441" t="s">
        <v>538</v>
      </c>
      <c r="C14" s="441" t="s">
        <v>539</v>
      </c>
      <c r="D14" s="441" t="s">
        <v>540</v>
      </c>
      <c r="E14" s="445">
        <f>218*8</f>
        <v>1744</v>
      </c>
      <c r="F14" s="441" t="s">
        <v>535</v>
      </c>
    </row>
    <row r="15" spans="1:18" x14ac:dyDescent="0.2">
      <c r="A15" s="440" t="s">
        <v>521</v>
      </c>
      <c r="B15" s="442" t="s">
        <v>541</v>
      </c>
      <c r="C15" s="442" t="s">
        <v>539</v>
      </c>
      <c r="D15" s="442" t="s">
        <v>542</v>
      </c>
      <c r="E15" s="443">
        <f>47*35</f>
        <v>1645</v>
      </c>
      <c r="F15" s="442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143D-AF21-49F5-B30E-B2C40FE280BA}">
  <sheetPr codeName="Feuil12">
    <tabColor theme="4" tint="-0.249977111117893"/>
  </sheetPr>
  <dimension ref="A1:P35"/>
  <sheetViews>
    <sheetView showGridLines="0" topLeftCell="A15" workbookViewId="0">
      <selection activeCell="I28" sqref="I28"/>
    </sheetView>
  </sheetViews>
  <sheetFormatPr baseColWidth="10" defaultColWidth="11.42578125" defaultRowHeight="15" x14ac:dyDescent="0.25"/>
  <cols>
    <col min="4" max="4" width="13" bestFit="1" customWidth="1"/>
    <col min="5" max="5" width="15.5703125" bestFit="1" customWidth="1"/>
    <col min="6" max="6" width="12.85546875" bestFit="1" customWidth="1"/>
    <col min="7" max="7" width="31" bestFit="1" customWidth="1"/>
    <col min="8" max="8" width="33.28515625" bestFit="1" customWidth="1"/>
    <col min="9" max="9" width="22.140625" bestFit="1" customWidth="1"/>
    <col min="11" max="12" width="15.42578125" bestFit="1" customWidth="1"/>
  </cols>
  <sheetData>
    <row r="1" spans="1:13" ht="18.75" x14ac:dyDescent="0.3">
      <c r="A1" s="459" t="s">
        <v>850</v>
      </c>
      <c r="B1" s="459"/>
      <c r="C1" s="459"/>
      <c r="G1" s="73"/>
      <c r="K1" s="73">
        <v>45658</v>
      </c>
      <c r="L1" s="73">
        <v>45703</v>
      </c>
      <c r="M1" s="73">
        <v>46022</v>
      </c>
    </row>
    <row r="3" spans="1:13" x14ac:dyDescent="0.25">
      <c r="A3" s="446"/>
      <c r="B3" s="447" t="s">
        <v>543</v>
      </c>
      <c r="C3" s="446"/>
      <c r="D3" s="112"/>
    </row>
    <row r="4" spans="1:13" x14ac:dyDescent="0.25">
      <c r="A4" s="448"/>
      <c r="B4" s="448"/>
      <c r="C4" s="448"/>
    </row>
    <row r="5" spans="1:13" x14ac:dyDescent="0.25">
      <c r="A5" s="448" t="s">
        <v>366</v>
      </c>
      <c r="B5" s="448" t="s">
        <v>544</v>
      </c>
      <c r="C5" s="448" t="s">
        <v>368</v>
      </c>
      <c r="D5" t="s">
        <v>846</v>
      </c>
      <c r="E5" t="s">
        <v>840</v>
      </c>
      <c r="F5" t="s">
        <v>841</v>
      </c>
      <c r="G5" t="s">
        <v>853</v>
      </c>
      <c r="H5" t="s">
        <v>854</v>
      </c>
      <c r="I5" t="s">
        <v>842</v>
      </c>
      <c r="J5" t="s">
        <v>843</v>
      </c>
      <c r="K5" t="s">
        <v>844</v>
      </c>
      <c r="L5" t="s">
        <v>845</v>
      </c>
    </row>
    <row r="6" spans="1:13" x14ac:dyDescent="0.25">
      <c r="A6" s="448">
        <v>1</v>
      </c>
      <c r="B6" s="448"/>
      <c r="C6" s="448"/>
      <c r="D6" t="str">
        <f>VLOOKUP(A6,VALO_PERSO!F:L,7,0)</f>
        <v>Technicien</v>
      </c>
      <c r="E6" s="73">
        <f>IF(VLOOKUP(A6,VALO_PERSO!$F:$M,8,0)&lt;='Calcul FF'!$K$1,'Calcul FF'!$K$1,VLOOKUP(A6,VALO_PERSO!$F:$M,8,0))</f>
        <v>45658</v>
      </c>
      <c r="F6" s="73">
        <f>IF(ISBLANK(VLOOKUP(A6,VALO_PERSO!$F:$N,9,0)),'Calcul FF'!$M$1,VLOOKUP(A6,VALO_PERSO!$F:$N,9,0))</f>
        <v>46022</v>
      </c>
      <c r="G6" s="464">
        <f>IFERROR(IF(NETWORKDAYS(E6,$L$1)&lt;0,0,NETWORKDAYS(E6,$L$1)),0)</f>
        <v>33</v>
      </c>
      <c r="H6" s="464">
        <f>IFERROR(IF(NETWORKDAYS($L$1,F6)&lt;0,0,NETWORKDAYS($L$1,F6)),0)</f>
        <v>228</v>
      </c>
      <c r="I6" s="77">
        <f>IFERROR(IF(VLOOKUP(A6,VALO_PERSO!F:L,7,0)="jeune docteur",VLOOKUP(A6,VALO_PERSO!F:AP,37,0)*2*'Calcul FF'!G6/('Calcul FF'!G6+'Calcul FF'!H6),VLOOKUP(A6,VALO_PERSO!F:AP,37,0)*'Calcul FF'!G6/('Calcul FF'!G6+'Calcul FF'!H6)),0)</f>
        <v>0</v>
      </c>
      <c r="J6" s="77">
        <f>IFERROR(VLOOKUP(A6,VALO_PERSO!F:AP,37,0)*'Calcul FF'!H6/('Calcul FF'!G6+'Calcul FF'!H6),0)</f>
        <v>0</v>
      </c>
      <c r="K6" s="77">
        <f>IFERROR(IF(D6="jeune docteur",I6,I6*0.43),0)</f>
        <v>0</v>
      </c>
      <c r="L6" s="77">
        <f>IFERROR(J6*0.4,0)</f>
        <v>0</v>
      </c>
    </row>
    <row r="7" spans="1:13" x14ac:dyDescent="0.25">
      <c r="A7" s="448">
        <v>2</v>
      </c>
      <c r="B7" s="448"/>
      <c r="C7" s="448"/>
      <c r="D7" t="str">
        <f>VLOOKUP(A7,VALO_PERSO!F:L,7,0)</f>
        <v>Technicien</v>
      </c>
      <c r="E7" s="73">
        <f>IF(VLOOKUP(A7,VALO_PERSO!$F:$M,8,0)&lt;='Calcul FF'!$K$1,'Calcul FF'!$K$1,VLOOKUP(A7,VALO_PERSO!$F:$M,8,0))</f>
        <v>45658</v>
      </c>
      <c r="F7" s="73">
        <f>IF(ISBLANK(VLOOKUP(A7,VALO_PERSO!$F:$N,9,0)),'Calcul FF'!$M$1,VLOOKUP(A7,VALO_PERSO!$F:$N,9,0))</f>
        <v>46022</v>
      </c>
      <c r="G7" s="464">
        <f t="shared" ref="G7:G13" si="0">IFERROR(IF(NETWORKDAYS(E7,$L$1)&lt;0,0,NETWORKDAYS(E7,$L$1)),0)</f>
        <v>33</v>
      </c>
      <c r="H7" s="464">
        <f t="shared" ref="H7:H13" si="1">IFERROR(IF(NETWORKDAYS($L$1,F7)&lt;0,0,NETWORKDAYS($L$1,F7)),0)</f>
        <v>228</v>
      </c>
      <c r="I7" s="77">
        <f>IFERROR(IF(VLOOKUP(A7,VALO_PERSO!F:L,7,0)="jeune docteur",VLOOKUP(A7,VALO_PERSO!F:AP,37,0)*2*'Calcul FF'!G7/('Calcul FF'!G7+'Calcul FF'!H7),VLOOKUP(A7,VALO_PERSO!F:AP,37,0)*'Calcul FF'!G7/('Calcul FF'!G7+'Calcul FF'!H7)),0)</f>
        <v>0</v>
      </c>
      <c r="J7" s="77">
        <f>IFERROR(VLOOKUP(A7,VALO_PERSO!F:AP,37,0)*'Calcul FF'!H7/('Calcul FF'!G7+'Calcul FF'!H7),0)</f>
        <v>0</v>
      </c>
      <c r="K7" s="77">
        <f t="shared" ref="K7:K13" si="2">IFERROR(IF(D7="jeune docteur",I7,I7*0.43),0)</f>
        <v>0</v>
      </c>
      <c r="L7" s="77">
        <f t="shared" ref="L7:L13" si="3">IFERROR(J7*0.4,0)</f>
        <v>0</v>
      </c>
    </row>
    <row r="8" spans="1:13" x14ac:dyDescent="0.25">
      <c r="A8" s="448">
        <v>3</v>
      </c>
      <c r="B8" s="448"/>
      <c r="C8" s="448"/>
      <c r="D8" t="e">
        <f>VLOOKUP(A8,VALO_PERSO!F:L,7,0)</f>
        <v>#N/A</v>
      </c>
      <c r="E8" s="73" t="e">
        <f>IF(VLOOKUP(A8,VALO_PERSO!$F:$M,8,0)&lt;='Calcul FF'!$K$1,'Calcul FF'!$K$1,VLOOKUP(A8,VALO_PERSO!$F:$M,8,0))</f>
        <v>#N/A</v>
      </c>
      <c r="F8" s="73" t="e">
        <f>IF(ISBLANK(VLOOKUP(A8,VALO_PERSO!$F:$N,9,0)),'Calcul FF'!$M$1,VLOOKUP(A8,VALO_PERSO!$F:$N,9,0))</f>
        <v>#N/A</v>
      </c>
      <c r="G8" s="464">
        <f t="shared" si="0"/>
        <v>0</v>
      </c>
      <c r="H8" s="464">
        <f t="shared" si="1"/>
        <v>0</v>
      </c>
      <c r="I8" s="77">
        <f>IFERROR(IF(VLOOKUP(A8,VALO_PERSO!F:L,7,0)="jeune docteur",VLOOKUP(A8,VALO_PERSO!F:AP,37,0)*2*'Calcul FF'!G8/('Calcul FF'!G8+'Calcul FF'!H8),VLOOKUP(A8,VALO_PERSO!F:AP,37,0)*'Calcul FF'!G8/('Calcul FF'!G8+'Calcul FF'!H8)),0)</f>
        <v>0</v>
      </c>
      <c r="J8" s="77">
        <f>IFERROR(VLOOKUP(A8,VALO_PERSO!F:AP,37,0)*'Calcul FF'!H8/('Calcul FF'!G8+'Calcul FF'!H8),0)</f>
        <v>0</v>
      </c>
      <c r="K8" s="77">
        <f t="shared" si="2"/>
        <v>0</v>
      </c>
      <c r="L8" s="77">
        <f t="shared" si="3"/>
        <v>0</v>
      </c>
    </row>
    <row r="9" spans="1:13" x14ac:dyDescent="0.25">
      <c r="A9" s="448">
        <v>4</v>
      </c>
      <c r="B9" s="448"/>
      <c r="C9" s="448"/>
      <c r="D9" t="e">
        <f>VLOOKUP(A9,VALO_PERSO!F:L,7,0)</f>
        <v>#N/A</v>
      </c>
      <c r="E9" s="73" t="e">
        <f>IF(VLOOKUP(A9,VALO_PERSO!$F:$M,8,0)&lt;='Calcul FF'!$K$1,'Calcul FF'!$K$1,VLOOKUP(A9,VALO_PERSO!$F:$M,8,0))</f>
        <v>#N/A</v>
      </c>
      <c r="F9" s="73" t="e">
        <f>IF(ISBLANK(VLOOKUP(A9,VALO_PERSO!$F:$N,9,0)),'Calcul FF'!$M$1,VLOOKUP(A9,VALO_PERSO!$F:$N,9,0))</f>
        <v>#N/A</v>
      </c>
      <c r="G9" s="464">
        <f t="shared" si="0"/>
        <v>0</v>
      </c>
      <c r="H9" s="464">
        <f t="shared" si="1"/>
        <v>0</v>
      </c>
      <c r="I9" s="77">
        <f>IFERROR(IF(VLOOKUP(A9,VALO_PERSO!F:L,7,0)="jeune docteur",VLOOKUP(A9,VALO_PERSO!F:AP,37,0)*2*'Calcul FF'!G9/('Calcul FF'!G9+'Calcul FF'!H9),VLOOKUP(A9,VALO_PERSO!F:AP,37,0)*'Calcul FF'!G9/('Calcul FF'!G9+'Calcul FF'!H9)),0)</f>
        <v>0</v>
      </c>
      <c r="J9" s="77">
        <f>IFERROR(VLOOKUP(A9,VALO_PERSO!F:AP,37,0)*'Calcul FF'!H9/('Calcul FF'!G9+'Calcul FF'!H9),0)</f>
        <v>0</v>
      </c>
      <c r="K9" s="77">
        <f t="shared" si="2"/>
        <v>0</v>
      </c>
      <c r="L9" s="77">
        <f t="shared" si="3"/>
        <v>0</v>
      </c>
    </row>
    <row r="10" spans="1:13" x14ac:dyDescent="0.25">
      <c r="A10" s="448">
        <v>5</v>
      </c>
      <c r="B10" s="448"/>
      <c r="C10" s="448"/>
      <c r="D10" t="str">
        <f>VLOOKUP(A10,VALO_PERSO!F:L,7,0)</f>
        <v>Stagiaire/apprenti</v>
      </c>
      <c r="E10" s="73">
        <f>IF(VLOOKUP(A10,VALO_PERSO!$F:$M,8,0)&lt;='Calcul FF'!$K$1,'Calcul FF'!$K$1,VLOOKUP(A10,VALO_PERSO!$F:$M,8,0))</f>
        <v>45658</v>
      </c>
      <c r="F10" s="73">
        <f>IF(ISBLANK(VLOOKUP(A10,VALO_PERSO!$F:$N,9,0)),'Calcul FF'!$M$1,VLOOKUP(A10,VALO_PERSO!$F:$N,9,0))</f>
        <v>46022</v>
      </c>
      <c r="G10" s="464">
        <f t="shared" si="0"/>
        <v>33</v>
      </c>
      <c r="H10" s="464">
        <f t="shared" si="1"/>
        <v>228</v>
      </c>
      <c r="I10" s="77">
        <f>IFERROR(IF(VLOOKUP(A10,VALO_PERSO!F:L,7,0)="jeune docteur",VLOOKUP(A10,VALO_PERSO!F:AP,37,0)*2*'Calcul FF'!G10/('Calcul FF'!G10+'Calcul FF'!H10),VLOOKUP(A10,VALO_PERSO!F:AP,37,0)*'Calcul FF'!G10/('Calcul FF'!G10+'Calcul FF'!H10)),0)</f>
        <v>0</v>
      </c>
      <c r="J10" s="77">
        <f>IFERROR(VLOOKUP(A10,VALO_PERSO!F:AP,37,0)*'Calcul FF'!H10/('Calcul FF'!G10+'Calcul FF'!H10),0)</f>
        <v>0</v>
      </c>
      <c r="K10" s="77">
        <f t="shared" si="2"/>
        <v>0</v>
      </c>
      <c r="L10" s="77">
        <f t="shared" si="3"/>
        <v>0</v>
      </c>
    </row>
    <row r="11" spans="1:13" x14ac:dyDescent="0.25">
      <c r="A11" s="448">
        <v>6</v>
      </c>
      <c r="B11" s="448"/>
      <c r="C11" s="448"/>
      <c r="D11" t="e">
        <f>VLOOKUP(A11,VALO_PERSO!F:L,7,0)</f>
        <v>#N/A</v>
      </c>
      <c r="E11" s="73" t="e">
        <f>IF(VLOOKUP(A11,VALO_PERSO!$F:$M,8,0)&lt;='Calcul FF'!$K$1,'Calcul FF'!$K$1,VLOOKUP(A11,VALO_PERSO!$F:$M,8,0))</f>
        <v>#N/A</v>
      </c>
      <c r="F11" s="73" t="e">
        <f>IF(ISBLANK(VLOOKUP(A11,VALO_PERSO!$F:$N,9,0)),'Calcul FF'!$M$1,VLOOKUP(A11,VALO_PERSO!$F:$N,9,0))</f>
        <v>#N/A</v>
      </c>
      <c r="G11" s="464">
        <f t="shared" si="0"/>
        <v>0</v>
      </c>
      <c r="H11" s="464">
        <f t="shared" si="1"/>
        <v>0</v>
      </c>
      <c r="I11" s="77">
        <f>IFERROR(IF(VLOOKUP(A11,VALO_PERSO!F:L,7,0)="jeune docteur",VLOOKUP(A11,VALO_PERSO!F:AP,37,0)*2*'Calcul FF'!G11/('Calcul FF'!G11+'Calcul FF'!H11),VLOOKUP(A11,VALO_PERSO!F:AP,37,0)*'Calcul FF'!G11/('Calcul FF'!G11+'Calcul FF'!H11)),0)</f>
        <v>0</v>
      </c>
      <c r="J11" s="77">
        <f>IFERROR(VLOOKUP(A11,VALO_PERSO!F:AP,37,0)*'Calcul FF'!H11/('Calcul FF'!G11+'Calcul FF'!H11),0)</f>
        <v>0</v>
      </c>
      <c r="K11" s="77">
        <f t="shared" si="2"/>
        <v>0</v>
      </c>
      <c r="L11" s="77">
        <f t="shared" si="3"/>
        <v>0</v>
      </c>
    </row>
    <row r="12" spans="1:13" x14ac:dyDescent="0.25">
      <c r="A12" s="448">
        <v>7</v>
      </c>
      <c r="B12" s="448"/>
      <c r="C12" s="448"/>
      <c r="D12" t="e">
        <f>VLOOKUP(A12,VALO_PERSO!F:L,7,0)</f>
        <v>#N/A</v>
      </c>
      <c r="E12" s="73" t="e">
        <f>IF(VLOOKUP(A12,VALO_PERSO!$F:$M,8,0)&lt;='Calcul FF'!$K$1,'Calcul FF'!$K$1,VLOOKUP(A12,VALO_PERSO!$F:$M,8,0))</f>
        <v>#N/A</v>
      </c>
      <c r="F12" s="73" t="e">
        <f>IF(ISBLANK(VLOOKUP(A12,VALO_PERSO!$F:$N,9,0)),'Calcul FF'!$M$1,VLOOKUP(A12,VALO_PERSO!$F:$N,9,0))</f>
        <v>#N/A</v>
      </c>
      <c r="G12" s="464">
        <f t="shared" si="0"/>
        <v>0</v>
      </c>
      <c r="H12" s="464">
        <f t="shared" si="1"/>
        <v>0</v>
      </c>
      <c r="I12" s="77">
        <f>IFERROR(IF(VLOOKUP(A12,VALO_PERSO!F:L,7,0)="jeune docteur",VLOOKUP(A12,VALO_PERSO!F:AP,37,0)*2*'Calcul FF'!G12/('Calcul FF'!G12+'Calcul FF'!H12),VLOOKUP(A12,VALO_PERSO!F:AP,37,0)*'Calcul FF'!G12/('Calcul FF'!G12+'Calcul FF'!H12)),0)</f>
        <v>0</v>
      </c>
      <c r="J12" s="77">
        <f>IFERROR(VLOOKUP(A12,VALO_PERSO!F:AP,37,0)*'Calcul FF'!H12/('Calcul FF'!G12+'Calcul FF'!H12),0)</f>
        <v>0</v>
      </c>
      <c r="K12" s="77">
        <f t="shared" si="2"/>
        <v>0</v>
      </c>
      <c r="L12" s="77">
        <f t="shared" si="3"/>
        <v>0</v>
      </c>
    </row>
    <row r="13" spans="1:13" x14ac:dyDescent="0.25">
      <c r="A13" s="448">
        <v>8</v>
      </c>
      <c r="B13" s="448"/>
      <c r="C13" s="448"/>
      <c r="D13" t="e">
        <f>VLOOKUP(A13,VALO_PERSO!F:L,7,0)</f>
        <v>#N/A</v>
      </c>
      <c r="E13" s="73" t="e">
        <f>IF(VLOOKUP(A13,VALO_PERSO!$F:$M,8,0)&lt;='Calcul FF'!$K$1,'Calcul FF'!$K$1,VLOOKUP(A13,VALO_PERSO!$F:$M,8,0))</f>
        <v>#N/A</v>
      </c>
      <c r="F13" s="73" t="e">
        <f>IF(ISBLANK(VLOOKUP(A13,VALO_PERSO!$F:$N,9,0)),'Calcul FF'!$M$1,VLOOKUP(A13,VALO_PERSO!$F:$N,9,0))</f>
        <v>#N/A</v>
      </c>
      <c r="G13" s="464">
        <f t="shared" si="0"/>
        <v>0</v>
      </c>
      <c r="H13" s="464">
        <f t="shared" si="1"/>
        <v>0</v>
      </c>
      <c r="I13" s="77">
        <f>IFERROR(IF(VLOOKUP(A13,VALO_PERSO!F:L,7,0)="jeune docteur",VLOOKUP(A13,VALO_PERSO!F:AP,37,0)*2*'Calcul FF'!G13/('Calcul FF'!G13+'Calcul FF'!H13),VLOOKUP(A13,VALO_PERSO!F:AP,37,0)*'Calcul FF'!G13/('Calcul FF'!G13+'Calcul FF'!H13)),0)</f>
        <v>0</v>
      </c>
      <c r="J13" s="77">
        <f>IFERROR(VLOOKUP(A13,VALO_PERSO!F:AP,37,0)*'Calcul FF'!H13/('Calcul FF'!G13+'Calcul FF'!H13),0)</f>
        <v>0</v>
      </c>
      <c r="K13" s="77">
        <f t="shared" si="2"/>
        <v>0</v>
      </c>
      <c r="L13" s="77">
        <f t="shared" si="3"/>
        <v>0</v>
      </c>
    </row>
    <row r="14" spans="1:13" s="460" customFormat="1" x14ac:dyDescent="0.25">
      <c r="B14" s="461"/>
      <c r="C14" s="461"/>
      <c r="D14" s="461"/>
      <c r="E14" s="461"/>
      <c r="F14" s="461"/>
      <c r="G14" s="461"/>
      <c r="H14" s="462" t="s">
        <v>438</v>
      </c>
      <c r="I14" s="463">
        <f>SUM(I6:I13)</f>
        <v>0</v>
      </c>
      <c r="J14" s="463">
        <f>SUM(J6:J13)</f>
        <v>0</v>
      </c>
      <c r="K14" s="463">
        <f>SUM(K6:K13)</f>
        <v>0</v>
      </c>
      <c r="L14" s="463">
        <f>SUM(L6:L13)</f>
        <v>0</v>
      </c>
    </row>
    <row r="15" spans="1:13" x14ac:dyDescent="0.25">
      <c r="A15" s="448"/>
      <c r="B15" s="448"/>
      <c r="C15" s="448"/>
      <c r="E15" s="73"/>
      <c r="F15" s="73"/>
    </row>
    <row r="16" spans="1:13" x14ac:dyDescent="0.25">
      <c r="A16" s="448"/>
      <c r="B16" s="448"/>
      <c r="C16" s="448"/>
      <c r="E16" s="73"/>
      <c r="F16" s="73"/>
    </row>
    <row r="17" spans="1:16" x14ac:dyDescent="0.25">
      <c r="A17" s="448"/>
      <c r="B17" s="448"/>
      <c r="C17" s="448"/>
      <c r="E17" s="73"/>
      <c r="F17" s="73"/>
    </row>
    <row r="18" spans="1:16" x14ac:dyDescent="0.25">
      <c r="A18" s="448"/>
      <c r="B18" s="448"/>
      <c r="C18" s="448"/>
      <c r="E18" s="73"/>
      <c r="F18" s="73"/>
    </row>
    <row r="20" spans="1:16" x14ac:dyDescent="0.25">
      <c r="P20" t="s">
        <v>849</v>
      </c>
    </row>
    <row r="21" spans="1:16" x14ac:dyDescent="0.25">
      <c r="N21" t="s">
        <v>847</v>
      </c>
      <c r="O21" s="77">
        <f>SUMIF(D:D,"jeune docteur",I:I)</f>
        <v>0</v>
      </c>
      <c r="P21" t="b">
        <f>O21/2+O22=VALO_PERSO!AP12</f>
        <v>1</v>
      </c>
    </row>
    <row r="22" spans="1:16" x14ac:dyDescent="0.25">
      <c r="N22" t="s">
        <v>848</v>
      </c>
      <c r="O22" s="77">
        <f>I35+I14-O21+J14+J35</f>
        <v>0</v>
      </c>
    </row>
    <row r="23" spans="1:16" ht="18.75" x14ac:dyDescent="0.3">
      <c r="A23" s="459" t="s">
        <v>851</v>
      </c>
    </row>
    <row r="26" spans="1:16" x14ac:dyDescent="0.25">
      <c r="A26" s="448" t="s">
        <v>366</v>
      </c>
      <c r="B26" s="448" t="s">
        <v>544</v>
      </c>
      <c r="C26" s="448" t="s">
        <v>368</v>
      </c>
      <c r="D26" t="s">
        <v>846</v>
      </c>
      <c r="E26" t="s">
        <v>840</v>
      </c>
      <c r="F26" t="s">
        <v>841</v>
      </c>
      <c r="G26" t="s">
        <v>852</v>
      </c>
      <c r="H26" t="s">
        <v>855</v>
      </c>
      <c r="I26" t="s">
        <v>842</v>
      </c>
      <c r="J26" t="s">
        <v>843</v>
      </c>
      <c r="K26" t="s">
        <v>844</v>
      </c>
      <c r="L26" t="s">
        <v>845</v>
      </c>
    </row>
    <row r="27" spans="1:16" x14ac:dyDescent="0.25">
      <c r="A27" s="448">
        <v>1</v>
      </c>
      <c r="B27" s="448"/>
      <c r="C27" s="448"/>
      <c r="D27" t="str">
        <f>VLOOKUP(A27,VALO_PERSO!F:L,7,0)</f>
        <v>Technicien</v>
      </c>
      <c r="E27" s="73">
        <f>IF(VLOOKUP(A27,VALO_PERSO!$F:$M,8,0)&lt;='Calcul FF'!$K$1,'Calcul FF'!$K$1,VLOOKUP(A27,VALO_PERSO!$F:$M,8,0))</f>
        <v>45658</v>
      </c>
      <c r="F27" s="73">
        <f>IF(ISBLANK(VLOOKUP(A27,VALO_PERSO!$F:$N,9,0)),'Calcul FF'!$M$1,VLOOKUP(A27,VALO_PERSO!$F:$N,9,0))</f>
        <v>46022</v>
      </c>
      <c r="I27" s="77">
        <f>IFERROR(IF(VLOOKUP(A27,VALO_PERSO!F:L,7,0)="jeune docteur",VLOOKUP(A27,VALO_PERSO!F:AP,VALO_PERSO!$AP$1,0)*2*'Calcul FF'!G27/('Calcul FF'!G27+'Calcul FF'!H27),VLOOKUP(A27,VALO_PERSO!F:AP,$AP$1,0)*'Calcul FF'!G27/('Calcul FF'!G27+'Calcul FF'!H27)),0)</f>
        <v>0</v>
      </c>
      <c r="J27" s="77">
        <f>IFERROR(VLOOKUP(A27,VALO_PERSO!F:AP,$AP$1,0)*'Calcul FF'!H27/('Calcul FF'!G27+'Calcul FF'!H27),0)</f>
        <v>0</v>
      </c>
      <c r="K27" s="77">
        <f>IFERROR(IF(D27="jeune docteur",I27,I27*0.43),0)</f>
        <v>0</v>
      </c>
      <c r="L27" s="77">
        <f>IFERROR(J27*0.4,0)</f>
        <v>0</v>
      </c>
    </row>
    <row r="28" spans="1:16" x14ac:dyDescent="0.25">
      <c r="A28" s="448">
        <v>2</v>
      </c>
      <c r="B28" s="448"/>
      <c r="C28" s="448"/>
      <c r="D28" t="str">
        <f>VLOOKUP(A28,VALO_PERSO!F:L,7,0)</f>
        <v>Technicien</v>
      </c>
      <c r="E28" s="73">
        <f>IF(VLOOKUP(A28,VALO_PERSO!$F:$M,8,0)&lt;='Calcul FF'!$K$1,'Calcul FF'!$K$1,VLOOKUP(A28,VALO_PERSO!$F:$M,8,0))</f>
        <v>45658</v>
      </c>
      <c r="F28" s="73">
        <f>IF(ISBLANK(VLOOKUP(A28,VALO_PERSO!$F:$N,9,0)),'Calcul FF'!$M$1,VLOOKUP(A28,VALO_PERSO!$F:$N,9,0))</f>
        <v>46022</v>
      </c>
      <c r="I28" s="77">
        <f>IFERROR(IF(VLOOKUP(A28,VALO_PERSO!F:L,7,0)="jeune docteur",VLOOKUP(A28,VALO_PERSO!F:AP,37,0)*2*'Calcul FF'!G28/('Calcul FF'!G28+'Calcul FF'!H28),VLOOKUP(A28,VALO_PERSO!F:AP,37,0)*'Calcul FF'!G28/('Calcul FF'!G28+'Calcul FF'!H28)),0)</f>
        <v>0</v>
      </c>
      <c r="J28" s="77">
        <f>IFERROR(VLOOKUP(A28,VALO_PERSO!F:AP,37,0)*'Calcul FF'!H28/('Calcul FF'!G28+'Calcul FF'!H28),0)</f>
        <v>0</v>
      </c>
      <c r="K28" s="77">
        <f t="shared" ref="K28:K34" si="4">IFERROR(IF(D28="jeune docteur",I28,I28*0.43),0)</f>
        <v>0</v>
      </c>
      <c r="L28" s="77">
        <f t="shared" ref="L28:L34" si="5">IFERROR(J28*0.4,0)</f>
        <v>0</v>
      </c>
    </row>
    <row r="29" spans="1:16" x14ac:dyDescent="0.25">
      <c r="A29" s="448">
        <v>3</v>
      </c>
      <c r="B29" s="448"/>
      <c r="C29" s="448"/>
      <c r="D29" t="e">
        <f>VLOOKUP(A29,VALO_PERSO!F:L,7,0)</f>
        <v>#N/A</v>
      </c>
      <c r="E29" s="73" t="e">
        <f>IF(VLOOKUP(A29,VALO_PERSO!$F:$M,8,0)&lt;='Calcul FF'!$K$1,'Calcul FF'!$K$1,VLOOKUP(A29,VALO_PERSO!$F:$M,8,0))</f>
        <v>#N/A</v>
      </c>
      <c r="F29" s="73" t="e">
        <f>IF(ISBLANK(VLOOKUP(A29,VALO_PERSO!$F:$N,9,0)),'Calcul FF'!$M$1,VLOOKUP(A29,VALO_PERSO!$F:$N,9,0))</f>
        <v>#N/A</v>
      </c>
      <c r="I29" s="77">
        <f>IFERROR(IF(VLOOKUP(A29,VALO_PERSO!F:L,7,0)="jeune docteur",VLOOKUP(A29,VALO_PERSO!F:AP,37,0)*2*'Calcul FF'!G29/('Calcul FF'!G29+'Calcul FF'!H29),VLOOKUP(A29,VALO_PERSO!F:AP,37,0)*'Calcul FF'!G29/('Calcul FF'!G29+'Calcul FF'!H29)),0)</f>
        <v>0</v>
      </c>
      <c r="J29" s="77">
        <f>IFERROR(VLOOKUP(A29,VALO_PERSO!F:AP,37,0)*'Calcul FF'!H29/('Calcul FF'!G29+'Calcul FF'!H29),0)</f>
        <v>0</v>
      </c>
      <c r="K29" s="77">
        <f t="shared" si="4"/>
        <v>0</v>
      </c>
      <c r="L29" s="77">
        <f t="shared" si="5"/>
        <v>0</v>
      </c>
    </row>
    <row r="30" spans="1:16" x14ac:dyDescent="0.25">
      <c r="A30" s="448">
        <v>4</v>
      </c>
      <c r="B30" s="448"/>
      <c r="C30" s="448"/>
      <c r="D30" t="e">
        <f>VLOOKUP(A30,VALO_PERSO!F:L,7,0)</f>
        <v>#N/A</v>
      </c>
      <c r="E30" s="73" t="e">
        <f>IF(VLOOKUP(A30,VALO_PERSO!$F:$M,8,0)&lt;='Calcul FF'!$K$1,'Calcul FF'!$K$1,VLOOKUP(A30,VALO_PERSO!$F:$M,8,0))</f>
        <v>#N/A</v>
      </c>
      <c r="F30" s="73" t="e">
        <f>IF(ISBLANK(VLOOKUP(A30,VALO_PERSO!$F:$N,9,0)),'Calcul FF'!$M$1,VLOOKUP(A30,VALO_PERSO!$F:$N,9,0))</f>
        <v>#N/A</v>
      </c>
      <c r="I30" s="77">
        <f>IFERROR(IF(VLOOKUP(A30,VALO_PERSO!F:L,7,0)="jeune docteur",VLOOKUP(A30,VALO_PERSO!F:AP,37,0)*2*'Calcul FF'!G30/('Calcul FF'!G30+'Calcul FF'!H30),VLOOKUP(A30,VALO_PERSO!F:AP,37,0)*'Calcul FF'!G30/('Calcul FF'!G30+'Calcul FF'!H30)),0)</f>
        <v>0</v>
      </c>
      <c r="J30" s="77">
        <f>IFERROR(VLOOKUP(A30,VALO_PERSO!F:AP,37,0)*'Calcul FF'!H30/('Calcul FF'!G30+'Calcul FF'!H30),0)</f>
        <v>0</v>
      </c>
      <c r="K30" s="77">
        <f t="shared" si="4"/>
        <v>0</v>
      </c>
      <c r="L30" s="77">
        <f t="shared" si="5"/>
        <v>0</v>
      </c>
    </row>
    <row r="31" spans="1:16" x14ac:dyDescent="0.25">
      <c r="A31" s="448">
        <v>5</v>
      </c>
      <c r="B31" s="448"/>
      <c r="C31" s="448"/>
      <c r="D31" t="str">
        <f>VLOOKUP(A31,VALO_PERSO!F:L,7,0)</f>
        <v>Stagiaire/apprenti</v>
      </c>
      <c r="E31" s="73">
        <f>IF(VLOOKUP(A31,VALO_PERSO!$F:$M,8,0)&lt;='Calcul FF'!$K$1,'Calcul FF'!$K$1,VLOOKUP(A31,VALO_PERSO!$F:$M,8,0))</f>
        <v>45658</v>
      </c>
      <c r="F31" s="73">
        <f>IF(ISBLANK(VLOOKUP(A31,VALO_PERSO!$F:$N,9,0)),'Calcul FF'!$M$1,VLOOKUP(A31,VALO_PERSO!$F:$N,9,0))</f>
        <v>46022</v>
      </c>
      <c r="I31" s="77">
        <f>IFERROR(IF(VLOOKUP(A31,VALO_PERSO!F:L,7,0)="jeune docteur",VLOOKUP(A31,VALO_PERSO!F:AP,37,0)*2*'Calcul FF'!G31/('Calcul FF'!G31+'Calcul FF'!H31),VLOOKUP(A31,VALO_PERSO!F:AP,37,0)*'Calcul FF'!G31/('Calcul FF'!G31+'Calcul FF'!H31)),0)</f>
        <v>0</v>
      </c>
      <c r="J31" s="77">
        <f>IFERROR(VLOOKUP(A31,VALO_PERSO!F:AP,37,0)*'Calcul FF'!H31/('Calcul FF'!G31+'Calcul FF'!H31),0)</f>
        <v>0</v>
      </c>
      <c r="K31" s="77">
        <f t="shared" si="4"/>
        <v>0</v>
      </c>
      <c r="L31" s="77">
        <f t="shared" si="5"/>
        <v>0</v>
      </c>
    </row>
    <row r="32" spans="1:16" x14ac:dyDescent="0.25">
      <c r="A32" s="448">
        <v>6</v>
      </c>
      <c r="B32" s="448"/>
      <c r="C32" s="448"/>
      <c r="D32" t="e">
        <f>VLOOKUP(A32,VALO_PERSO!F:L,7,0)</f>
        <v>#N/A</v>
      </c>
      <c r="E32" s="73" t="e">
        <f>IF(VLOOKUP(A32,VALO_PERSO!$F:$M,8,0)&lt;='Calcul FF'!$K$1,'Calcul FF'!$K$1,VLOOKUP(A32,VALO_PERSO!$F:$M,8,0))</f>
        <v>#N/A</v>
      </c>
      <c r="F32" s="73" t="e">
        <f>IF(ISBLANK(VLOOKUP(A32,VALO_PERSO!$F:$N,9,0)),'Calcul FF'!$M$1,VLOOKUP(A32,VALO_PERSO!$F:$N,9,0))</f>
        <v>#N/A</v>
      </c>
      <c r="I32" s="77">
        <f>IFERROR(IF(VLOOKUP(A32,VALO_PERSO!F:L,7,0)="jeune docteur",VLOOKUP(A32,VALO_PERSO!F:AP,37,0)*2*'Calcul FF'!G32/('Calcul FF'!G32+'Calcul FF'!H32),VLOOKUP(A32,VALO_PERSO!F:AP,37,0)*'Calcul FF'!G32/('Calcul FF'!G32+'Calcul FF'!H32)),0)</f>
        <v>0</v>
      </c>
      <c r="J32" s="77">
        <f>IFERROR(VLOOKUP(A32,VALO_PERSO!F:AP,37,0)*'Calcul FF'!H32/('Calcul FF'!G32+'Calcul FF'!H32),0)</f>
        <v>0</v>
      </c>
      <c r="K32" s="77">
        <f t="shared" si="4"/>
        <v>0</v>
      </c>
      <c r="L32" s="77">
        <f t="shared" si="5"/>
        <v>0</v>
      </c>
    </row>
    <row r="33" spans="1:12" x14ac:dyDescent="0.25">
      <c r="A33" s="448">
        <v>7</v>
      </c>
      <c r="B33" s="448"/>
      <c r="C33" s="448"/>
      <c r="D33" t="e">
        <f>VLOOKUP(A33,VALO_PERSO!F:L,7,0)</f>
        <v>#N/A</v>
      </c>
      <c r="E33" s="73" t="e">
        <f>IF(VLOOKUP(A33,VALO_PERSO!$F:$M,8,0)&lt;='Calcul FF'!$K$1,'Calcul FF'!$K$1,VLOOKUP(A33,VALO_PERSO!$F:$M,8,0))</f>
        <v>#N/A</v>
      </c>
      <c r="F33" s="73" t="e">
        <f>IF(ISBLANK(VLOOKUP(A33,VALO_PERSO!$F:$N,9,0)),'Calcul FF'!$M$1,VLOOKUP(A33,VALO_PERSO!$F:$N,9,0))</f>
        <v>#N/A</v>
      </c>
      <c r="I33" s="77">
        <f>IFERROR(IF(VLOOKUP(A33,VALO_PERSO!F:L,7,0)="jeune docteur",VLOOKUP(A33,VALO_PERSO!F:AP,37,0)*2*'Calcul FF'!G33/('Calcul FF'!G33+'Calcul FF'!H33),VLOOKUP(A33,VALO_PERSO!F:AP,37,0)*'Calcul FF'!G33/('Calcul FF'!G33+'Calcul FF'!H33)),0)</f>
        <v>0</v>
      </c>
      <c r="J33" s="77">
        <f>IFERROR(VLOOKUP(A33,VALO_PERSO!F:AP,37,0)*'Calcul FF'!H33/('Calcul FF'!G33+'Calcul FF'!H33),0)</f>
        <v>0</v>
      </c>
      <c r="K33" s="77">
        <f t="shared" si="4"/>
        <v>0</v>
      </c>
      <c r="L33" s="77">
        <f t="shared" si="5"/>
        <v>0</v>
      </c>
    </row>
    <row r="34" spans="1:12" x14ac:dyDescent="0.25">
      <c r="A34" s="448">
        <v>8</v>
      </c>
      <c r="B34" s="448"/>
      <c r="C34" s="448"/>
      <c r="I34" s="77">
        <f>IFERROR(IF(VLOOKUP(A34,VALO_PERSO!F:L,7,0)="jeune docteur",VLOOKUP(A34,VALO_PERSO!F:AP,37,0)*2*'Calcul FF'!G34/('Calcul FF'!G34+'Calcul FF'!H34),VLOOKUP(A34,VALO_PERSO!F:AP,37,0)*'Calcul FF'!G34/('Calcul FF'!G34+'Calcul FF'!H34)),0)</f>
        <v>0</v>
      </c>
      <c r="J34" s="77">
        <f>IFERROR(VLOOKUP(A34,VALO_PERSO!F:AP,37,0)*'Calcul FF'!H34/('Calcul FF'!G34+'Calcul FF'!H34),0)</f>
        <v>0</v>
      </c>
      <c r="K34" s="77">
        <f t="shared" si="4"/>
        <v>0</v>
      </c>
      <c r="L34" s="77">
        <f t="shared" si="5"/>
        <v>0</v>
      </c>
    </row>
    <row r="35" spans="1:12" s="460" customFormat="1" x14ac:dyDescent="0.25">
      <c r="B35" s="461"/>
      <c r="C35" s="461"/>
      <c r="D35" s="461"/>
      <c r="E35" s="461"/>
      <c r="F35" s="461"/>
      <c r="G35" s="461"/>
      <c r="H35" s="462" t="s">
        <v>438</v>
      </c>
      <c r="I35" s="463">
        <f>SUM(I27:I34)</f>
        <v>0</v>
      </c>
      <c r="J35" s="463">
        <f>SUM(J27:J34)</f>
        <v>0</v>
      </c>
      <c r="K35" s="463">
        <f>SUM(K27:K34)</f>
        <v>0</v>
      </c>
      <c r="L35" s="463">
        <f>SUM(L27:L34)</f>
        <v>0</v>
      </c>
    </row>
  </sheetData>
  <conditionalFormatting sqref="B1:B13 B15:B34 B36:B1048576">
    <cfRule type="duplicateValues" dxfId="54" priority="4"/>
  </conditionalFormatting>
  <conditionalFormatting sqref="P21">
    <cfRule type="containsText" dxfId="53" priority="1" operator="containsText" text="faux">
      <formula>NOT(ISERROR(SEARCH("faux",P21)))</formula>
    </cfRule>
    <cfRule type="containsText" dxfId="52" priority="2" operator="containsText" text="VRAI">
      <formula>NOT(ISERROR(SEARCH("VRAI",P21)))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6879-BD85-461E-BC57-1D31037F846C}">
  <sheetPr codeName="Feuil13">
    <tabColor theme="7" tint="0.79998168889431442"/>
  </sheetPr>
  <dimension ref="A3:T33"/>
  <sheetViews>
    <sheetView showGridLines="0" workbookViewId="0">
      <selection activeCell="A25" sqref="A25:XFD25"/>
    </sheetView>
  </sheetViews>
  <sheetFormatPr baseColWidth="10" defaultColWidth="11.42578125" defaultRowHeight="15" outlineLevelCol="1" x14ac:dyDescent="0.25"/>
  <cols>
    <col min="2" max="2" width="3.5703125" customWidth="1"/>
    <col min="7" max="7" width="13.7109375" customWidth="1"/>
    <col min="10" max="10" width="13.5703125" customWidth="1"/>
    <col min="16" max="16" width="11.5703125" customWidth="1" outlineLevel="1"/>
    <col min="17" max="17" width="1.7109375" customWidth="1"/>
    <col min="18" max="18" width="11.5703125" customWidth="1" outlineLevel="1"/>
    <col min="19" max="19" width="1.7109375" customWidth="1"/>
    <col min="20" max="20" width="11.5703125" outlineLevel="1"/>
  </cols>
  <sheetData>
    <row r="3" spans="2:20" ht="15.75" thickBot="1" x14ac:dyDescent="0.3">
      <c r="C3" s="99"/>
      <c r="D3" s="100"/>
      <c r="E3" s="100"/>
      <c r="F3" s="99"/>
      <c r="G3" s="100"/>
      <c r="H3" s="99"/>
      <c r="I3" s="99"/>
      <c r="J3" s="100"/>
      <c r="K3" s="99"/>
      <c r="L3" s="99"/>
      <c r="M3" s="99"/>
      <c r="N3" s="99"/>
      <c r="O3" s="100"/>
      <c r="P3" s="99"/>
      <c r="R3" s="99"/>
      <c r="T3" s="99"/>
    </row>
    <row r="4" spans="2:20" ht="45.75" thickBot="1" x14ac:dyDescent="0.3">
      <c r="C4" s="64" t="s">
        <v>452</v>
      </c>
      <c r="D4" s="64" t="s">
        <v>454</v>
      </c>
      <c r="E4" s="64" t="s">
        <v>545</v>
      </c>
      <c r="F4" s="64" t="s">
        <v>546</v>
      </c>
      <c r="G4" s="64" t="s">
        <v>547</v>
      </c>
      <c r="H4" s="64" t="s">
        <v>548</v>
      </c>
      <c r="I4" s="64" t="s">
        <v>549</v>
      </c>
      <c r="J4" s="64" t="s">
        <v>392</v>
      </c>
      <c r="K4" s="64" t="s">
        <v>550</v>
      </c>
      <c r="L4" s="64" t="s">
        <v>551</v>
      </c>
      <c r="M4" s="64" t="s">
        <v>552</v>
      </c>
      <c r="N4" s="64" t="s">
        <v>553</v>
      </c>
      <c r="O4" s="64" t="s">
        <v>554</v>
      </c>
      <c r="P4" s="64" t="s">
        <v>555</v>
      </c>
      <c r="R4" s="64" t="s">
        <v>556</v>
      </c>
      <c r="T4" s="64" t="s">
        <v>557</v>
      </c>
    </row>
    <row r="5" spans="2:20" ht="15.75" x14ac:dyDescent="0.3">
      <c r="B5" s="60">
        <f t="shared" ref="B5:B25" si="0">IF((P5+R5+T5)&gt;O5,1,0)</f>
        <v>0</v>
      </c>
      <c r="C5" s="84" t="b">
        <v>0</v>
      </c>
      <c r="D5" s="11"/>
      <c r="E5" s="11"/>
      <c r="F5" s="11"/>
      <c r="G5" s="11"/>
      <c r="H5" s="95"/>
      <c r="I5" s="11"/>
      <c r="J5" s="11"/>
      <c r="K5" s="11"/>
      <c r="L5" s="11"/>
      <c r="M5" s="11"/>
      <c r="N5" s="11"/>
      <c r="O5" s="11"/>
      <c r="P5" s="11"/>
      <c r="R5" s="11"/>
      <c r="T5" s="11"/>
    </row>
    <row r="6" spans="2:20" ht="15.75" x14ac:dyDescent="0.3">
      <c r="B6" s="60">
        <f t="shared" si="0"/>
        <v>0</v>
      </c>
      <c r="C6" s="84" t="b">
        <v>0</v>
      </c>
      <c r="D6" s="11"/>
      <c r="E6" s="11"/>
      <c r="F6" s="11"/>
      <c r="G6" s="11"/>
      <c r="H6" s="95"/>
      <c r="I6" s="11"/>
      <c r="J6" s="11"/>
      <c r="K6" s="11"/>
      <c r="L6" s="11"/>
      <c r="M6" s="11"/>
      <c r="N6" s="11"/>
      <c r="O6" s="11"/>
      <c r="P6" s="11"/>
      <c r="R6" s="11"/>
      <c r="T6" s="11"/>
    </row>
    <row r="7" spans="2:20" ht="15.75" x14ac:dyDescent="0.3">
      <c r="B7" s="60">
        <f t="shared" si="0"/>
        <v>0</v>
      </c>
      <c r="C7" s="84" t="b">
        <v>0</v>
      </c>
      <c r="D7" s="11"/>
      <c r="E7" s="11"/>
      <c r="F7" s="11"/>
      <c r="G7" s="11"/>
      <c r="H7" s="95"/>
      <c r="I7" s="11"/>
      <c r="J7" s="11"/>
      <c r="K7" s="11"/>
      <c r="L7" s="11"/>
      <c r="M7" s="11"/>
      <c r="N7" s="11"/>
      <c r="O7" s="11"/>
      <c r="P7" s="11"/>
      <c r="R7" s="11"/>
      <c r="T7" s="11"/>
    </row>
    <row r="8" spans="2:20" ht="15.75" x14ac:dyDescent="0.3">
      <c r="B8" s="60">
        <f t="shared" si="0"/>
        <v>0</v>
      </c>
      <c r="C8" s="84" t="b">
        <v>0</v>
      </c>
      <c r="D8" s="11"/>
      <c r="E8" s="11"/>
      <c r="F8" s="11"/>
      <c r="G8" s="11"/>
      <c r="H8" s="95"/>
      <c r="I8" s="11"/>
      <c r="J8" s="11"/>
      <c r="K8" s="11"/>
      <c r="L8" s="11"/>
      <c r="M8" s="11"/>
      <c r="N8" s="11"/>
      <c r="O8" s="11"/>
      <c r="P8" s="11"/>
      <c r="R8" s="11"/>
      <c r="T8" s="11"/>
    </row>
    <row r="9" spans="2:20" ht="15.75" x14ac:dyDescent="0.3">
      <c r="B9" s="60">
        <f t="shared" si="0"/>
        <v>0</v>
      </c>
      <c r="C9" s="84" t="b">
        <v>0</v>
      </c>
      <c r="D9" s="11"/>
      <c r="E9" s="11"/>
      <c r="F9" s="11"/>
      <c r="G9" s="11"/>
      <c r="H9" s="95"/>
      <c r="I9" s="11"/>
      <c r="J9" s="11"/>
      <c r="K9" s="11"/>
      <c r="L9" s="11"/>
      <c r="M9" s="11"/>
      <c r="N9" s="11"/>
      <c r="O9" s="11"/>
      <c r="P9" s="11"/>
      <c r="R9" s="11"/>
      <c r="T9" s="11"/>
    </row>
    <row r="10" spans="2:20" ht="15.75" x14ac:dyDescent="0.3">
      <c r="B10" s="60">
        <f t="shared" si="0"/>
        <v>0</v>
      </c>
      <c r="C10" s="84" t="b">
        <v>0</v>
      </c>
      <c r="D10" s="11"/>
      <c r="E10" s="11"/>
      <c r="F10" s="11"/>
      <c r="G10" s="11"/>
      <c r="H10" s="95"/>
      <c r="I10" s="11"/>
      <c r="J10" s="11"/>
      <c r="K10" s="11"/>
      <c r="L10" s="11"/>
      <c r="M10" s="11"/>
      <c r="N10" s="11"/>
      <c r="O10" s="11"/>
      <c r="P10" s="11"/>
      <c r="R10" s="11"/>
      <c r="T10" s="11"/>
    </row>
    <row r="11" spans="2:20" ht="15.75" x14ac:dyDescent="0.3">
      <c r="B11" s="60">
        <f t="shared" si="0"/>
        <v>0</v>
      </c>
      <c r="C11" s="84" t="b">
        <v>0</v>
      </c>
      <c r="D11" s="11"/>
      <c r="E11" s="11"/>
      <c r="F11" s="11"/>
      <c r="G11" s="11"/>
      <c r="H11" s="95"/>
      <c r="I11" s="11"/>
      <c r="J11" s="11"/>
      <c r="K11" s="11"/>
      <c r="L11" s="11"/>
      <c r="M11" s="11"/>
      <c r="N11" s="11"/>
      <c r="O11" s="11"/>
      <c r="P11" s="11"/>
      <c r="R11" s="11"/>
      <c r="T11" s="11"/>
    </row>
    <row r="12" spans="2:20" ht="15.75" x14ac:dyDescent="0.3">
      <c r="B12" s="60">
        <f t="shared" si="0"/>
        <v>0</v>
      </c>
      <c r="C12" s="84" t="b">
        <v>0</v>
      </c>
      <c r="D12" s="11"/>
      <c r="E12" s="11"/>
      <c r="F12" s="11"/>
      <c r="G12" s="11"/>
      <c r="H12" s="95"/>
      <c r="I12" s="11"/>
      <c r="J12" s="11"/>
      <c r="K12" s="11"/>
      <c r="L12" s="11"/>
      <c r="M12" s="11"/>
      <c r="N12" s="11"/>
      <c r="O12" s="11"/>
      <c r="P12" s="11"/>
      <c r="R12" s="11"/>
      <c r="T12" s="11"/>
    </row>
    <row r="13" spans="2:20" ht="15.75" x14ac:dyDescent="0.3">
      <c r="B13" s="60">
        <f t="shared" si="0"/>
        <v>0</v>
      </c>
      <c r="C13" s="84" t="b">
        <v>0</v>
      </c>
      <c r="D13" s="11"/>
      <c r="E13" s="11"/>
      <c r="F13" s="11"/>
      <c r="G13" s="11"/>
      <c r="H13" s="95"/>
      <c r="I13" s="11"/>
      <c r="J13" s="11"/>
      <c r="K13" s="11"/>
      <c r="L13" s="11"/>
      <c r="M13" s="11"/>
      <c r="N13" s="11"/>
      <c r="O13" s="11"/>
      <c r="P13" s="11"/>
      <c r="R13" s="11"/>
      <c r="T13" s="11"/>
    </row>
    <row r="14" spans="2:20" ht="15.75" x14ac:dyDescent="0.3">
      <c r="B14" s="60">
        <f t="shared" si="0"/>
        <v>0</v>
      </c>
      <c r="C14" s="84" t="b">
        <v>0</v>
      </c>
      <c r="D14" s="11"/>
      <c r="E14" s="11"/>
      <c r="F14" s="11"/>
      <c r="G14" s="11"/>
      <c r="H14" s="95"/>
      <c r="I14" s="11"/>
      <c r="J14" s="11"/>
      <c r="K14" s="11"/>
      <c r="L14" s="11"/>
      <c r="M14" s="11"/>
      <c r="N14" s="11"/>
      <c r="O14" s="11"/>
      <c r="P14" s="11"/>
      <c r="R14" s="11"/>
      <c r="T14" s="11"/>
    </row>
    <row r="15" spans="2:20" ht="15.75" x14ac:dyDescent="0.3">
      <c r="B15" s="60">
        <f t="shared" si="0"/>
        <v>0</v>
      </c>
      <c r="C15" s="84" t="b">
        <v>0</v>
      </c>
      <c r="D15" s="11"/>
      <c r="E15" s="11"/>
      <c r="F15" s="11"/>
      <c r="G15" s="11"/>
      <c r="H15" s="95"/>
      <c r="I15" s="11"/>
      <c r="J15" s="11"/>
      <c r="K15" s="11"/>
      <c r="L15" s="11"/>
      <c r="M15" s="11"/>
      <c r="N15" s="11"/>
      <c r="O15" s="11"/>
      <c r="P15" s="11"/>
      <c r="R15" s="11"/>
      <c r="T15" s="11"/>
    </row>
    <row r="16" spans="2:20" ht="15.75" x14ac:dyDescent="0.3">
      <c r="B16" s="60">
        <f t="shared" si="0"/>
        <v>0</v>
      </c>
      <c r="C16" s="84" t="b">
        <v>0</v>
      </c>
      <c r="D16" s="11"/>
      <c r="E16" s="11"/>
      <c r="F16" s="11"/>
      <c r="G16" s="11"/>
      <c r="H16" s="95"/>
      <c r="I16" s="11"/>
      <c r="J16" s="11"/>
      <c r="K16" s="11"/>
      <c r="L16" s="11"/>
      <c r="M16" s="11"/>
      <c r="N16" s="11"/>
      <c r="O16" s="11"/>
      <c r="P16" s="11"/>
      <c r="R16" s="11"/>
      <c r="T16" s="11"/>
    </row>
    <row r="17" spans="1:20" ht="15.75" x14ac:dyDescent="0.3">
      <c r="B17" s="60">
        <f t="shared" si="0"/>
        <v>0</v>
      </c>
      <c r="C17" s="84" t="b">
        <v>0</v>
      </c>
      <c r="D17" s="11"/>
      <c r="E17" s="11"/>
      <c r="F17" s="11"/>
      <c r="G17" s="11"/>
      <c r="H17" s="95"/>
      <c r="I17" s="11"/>
      <c r="J17" s="11"/>
      <c r="K17" s="11"/>
      <c r="L17" s="11"/>
      <c r="M17" s="11"/>
      <c r="N17" s="11"/>
      <c r="O17" s="11"/>
      <c r="P17" s="11"/>
      <c r="R17" s="11"/>
      <c r="T17" s="11"/>
    </row>
    <row r="18" spans="1:20" ht="15.75" x14ac:dyDescent="0.3">
      <c r="B18" s="60">
        <f t="shared" si="0"/>
        <v>0</v>
      </c>
      <c r="C18" s="84" t="b">
        <v>0</v>
      </c>
      <c r="D18" s="11"/>
      <c r="E18" s="11"/>
      <c r="F18" s="11"/>
      <c r="G18" s="11"/>
      <c r="H18" s="95"/>
      <c r="I18" s="11"/>
      <c r="J18" s="11"/>
      <c r="K18" s="11"/>
      <c r="L18" s="11"/>
      <c r="M18" s="11"/>
      <c r="N18" s="11"/>
      <c r="O18" s="11"/>
      <c r="P18" s="11"/>
      <c r="R18" s="11"/>
      <c r="T18" s="11"/>
    </row>
    <row r="19" spans="1:20" ht="15.75" x14ac:dyDescent="0.3">
      <c r="B19" s="60">
        <f t="shared" si="0"/>
        <v>0</v>
      </c>
      <c r="C19" s="84" t="b">
        <v>0</v>
      </c>
      <c r="D19" s="11"/>
      <c r="E19" s="11"/>
      <c r="F19" s="11"/>
      <c r="G19" s="11"/>
      <c r="H19" s="95"/>
      <c r="I19" s="11"/>
      <c r="J19" s="11"/>
      <c r="K19" s="11"/>
      <c r="L19" s="11"/>
      <c r="M19" s="11"/>
      <c r="N19" s="11"/>
      <c r="O19" s="11"/>
      <c r="P19" s="11"/>
      <c r="R19" s="11"/>
      <c r="T19" s="11"/>
    </row>
    <row r="20" spans="1:20" ht="15.75" x14ac:dyDescent="0.3">
      <c r="B20" s="60">
        <f t="shared" si="0"/>
        <v>0</v>
      </c>
      <c r="C20" s="84" t="b">
        <v>0</v>
      </c>
      <c r="D20" s="11"/>
      <c r="E20" s="11"/>
      <c r="F20" s="11"/>
      <c r="G20" s="11"/>
      <c r="H20" s="95"/>
      <c r="I20" s="11"/>
      <c r="J20" s="11"/>
      <c r="K20" s="11"/>
      <c r="L20" s="11"/>
      <c r="M20" s="11"/>
      <c r="N20" s="11"/>
      <c r="O20" s="11"/>
      <c r="P20" s="11"/>
      <c r="R20" s="11"/>
      <c r="T20" s="11"/>
    </row>
    <row r="21" spans="1:20" ht="15.75" x14ac:dyDescent="0.3">
      <c r="B21" s="60">
        <f t="shared" si="0"/>
        <v>0</v>
      </c>
      <c r="C21" s="84" t="b">
        <v>0</v>
      </c>
      <c r="D21" s="11"/>
      <c r="E21" s="11"/>
      <c r="F21" s="11"/>
      <c r="G21" s="11"/>
      <c r="H21" s="95"/>
      <c r="I21" s="11"/>
      <c r="J21" s="11"/>
      <c r="K21" s="11"/>
      <c r="L21" s="11"/>
      <c r="M21" s="11"/>
      <c r="N21" s="11"/>
      <c r="O21" s="11"/>
      <c r="P21" s="11"/>
      <c r="R21" s="11"/>
      <c r="T21" s="11"/>
    </row>
    <row r="22" spans="1:20" ht="15.75" x14ac:dyDescent="0.3">
      <c r="B22" s="60">
        <f t="shared" si="0"/>
        <v>0</v>
      </c>
      <c r="C22" s="84" t="b">
        <v>0</v>
      </c>
      <c r="D22" s="11"/>
      <c r="E22" s="11"/>
      <c r="F22" s="11"/>
      <c r="G22" s="11"/>
      <c r="H22" s="95"/>
      <c r="I22" s="11"/>
      <c r="J22" s="11"/>
      <c r="K22" s="11"/>
      <c r="L22" s="11"/>
      <c r="M22" s="11"/>
      <c r="N22" s="11"/>
      <c r="O22" s="11"/>
      <c r="P22" s="11"/>
      <c r="R22" s="11"/>
      <c r="T22" s="11"/>
    </row>
    <row r="23" spans="1:20" ht="15.75" x14ac:dyDescent="0.3">
      <c r="B23" s="60">
        <f t="shared" si="0"/>
        <v>0</v>
      </c>
      <c r="C23" s="84" t="b">
        <v>0</v>
      </c>
      <c r="D23" s="11"/>
      <c r="E23" s="11"/>
      <c r="F23" s="11"/>
      <c r="G23" s="11"/>
      <c r="H23" s="95"/>
      <c r="I23" s="11"/>
      <c r="J23" s="11"/>
      <c r="K23" s="11"/>
      <c r="L23" s="11"/>
      <c r="M23" s="11"/>
      <c r="N23" s="11"/>
      <c r="O23" s="11"/>
      <c r="P23" s="11"/>
      <c r="R23" s="11"/>
      <c r="T23" s="11"/>
    </row>
    <row r="24" spans="1:20" ht="15.75" x14ac:dyDescent="0.3">
      <c r="A24" t="s">
        <v>868</v>
      </c>
      <c r="B24" s="60">
        <f t="shared" si="0"/>
        <v>0</v>
      </c>
      <c r="C24" s="84" t="b">
        <v>0</v>
      </c>
      <c r="D24" s="11"/>
      <c r="E24" s="11"/>
      <c r="F24" s="11"/>
      <c r="G24" s="11"/>
      <c r="H24" s="95"/>
      <c r="I24" s="11"/>
      <c r="J24" s="11"/>
      <c r="K24" s="11"/>
      <c r="L24" s="11"/>
      <c r="M24" s="11"/>
      <c r="N24" s="11"/>
      <c r="O24" s="11"/>
      <c r="P24" s="11"/>
      <c r="R24" s="11"/>
      <c r="T24" s="11"/>
    </row>
    <row r="25" spans="1:20" ht="15.75" x14ac:dyDescent="0.3">
      <c r="B25" s="60">
        <f t="shared" si="0"/>
        <v>0</v>
      </c>
      <c r="C25" s="84" t="b">
        <v>0</v>
      </c>
      <c r="D25" s="11"/>
      <c r="E25" s="11"/>
      <c r="F25" s="11"/>
      <c r="G25" s="11"/>
      <c r="H25" s="95"/>
      <c r="I25" s="11"/>
      <c r="J25" s="11"/>
      <c r="K25" s="11"/>
      <c r="L25" s="11"/>
      <c r="M25" s="11"/>
      <c r="N25" s="11"/>
      <c r="O25" s="11"/>
      <c r="P25" s="11"/>
      <c r="R25" s="11"/>
      <c r="T25" s="11"/>
    </row>
    <row r="26" spans="1:20" ht="15.75" thickBot="1" x14ac:dyDescent="0.3"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148"/>
      <c r="N26" s="65" t="s">
        <v>558</v>
      </c>
      <c r="O26" s="98">
        <f>SUM(O5:O25)</f>
        <v>0</v>
      </c>
      <c r="P26" s="98">
        <f>SUM(P5:P25)</f>
        <v>0</v>
      </c>
      <c r="Q26" s="76"/>
      <c r="R26" s="98">
        <f>SUM(R5:R25)</f>
        <v>0</v>
      </c>
      <c r="S26" s="76"/>
      <c r="T26" s="98">
        <f>SUM(T5:T25)</f>
        <v>0</v>
      </c>
    </row>
    <row r="28" spans="1:20" ht="15.75" thickBot="1" x14ac:dyDescent="0.3">
      <c r="K28" s="62"/>
      <c r="L28" s="62"/>
      <c r="M28" s="62"/>
      <c r="N28" s="62"/>
      <c r="O28" s="148" t="s">
        <v>559</v>
      </c>
      <c r="P28" s="449">
        <f>SUMIF(I:I,parametrage!$Q$2,VALO_BREVET!P:P)</f>
        <v>0</v>
      </c>
      <c r="R28" s="449">
        <f>SUMIF(I:I,parametrage!$Q$2,VALO_BREVET!R:R)</f>
        <v>0</v>
      </c>
      <c r="S28" s="451"/>
      <c r="T28" s="449">
        <f>SUMIF(I:I,parametrage!$Q$2,VALO_BREVET!T:T)</f>
        <v>0</v>
      </c>
    </row>
    <row r="29" spans="1:20" ht="15.75" thickBot="1" x14ac:dyDescent="0.3">
      <c r="K29" s="62"/>
      <c r="L29" s="62"/>
      <c r="M29" s="62"/>
      <c r="N29" s="62"/>
      <c r="O29" s="148" t="s">
        <v>560</v>
      </c>
      <c r="P29" s="449">
        <f>SUMIF(I:I,parametrage!$Q$3,VALO_BREVET!P:P)</f>
        <v>0</v>
      </c>
      <c r="R29" s="449">
        <f>SUMIF(I:I,parametrage!$Q$3,VALO_BREVET!R:R)</f>
        <v>0</v>
      </c>
      <c r="S29" s="451"/>
      <c r="T29" s="449">
        <f>IF(SUMIF(I:I,parametrage!$Q$3,VALO_BREVET!T:T)&gt;60000,60000,SUMIF(I:I,parametrage!$Q$3,VALO_BREVET!T:T))</f>
        <v>0</v>
      </c>
    </row>
    <row r="30" spans="1:20" ht="15.75" thickBot="1" x14ac:dyDescent="0.3">
      <c r="K30" s="62"/>
      <c r="L30" s="62"/>
      <c r="M30" s="62"/>
      <c r="N30" s="62"/>
      <c r="O30" s="148" t="s">
        <v>561</v>
      </c>
      <c r="P30" s="449">
        <f>SUMIF(I:I,parametrage!$Q$4,VALO_BREVET!P:P)</f>
        <v>0</v>
      </c>
      <c r="R30" s="450"/>
      <c r="T30" s="450"/>
    </row>
    <row r="33" spans="16:20" x14ac:dyDescent="0.25">
      <c r="P33" t="b">
        <f>P26=SUM(P28:P30)</f>
        <v>1</v>
      </c>
      <c r="R33" t="b">
        <f>R26=SUM(R28:R30)</f>
        <v>1</v>
      </c>
      <c r="T33" t="b">
        <f>T26=SUM(T28:T30)</f>
        <v>1</v>
      </c>
    </row>
  </sheetData>
  <conditionalFormatting sqref="C5:L25">
    <cfRule type="expression" dxfId="51" priority="12">
      <formula>$B5&gt;0</formula>
    </cfRule>
  </conditionalFormatting>
  <conditionalFormatting sqref="P33:T33">
    <cfRule type="containsText" dxfId="50" priority="2" operator="containsText" text="FAUX">
      <formula>NOT(ISERROR(SEARCH("FAUX",P33)))</formula>
    </cfRule>
    <cfRule type="containsText" dxfId="49" priority="3" operator="containsText" text="VRAI">
      <formula>NOT(ISERROR(SEARCH("VRAI",P33)))</formula>
    </cfRule>
  </conditionalFormatting>
  <conditionalFormatting sqref="E1:E1048576">
    <cfRule type="duplicateValues" dxfId="48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3" name="Button 5">
              <controlPr defaultSize="0" print="0" autoFill="0" autoPict="0" macro="[0]!Module15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4BB2858-50DD-4F32-9504-B4C35CEDF1ED}">
            <xm:f>N5=parametrage!$S$3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DC2380DF-D8D8-437F-9C0A-A8A80E5A93D7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R5:R25</xm:sqref>
        </x14:conditionalFormatting>
        <x14:conditionalFormatting xmlns:xm="http://schemas.microsoft.com/office/excel/2006/main">
          <x14:cfRule type="expression" priority="4" id="{352A7A7C-ABDC-4A80-92C5-1A3086D522E1}">
            <xm:f>N5=parametrage!$S$2</xm:f>
            <x14:dxf>
              <fill>
                <patternFill>
                  <bgColor rgb="FFFF0000"/>
                </patternFill>
              </fill>
            </x14:dxf>
          </x14:cfRule>
          <x14:cfRule type="expression" priority="8" id="{ECC754A7-C819-4400-A709-0CC8473D27B9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T5:T25</xm:sqref>
        </x14:conditionalFormatting>
        <x14:conditionalFormatting xmlns:xm="http://schemas.microsoft.com/office/excel/2006/main">
          <x14:cfRule type="expression" priority="6" id="{BE224037-E8F6-4043-BEF0-E3E5D251303A}">
            <xm:f>N5=parametrage!$S$4</xm:f>
            <x14:dxf>
              <fill>
                <patternFill>
                  <bgColor rgb="FFFF0000"/>
                </patternFill>
              </fill>
            </x14:dxf>
          </x14:cfRule>
          <x14:cfRule type="expression" priority="7" id="{5A233F2A-4D0D-43ED-828B-049D98D24198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P5:P25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A8EA21-121B-4A15-ABF1-08874BEF6887}">
          <x14:formula1>
            <xm:f>parametrage!$Q$2:$Q$4</xm:f>
          </x14:formula1>
          <xm:sqref>I5:I25</xm:sqref>
        </x14:dataValidation>
        <x14:dataValidation type="list" allowBlank="1" showInputMessage="1" showErrorMessage="1" xr:uid="{DE6100E1-19D4-4ABB-A4DA-6F3443F18E10}">
          <x14:formula1>
            <xm:f>parametrage!$S$2:$S$4</xm:f>
          </x14:formula1>
          <xm:sqref>N5:N25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03D1-C835-4110-8C46-166E62C31DB1}">
  <sheetPr codeName="Feuil24">
    <tabColor rgb="FF2D44EA"/>
  </sheetPr>
  <dimension ref="A1:M27"/>
  <sheetViews>
    <sheetView showGridLines="0" workbookViewId="0">
      <selection activeCell="A22" sqref="A22:XFD22"/>
    </sheetView>
  </sheetViews>
  <sheetFormatPr baseColWidth="10" defaultColWidth="11.42578125" defaultRowHeight="15" outlineLevelCol="1" x14ac:dyDescent="0.25"/>
  <cols>
    <col min="5" max="5" width="13.5703125" customWidth="1"/>
    <col min="9" max="9" width="11.5703125" customWidth="1" outlineLevel="1"/>
    <col min="10" max="10" width="1.7109375" customWidth="1"/>
    <col min="11" max="11" width="11.5703125" customWidth="1" outlineLevel="1"/>
    <col min="12" max="12" width="1.7109375" customWidth="1"/>
    <col min="13" max="13" width="11.5703125" outlineLevel="1"/>
  </cols>
  <sheetData>
    <row r="1" spans="2:13" ht="30.75" thickBot="1" x14ac:dyDescent="0.3">
      <c r="B1" s="64" t="s">
        <v>545</v>
      </c>
      <c r="C1" s="64" t="s">
        <v>548</v>
      </c>
      <c r="D1" s="64" t="s">
        <v>549</v>
      </c>
      <c r="E1" s="64" t="s">
        <v>329</v>
      </c>
      <c r="F1" s="64" t="s">
        <v>550</v>
      </c>
      <c r="G1" s="64" t="s">
        <v>551</v>
      </c>
      <c r="H1" s="64" t="s">
        <v>554</v>
      </c>
      <c r="I1" s="64" t="s">
        <v>555</v>
      </c>
      <c r="K1" s="64" t="s">
        <v>556</v>
      </c>
      <c r="M1" s="64" t="s">
        <v>557</v>
      </c>
    </row>
    <row r="2" spans="2:13" ht="15.75" x14ac:dyDescent="0.3">
      <c r="B2" s="11">
        <f>VALO_BREVET!E5</f>
        <v>0</v>
      </c>
      <c r="C2" s="11">
        <f>VALO_BREVET!H5</f>
        <v>0</v>
      </c>
      <c r="D2" s="11">
        <f>VALO_BREVET!I5</f>
        <v>0</v>
      </c>
      <c r="E2" s="11">
        <f>VALO_BREVET!J5</f>
        <v>0</v>
      </c>
      <c r="F2" s="11">
        <f>VALO_BREVET!K5</f>
        <v>0</v>
      </c>
      <c r="G2" s="11">
        <f>VALO_BREVET!L5</f>
        <v>0</v>
      </c>
      <c r="H2" s="11">
        <f>VALO_BREVET!O5</f>
        <v>0</v>
      </c>
      <c r="I2" s="11">
        <f>VALO_BREVET!P5</f>
        <v>0</v>
      </c>
      <c r="K2" s="11">
        <f>VALO_BREVET!R5</f>
        <v>0</v>
      </c>
      <c r="M2" s="11">
        <f>VALO_BREVET!T5</f>
        <v>0</v>
      </c>
    </row>
    <row r="3" spans="2:13" ht="15.75" x14ac:dyDescent="0.3">
      <c r="B3" s="11">
        <f>VALO_BREVET!E6</f>
        <v>0</v>
      </c>
      <c r="C3" s="11">
        <f>VALO_BREVET!H6</f>
        <v>0</v>
      </c>
      <c r="D3" s="11">
        <f>VALO_BREVET!I6</f>
        <v>0</v>
      </c>
      <c r="E3" s="11">
        <f>VALO_BREVET!J6</f>
        <v>0</v>
      </c>
      <c r="F3" s="11">
        <f>VALO_BREVET!K6</f>
        <v>0</v>
      </c>
      <c r="G3" s="11">
        <f>VALO_BREVET!L6</f>
        <v>0</v>
      </c>
      <c r="H3" s="11">
        <f>VALO_BREVET!O6</f>
        <v>0</v>
      </c>
      <c r="I3" s="11">
        <f>VALO_BREVET!P6</f>
        <v>0</v>
      </c>
      <c r="K3" s="11">
        <f>VALO_BREVET!R6</f>
        <v>0</v>
      </c>
      <c r="M3" s="11">
        <f>VALO_BREVET!T6</f>
        <v>0</v>
      </c>
    </row>
    <row r="4" spans="2:13" ht="15.75" x14ac:dyDescent="0.3">
      <c r="B4" s="11">
        <f>VALO_BREVET!E7</f>
        <v>0</v>
      </c>
      <c r="C4" s="11">
        <f>VALO_BREVET!H7</f>
        <v>0</v>
      </c>
      <c r="D4" s="11">
        <f>VALO_BREVET!I7</f>
        <v>0</v>
      </c>
      <c r="E4" s="11">
        <f>VALO_BREVET!J7</f>
        <v>0</v>
      </c>
      <c r="F4" s="11">
        <f>VALO_BREVET!K7</f>
        <v>0</v>
      </c>
      <c r="G4" s="11">
        <f>VALO_BREVET!L7</f>
        <v>0</v>
      </c>
      <c r="H4" s="11">
        <f>VALO_BREVET!O7</f>
        <v>0</v>
      </c>
      <c r="I4" s="11">
        <f>VALO_BREVET!P7</f>
        <v>0</v>
      </c>
      <c r="K4" s="11">
        <f>VALO_BREVET!R7</f>
        <v>0</v>
      </c>
      <c r="M4" s="11">
        <f>VALO_BREVET!T7</f>
        <v>0</v>
      </c>
    </row>
    <row r="5" spans="2:13" ht="15.75" x14ac:dyDescent="0.3">
      <c r="B5" s="11">
        <f>VALO_BREVET!E8</f>
        <v>0</v>
      </c>
      <c r="C5" s="11">
        <f>VALO_BREVET!H8</f>
        <v>0</v>
      </c>
      <c r="D5" s="11">
        <f>VALO_BREVET!I8</f>
        <v>0</v>
      </c>
      <c r="E5" s="11">
        <f>VALO_BREVET!J8</f>
        <v>0</v>
      </c>
      <c r="F5" s="11">
        <f>VALO_BREVET!K8</f>
        <v>0</v>
      </c>
      <c r="G5" s="11">
        <f>VALO_BREVET!L8</f>
        <v>0</v>
      </c>
      <c r="H5" s="11">
        <f>VALO_BREVET!O8</f>
        <v>0</v>
      </c>
      <c r="I5" s="11">
        <f>VALO_BREVET!P8</f>
        <v>0</v>
      </c>
      <c r="K5" s="11">
        <f>VALO_BREVET!R8</f>
        <v>0</v>
      </c>
      <c r="M5" s="11">
        <f>VALO_BREVET!T8</f>
        <v>0</v>
      </c>
    </row>
    <row r="6" spans="2:13" ht="15.75" x14ac:dyDescent="0.3">
      <c r="B6" s="11">
        <f>VALO_BREVET!E9</f>
        <v>0</v>
      </c>
      <c r="C6" s="11">
        <f>VALO_BREVET!H9</f>
        <v>0</v>
      </c>
      <c r="D6" s="11">
        <f>VALO_BREVET!I9</f>
        <v>0</v>
      </c>
      <c r="E6" s="11">
        <f>VALO_BREVET!J9</f>
        <v>0</v>
      </c>
      <c r="F6" s="11">
        <f>VALO_BREVET!K9</f>
        <v>0</v>
      </c>
      <c r="G6" s="11">
        <f>VALO_BREVET!L9</f>
        <v>0</v>
      </c>
      <c r="H6" s="11">
        <f>VALO_BREVET!O9</f>
        <v>0</v>
      </c>
      <c r="I6" s="11">
        <f>VALO_BREVET!P9</f>
        <v>0</v>
      </c>
      <c r="K6" s="11">
        <f>VALO_BREVET!R9</f>
        <v>0</v>
      </c>
      <c r="M6" s="11">
        <f>VALO_BREVET!T9</f>
        <v>0</v>
      </c>
    </row>
    <row r="7" spans="2:13" ht="15.75" x14ac:dyDescent="0.3">
      <c r="B7" s="11">
        <f>VALO_BREVET!E10</f>
        <v>0</v>
      </c>
      <c r="C7" s="11">
        <f>VALO_BREVET!H10</f>
        <v>0</v>
      </c>
      <c r="D7" s="11">
        <f>VALO_BREVET!I10</f>
        <v>0</v>
      </c>
      <c r="E7" s="11">
        <f>VALO_BREVET!J10</f>
        <v>0</v>
      </c>
      <c r="F7" s="11">
        <f>VALO_BREVET!K10</f>
        <v>0</v>
      </c>
      <c r="G7" s="11">
        <f>VALO_BREVET!L10</f>
        <v>0</v>
      </c>
      <c r="H7" s="11">
        <f>VALO_BREVET!O10</f>
        <v>0</v>
      </c>
      <c r="I7" s="11">
        <f>VALO_BREVET!P10</f>
        <v>0</v>
      </c>
      <c r="K7" s="11">
        <f>VALO_BREVET!R10</f>
        <v>0</v>
      </c>
      <c r="M7" s="11">
        <f>VALO_BREVET!T10</f>
        <v>0</v>
      </c>
    </row>
    <row r="8" spans="2:13" ht="15.75" x14ac:dyDescent="0.3">
      <c r="B8" s="11">
        <f>VALO_BREVET!E11</f>
        <v>0</v>
      </c>
      <c r="C8" s="11">
        <f>VALO_BREVET!H11</f>
        <v>0</v>
      </c>
      <c r="D8" s="11">
        <f>VALO_BREVET!I11</f>
        <v>0</v>
      </c>
      <c r="E8" s="11">
        <f>VALO_BREVET!J11</f>
        <v>0</v>
      </c>
      <c r="F8" s="11">
        <f>VALO_BREVET!K11</f>
        <v>0</v>
      </c>
      <c r="G8" s="11">
        <f>VALO_BREVET!L11</f>
        <v>0</v>
      </c>
      <c r="H8" s="11">
        <f>VALO_BREVET!O11</f>
        <v>0</v>
      </c>
      <c r="I8" s="11">
        <f>VALO_BREVET!P11</f>
        <v>0</v>
      </c>
      <c r="K8" s="11">
        <f>VALO_BREVET!R11</f>
        <v>0</v>
      </c>
      <c r="M8" s="11">
        <f>VALO_BREVET!T11</f>
        <v>0</v>
      </c>
    </row>
    <row r="9" spans="2:13" ht="15.75" x14ac:dyDescent="0.3">
      <c r="B9" s="11">
        <f>VALO_BREVET!E12</f>
        <v>0</v>
      </c>
      <c r="C9" s="11">
        <f>VALO_BREVET!H12</f>
        <v>0</v>
      </c>
      <c r="D9" s="11">
        <f>VALO_BREVET!I12</f>
        <v>0</v>
      </c>
      <c r="E9" s="11">
        <f>VALO_BREVET!J12</f>
        <v>0</v>
      </c>
      <c r="F9" s="11">
        <f>VALO_BREVET!K12</f>
        <v>0</v>
      </c>
      <c r="G9" s="11">
        <f>VALO_BREVET!L12</f>
        <v>0</v>
      </c>
      <c r="H9" s="11">
        <f>VALO_BREVET!O12</f>
        <v>0</v>
      </c>
      <c r="I9" s="11">
        <f>VALO_BREVET!P12</f>
        <v>0</v>
      </c>
      <c r="K9" s="11">
        <f>VALO_BREVET!R12</f>
        <v>0</v>
      </c>
      <c r="M9" s="11">
        <f>VALO_BREVET!T12</f>
        <v>0</v>
      </c>
    </row>
    <row r="10" spans="2:13" ht="15.75" x14ac:dyDescent="0.3">
      <c r="B10" s="11">
        <f>VALO_BREVET!E13</f>
        <v>0</v>
      </c>
      <c r="C10" s="11">
        <f>VALO_BREVET!H13</f>
        <v>0</v>
      </c>
      <c r="D10" s="11">
        <f>VALO_BREVET!I13</f>
        <v>0</v>
      </c>
      <c r="E10" s="11">
        <f>VALO_BREVET!J13</f>
        <v>0</v>
      </c>
      <c r="F10" s="11">
        <f>VALO_BREVET!K13</f>
        <v>0</v>
      </c>
      <c r="G10" s="11">
        <f>VALO_BREVET!L13</f>
        <v>0</v>
      </c>
      <c r="H10" s="11">
        <f>VALO_BREVET!O13</f>
        <v>0</v>
      </c>
      <c r="I10" s="11">
        <f>VALO_BREVET!P13</f>
        <v>0</v>
      </c>
      <c r="K10" s="11">
        <f>VALO_BREVET!R13</f>
        <v>0</v>
      </c>
      <c r="M10" s="11">
        <f>VALO_BREVET!T13</f>
        <v>0</v>
      </c>
    </row>
    <row r="11" spans="2:13" ht="15.75" x14ac:dyDescent="0.3">
      <c r="B11" s="11">
        <f>VALO_BREVET!E14</f>
        <v>0</v>
      </c>
      <c r="C11" s="11">
        <f>VALO_BREVET!H14</f>
        <v>0</v>
      </c>
      <c r="D11" s="11">
        <f>VALO_BREVET!I14</f>
        <v>0</v>
      </c>
      <c r="E11" s="11">
        <f>VALO_BREVET!J14</f>
        <v>0</v>
      </c>
      <c r="F11" s="11">
        <f>VALO_BREVET!K14</f>
        <v>0</v>
      </c>
      <c r="G11" s="11">
        <f>VALO_BREVET!L14</f>
        <v>0</v>
      </c>
      <c r="H11" s="11">
        <f>VALO_BREVET!O14</f>
        <v>0</v>
      </c>
      <c r="I11" s="11">
        <f>VALO_BREVET!P14</f>
        <v>0</v>
      </c>
      <c r="K11" s="11">
        <f>VALO_BREVET!R14</f>
        <v>0</v>
      </c>
      <c r="M11" s="11">
        <f>VALO_BREVET!T14</f>
        <v>0</v>
      </c>
    </row>
    <row r="12" spans="2:13" ht="15.75" x14ac:dyDescent="0.3">
      <c r="B12" s="11">
        <f>VALO_BREVET!E15</f>
        <v>0</v>
      </c>
      <c r="C12" s="11">
        <f>VALO_BREVET!H15</f>
        <v>0</v>
      </c>
      <c r="D12" s="11">
        <f>VALO_BREVET!I15</f>
        <v>0</v>
      </c>
      <c r="E12" s="11">
        <f>VALO_BREVET!J15</f>
        <v>0</v>
      </c>
      <c r="F12" s="11">
        <f>VALO_BREVET!K15</f>
        <v>0</v>
      </c>
      <c r="G12" s="11">
        <f>VALO_BREVET!L15</f>
        <v>0</v>
      </c>
      <c r="H12" s="11">
        <f>VALO_BREVET!O15</f>
        <v>0</v>
      </c>
      <c r="I12" s="11">
        <f>VALO_BREVET!P15</f>
        <v>0</v>
      </c>
      <c r="K12" s="11">
        <f>VALO_BREVET!R15</f>
        <v>0</v>
      </c>
      <c r="M12" s="11">
        <f>VALO_BREVET!T15</f>
        <v>0</v>
      </c>
    </row>
    <row r="13" spans="2:13" ht="15.75" x14ac:dyDescent="0.3">
      <c r="B13" s="11">
        <f>VALO_BREVET!E16</f>
        <v>0</v>
      </c>
      <c r="C13" s="11">
        <f>VALO_BREVET!H16</f>
        <v>0</v>
      </c>
      <c r="D13" s="11">
        <f>VALO_BREVET!I16</f>
        <v>0</v>
      </c>
      <c r="E13" s="11">
        <f>VALO_BREVET!J16</f>
        <v>0</v>
      </c>
      <c r="F13" s="11">
        <f>VALO_BREVET!K16</f>
        <v>0</v>
      </c>
      <c r="G13" s="11">
        <f>VALO_BREVET!L16</f>
        <v>0</v>
      </c>
      <c r="H13" s="11">
        <f>VALO_BREVET!O16</f>
        <v>0</v>
      </c>
      <c r="I13" s="11">
        <f>VALO_BREVET!P16</f>
        <v>0</v>
      </c>
      <c r="K13" s="11">
        <f>VALO_BREVET!R16</f>
        <v>0</v>
      </c>
      <c r="M13" s="11">
        <f>VALO_BREVET!T16</f>
        <v>0</v>
      </c>
    </row>
    <row r="14" spans="2:13" ht="15.75" x14ac:dyDescent="0.3">
      <c r="B14" s="11">
        <f>VALO_BREVET!E17</f>
        <v>0</v>
      </c>
      <c r="C14" s="11">
        <f>VALO_BREVET!H17</f>
        <v>0</v>
      </c>
      <c r="D14" s="11">
        <f>VALO_BREVET!I17</f>
        <v>0</v>
      </c>
      <c r="E14" s="11">
        <f>VALO_BREVET!J17</f>
        <v>0</v>
      </c>
      <c r="F14" s="11">
        <f>VALO_BREVET!K17</f>
        <v>0</v>
      </c>
      <c r="G14" s="11">
        <f>VALO_BREVET!L17</f>
        <v>0</v>
      </c>
      <c r="H14" s="11">
        <f>VALO_BREVET!O17</f>
        <v>0</v>
      </c>
      <c r="I14" s="11">
        <f>VALO_BREVET!P17</f>
        <v>0</v>
      </c>
      <c r="K14" s="11">
        <f>VALO_BREVET!R17</f>
        <v>0</v>
      </c>
      <c r="M14" s="11">
        <f>VALO_BREVET!T17</f>
        <v>0</v>
      </c>
    </row>
    <row r="15" spans="2:13" ht="15.75" x14ac:dyDescent="0.3">
      <c r="B15" s="11">
        <f>VALO_BREVET!E18</f>
        <v>0</v>
      </c>
      <c r="C15" s="11">
        <f>VALO_BREVET!H18</f>
        <v>0</v>
      </c>
      <c r="D15" s="11">
        <f>VALO_BREVET!I18</f>
        <v>0</v>
      </c>
      <c r="E15" s="11">
        <f>VALO_BREVET!J18</f>
        <v>0</v>
      </c>
      <c r="F15" s="11">
        <f>VALO_BREVET!K18</f>
        <v>0</v>
      </c>
      <c r="G15" s="11">
        <f>VALO_BREVET!L18</f>
        <v>0</v>
      </c>
      <c r="H15" s="11">
        <f>VALO_BREVET!O18</f>
        <v>0</v>
      </c>
      <c r="I15" s="11">
        <f>VALO_BREVET!P18</f>
        <v>0</v>
      </c>
      <c r="K15" s="11">
        <f>VALO_BREVET!R18</f>
        <v>0</v>
      </c>
      <c r="M15" s="11">
        <f>VALO_BREVET!T18</f>
        <v>0</v>
      </c>
    </row>
    <row r="16" spans="2:13" ht="15.75" x14ac:dyDescent="0.3">
      <c r="B16" s="11">
        <f>VALO_BREVET!E19</f>
        <v>0</v>
      </c>
      <c r="C16" s="11">
        <f>VALO_BREVET!H19</f>
        <v>0</v>
      </c>
      <c r="D16" s="11">
        <f>VALO_BREVET!I19</f>
        <v>0</v>
      </c>
      <c r="E16" s="11">
        <f>VALO_BREVET!J19</f>
        <v>0</v>
      </c>
      <c r="F16" s="11">
        <f>VALO_BREVET!K19</f>
        <v>0</v>
      </c>
      <c r="G16" s="11">
        <f>VALO_BREVET!L19</f>
        <v>0</v>
      </c>
      <c r="H16" s="11">
        <f>VALO_BREVET!O19</f>
        <v>0</v>
      </c>
      <c r="I16" s="11">
        <f>VALO_BREVET!P19</f>
        <v>0</v>
      </c>
      <c r="K16" s="11">
        <f>VALO_BREVET!R19</f>
        <v>0</v>
      </c>
      <c r="M16" s="11">
        <f>VALO_BREVET!T19</f>
        <v>0</v>
      </c>
    </row>
    <row r="17" spans="1:13" ht="15.75" x14ac:dyDescent="0.3">
      <c r="B17" s="11">
        <f>VALO_BREVET!E20</f>
        <v>0</v>
      </c>
      <c r="C17" s="11">
        <f>VALO_BREVET!H20</f>
        <v>0</v>
      </c>
      <c r="D17" s="11">
        <f>VALO_BREVET!I20</f>
        <v>0</v>
      </c>
      <c r="E17" s="11">
        <f>VALO_BREVET!J20</f>
        <v>0</v>
      </c>
      <c r="F17" s="11">
        <f>VALO_BREVET!K20</f>
        <v>0</v>
      </c>
      <c r="G17" s="11">
        <f>VALO_BREVET!L20</f>
        <v>0</v>
      </c>
      <c r="H17" s="11">
        <f>VALO_BREVET!O20</f>
        <v>0</v>
      </c>
      <c r="I17" s="11">
        <f>VALO_BREVET!P20</f>
        <v>0</v>
      </c>
      <c r="K17" s="11">
        <f>VALO_BREVET!R20</f>
        <v>0</v>
      </c>
      <c r="M17" s="11">
        <f>VALO_BREVET!T20</f>
        <v>0</v>
      </c>
    </row>
    <row r="18" spans="1:13" ht="15.75" x14ac:dyDescent="0.3">
      <c r="B18" s="11">
        <f>VALO_BREVET!E21</f>
        <v>0</v>
      </c>
      <c r="C18" s="11">
        <f>VALO_BREVET!H21</f>
        <v>0</v>
      </c>
      <c r="D18" s="11">
        <f>VALO_BREVET!I21</f>
        <v>0</v>
      </c>
      <c r="E18" s="11">
        <f>VALO_BREVET!J21</f>
        <v>0</v>
      </c>
      <c r="F18" s="11">
        <f>VALO_BREVET!K21</f>
        <v>0</v>
      </c>
      <c r="G18" s="11">
        <f>VALO_BREVET!L21</f>
        <v>0</v>
      </c>
      <c r="H18" s="11">
        <f>VALO_BREVET!O21</f>
        <v>0</v>
      </c>
      <c r="I18" s="11">
        <f>VALO_BREVET!P21</f>
        <v>0</v>
      </c>
      <c r="K18" s="11">
        <f>VALO_BREVET!R21</f>
        <v>0</v>
      </c>
      <c r="M18" s="11">
        <f>VALO_BREVET!T21</f>
        <v>0</v>
      </c>
    </row>
    <row r="19" spans="1:13" ht="15.75" x14ac:dyDescent="0.3">
      <c r="B19" s="11">
        <f>VALO_BREVET!E22</f>
        <v>0</v>
      </c>
      <c r="C19" s="11">
        <f>VALO_BREVET!H22</f>
        <v>0</v>
      </c>
      <c r="D19" s="11">
        <f>VALO_BREVET!I22</f>
        <v>0</v>
      </c>
      <c r="E19" s="11">
        <f>VALO_BREVET!J22</f>
        <v>0</v>
      </c>
      <c r="F19" s="11">
        <f>VALO_BREVET!K22</f>
        <v>0</v>
      </c>
      <c r="G19" s="11">
        <f>VALO_BREVET!L22</f>
        <v>0</v>
      </c>
      <c r="H19" s="11">
        <f>VALO_BREVET!O22</f>
        <v>0</v>
      </c>
      <c r="I19" s="11">
        <f>VALO_BREVET!P22</f>
        <v>0</v>
      </c>
      <c r="K19" s="11">
        <f>VALO_BREVET!R22</f>
        <v>0</v>
      </c>
      <c r="M19" s="11">
        <f>VALO_BREVET!T22</f>
        <v>0</v>
      </c>
    </row>
    <row r="20" spans="1:13" ht="15.75" x14ac:dyDescent="0.3">
      <c r="B20" s="11">
        <f>VALO_BREVET!E23</f>
        <v>0</v>
      </c>
      <c r="C20" s="11">
        <f>VALO_BREVET!H23</f>
        <v>0</v>
      </c>
      <c r="D20" s="11">
        <f>VALO_BREVET!I23</f>
        <v>0</v>
      </c>
      <c r="E20" s="11">
        <f>VALO_BREVET!J23</f>
        <v>0</v>
      </c>
      <c r="F20" s="11">
        <f>VALO_BREVET!K23</f>
        <v>0</v>
      </c>
      <c r="G20" s="11">
        <f>VALO_BREVET!L23</f>
        <v>0</v>
      </c>
      <c r="H20" s="11">
        <f>VALO_BREVET!O23</f>
        <v>0</v>
      </c>
      <c r="I20" s="11">
        <f>VALO_BREVET!P23</f>
        <v>0</v>
      </c>
      <c r="K20" s="11">
        <f>VALO_BREVET!R23</f>
        <v>0</v>
      </c>
      <c r="M20" s="11">
        <f>VALO_BREVET!T23</f>
        <v>0</v>
      </c>
    </row>
    <row r="21" spans="1:13" ht="15.75" x14ac:dyDescent="0.3">
      <c r="A21" t="s">
        <v>868</v>
      </c>
      <c r="B21" s="11">
        <f>VALO_BREVET!E24</f>
        <v>0</v>
      </c>
      <c r="C21" s="11">
        <f>VALO_BREVET!H24</f>
        <v>0</v>
      </c>
      <c r="D21" s="11">
        <f>VALO_BREVET!I24</f>
        <v>0</v>
      </c>
      <c r="E21" s="11">
        <f>VALO_BREVET!J24</f>
        <v>0</v>
      </c>
      <c r="F21" s="11">
        <f>VALO_BREVET!K24</f>
        <v>0</v>
      </c>
      <c r="G21" s="11">
        <f>VALO_BREVET!L24</f>
        <v>0</v>
      </c>
      <c r="H21" s="11">
        <f>VALO_BREVET!O24</f>
        <v>0</v>
      </c>
      <c r="I21" s="11">
        <f>VALO_BREVET!P24</f>
        <v>0</v>
      </c>
      <c r="K21" s="11">
        <f>VALO_BREVET!R24</f>
        <v>0</v>
      </c>
      <c r="M21" s="11">
        <f>VALO_BREVET!T24</f>
        <v>0</v>
      </c>
    </row>
    <row r="22" spans="1:13" ht="15.75" x14ac:dyDescent="0.3">
      <c r="B22" s="11">
        <f>VALO_BREVET!E25</f>
        <v>0</v>
      </c>
      <c r="C22" s="11">
        <f>VALO_BREVET!H25</f>
        <v>0</v>
      </c>
      <c r="D22" s="11">
        <f>VALO_BREVET!I25</f>
        <v>0</v>
      </c>
      <c r="E22" s="11">
        <f>VALO_BREVET!J25</f>
        <v>0</v>
      </c>
      <c r="F22" s="11">
        <f>VALO_BREVET!K25</f>
        <v>0</v>
      </c>
      <c r="G22" s="11">
        <f>VALO_BREVET!L25</f>
        <v>0</v>
      </c>
      <c r="H22" s="11">
        <f>VALO_BREVET!O25</f>
        <v>0</v>
      </c>
      <c r="I22" s="11">
        <f>VALO_BREVET!P25</f>
        <v>0</v>
      </c>
      <c r="K22" s="11">
        <f>VALO_BREVET!R25</f>
        <v>0</v>
      </c>
      <c r="M22" s="11">
        <f>VALO_BREVET!T25</f>
        <v>0</v>
      </c>
    </row>
    <row r="23" spans="1:13" ht="15.75" thickBot="1" x14ac:dyDescent="0.3">
      <c r="B23" s="62"/>
      <c r="C23" s="62"/>
      <c r="D23" s="62"/>
      <c r="E23" s="62"/>
      <c r="F23" s="62"/>
      <c r="G23" s="62"/>
      <c r="H23" s="98">
        <f>SUM(H2:H22)</f>
        <v>0</v>
      </c>
      <c r="I23" s="98">
        <f>SUM(I2:I22)</f>
        <v>0</v>
      </c>
      <c r="J23" s="76"/>
      <c r="K23" s="98">
        <f>SUM(K2:K22)</f>
        <v>0</v>
      </c>
      <c r="L23" s="76"/>
      <c r="M23" s="98">
        <f>SUM(M2:M22)</f>
        <v>0</v>
      </c>
    </row>
    <row r="25" spans="1:13" ht="15.75" thickBot="1" x14ac:dyDescent="0.3">
      <c r="F25" s="62"/>
      <c r="G25" s="62"/>
      <c r="H25" s="65" t="s">
        <v>559</v>
      </c>
      <c r="I25" s="449">
        <f>SUMIF(D:D,parametrage!$Q$2,BREVET_TS!I:I)</f>
        <v>0</v>
      </c>
      <c r="K25" s="449">
        <f>SUMIF(D:D,parametrage!$Q$2,BREVET_TS!K:K)</f>
        <v>0</v>
      </c>
      <c r="L25" s="451"/>
      <c r="M25" s="449">
        <f>SUMIF(D:D,parametrage!$Q$2,BREVET_TS!M:M)</f>
        <v>0</v>
      </c>
    </row>
    <row r="26" spans="1:13" ht="15.75" thickBot="1" x14ac:dyDescent="0.3">
      <c r="F26" s="62"/>
      <c r="G26" s="62"/>
      <c r="H26" s="65" t="s">
        <v>560</v>
      </c>
      <c r="I26" s="449">
        <f>SUMIF(D:D,parametrage!$Q$3,BREVET_TS!I:I)</f>
        <v>0</v>
      </c>
      <c r="K26" s="449">
        <f>SUMIF(D:D,parametrage!$Q$3,BREVET_TS!K:K)</f>
        <v>0</v>
      </c>
      <c r="L26" s="451"/>
      <c r="M26" s="449">
        <f>IF(SUMIF(D:D,parametrage!$Q$3,BREVET_TS!M:M)&gt;60000,60000,SUMIF(D:D,parametrage!$Q$3,BREVET_TS!M:M))</f>
        <v>0</v>
      </c>
    </row>
    <row r="27" spans="1:13" ht="15.75" thickBot="1" x14ac:dyDescent="0.3">
      <c r="F27" s="62"/>
      <c r="G27" s="62"/>
      <c r="H27" s="65" t="s">
        <v>561</v>
      </c>
      <c r="I27" s="449">
        <f>SUMIF(D:D,parametrage!$Q$4,BREVET_TS!I:I)</f>
        <v>0</v>
      </c>
      <c r="K27" s="450"/>
      <c r="M27" s="450"/>
    </row>
  </sheetData>
  <conditionalFormatting sqref="B23:B1048576">
    <cfRule type="duplicateValues" dxfId="41" priority="1"/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6C24-3F29-467C-9502-1667F00C6350}">
  <sheetPr codeName="Feuil14">
    <tabColor theme="7" tint="0.79998168889431442"/>
  </sheetPr>
  <dimension ref="A3:AE34"/>
  <sheetViews>
    <sheetView showGridLines="0" workbookViewId="0">
      <selection activeCell="A26" sqref="A26:XFD26"/>
    </sheetView>
  </sheetViews>
  <sheetFormatPr baseColWidth="10" defaultColWidth="11.42578125" defaultRowHeight="15" outlineLevelCol="1" x14ac:dyDescent="0.25"/>
  <cols>
    <col min="2" max="2" width="4.5703125" style="60" customWidth="1"/>
    <col min="9" max="9" width="13" bestFit="1" customWidth="1"/>
    <col min="11" max="11" width="15.28515625" customWidth="1"/>
    <col min="12" max="13" width="13.7109375" customWidth="1"/>
    <col min="16" max="16" width="13" customWidth="1"/>
    <col min="20" max="21" width="12.85546875" customWidth="1"/>
    <col min="22" max="22" width="12.85546875" customWidth="1" outlineLevel="1"/>
    <col min="23" max="23" width="1.7109375" customWidth="1"/>
    <col min="24" max="24" width="11.7109375" customWidth="1" outlineLevel="1"/>
    <col min="25" max="25" width="1.5703125" customWidth="1"/>
    <col min="26" max="26" width="11.7109375" customWidth="1" outlineLevel="1"/>
    <col min="27" max="27" width="1.7109375" customWidth="1"/>
    <col min="28" max="28" width="11.7109375" customWidth="1" outlineLevel="1"/>
    <col min="29" max="29" width="4.28515625" customWidth="1"/>
  </cols>
  <sheetData>
    <row r="3" spans="2:31" ht="15.75" thickBot="1" x14ac:dyDescent="0.3">
      <c r="C3" s="99"/>
      <c r="D3" s="100"/>
      <c r="E3" s="100"/>
      <c r="F3" s="99"/>
      <c r="G3" s="100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100"/>
      <c r="U3" s="100"/>
      <c r="V3" s="99"/>
      <c r="X3" s="99"/>
      <c r="Z3" s="99"/>
      <c r="AB3" s="99"/>
    </row>
    <row r="4" spans="2:31" ht="45.75" thickBot="1" x14ac:dyDescent="0.3">
      <c r="C4" s="64" t="s">
        <v>452</v>
      </c>
      <c r="D4" s="64" t="s">
        <v>454</v>
      </c>
      <c r="E4" s="64" t="s">
        <v>545</v>
      </c>
      <c r="F4" s="64" t="s">
        <v>546</v>
      </c>
      <c r="G4" s="64" t="s">
        <v>547</v>
      </c>
      <c r="H4" s="64" t="s">
        <v>548</v>
      </c>
      <c r="I4" s="64" t="s">
        <v>328</v>
      </c>
      <c r="J4" s="64" t="s">
        <v>329</v>
      </c>
      <c r="K4" s="47" t="s">
        <v>562</v>
      </c>
      <c r="L4" s="47" t="s">
        <v>563</v>
      </c>
      <c r="M4" s="47" t="s">
        <v>564</v>
      </c>
      <c r="N4" s="47" t="s">
        <v>330</v>
      </c>
      <c r="O4" s="47" t="s">
        <v>565</v>
      </c>
      <c r="P4" s="47" t="s">
        <v>566</v>
      </c>
      <c r="Q4" s="47" t="s">
        <v>331</v>
      </c>
      <c r="R4" s="47" t="s">
        <v>567</v>
      </c>
      <c r="S4" s="47" t="s">
        <v>568</v>
      </c>
      <c r="T4" s="47" t="s">
        <v>554</v>
      </c>
      <c r="U4" s="47" t="s">
        <v>569</v>
      </c>
      <c r="V4" s="47" t="s">
        <v>570</v>
      </c>
      <c r="W4" s="182" t="s">
        <v>571</v>
      </c>
      <c r="X4" s="47" t="s">
        <v>572</v>
      </c>
      <c r="Y4" s="182" t="s">
        <v>571</v>
      </c>
      <c r="Z4" s="47" t="s">
        <v>557</v>
      </c>
      <c r="AA4" s="182" t="s">
        <v>571</v>
      </c>
      <c r="AB4" s="47" t="s">
        <v>573</v>
      </c>
      <c r="AC4" s="182" t="s">
        <v>571</v>
      </c>
      <c r="AD4" s="452" t="s">
        <v>332</v>
      </c>
      <c r="AE4" s="452" t="s">
        <v>574</v>
      </c>
    </row>
    <row r="5" spans="2:31" ht="15.75" x14ac:dyDescent="0.3">
      <c r="B5" s="60">
        <f t="shared" ref="B5:B26" si="0">IF((V5+X5+Z5+AB5)&gt;T5,1,0)</f>
        <v>0</v>
      </c>
      <c r="C5" s="84" t="b">
        <v>0</v>
      </c>
      <c r="D5" s="11"/>
      <c r="E5" s="11"/>
      <c r="F5" s="11"/>
      <c r="G5" s="95"/>
      <c r="H5" s="95"/>
      <c r="I5" s="11"/>
      <c r="J5" s="11"/>
      <c r="K5" s="402"/>
      <c r="L5" s="11"/>
      <c r="M5" s="11"/>
      <c r="N5" s="11"/>
      <c r="O5" s="11"/>
      <c r="P5" s="11"/>
      <c r="Q5" s="11"/>
      <c r="R5" s="11"/>
      <c r="S5" s="11"/>
      <c r="T5" s="11"/>
      <c r="U5" s="11"/>
      <c r="V5" s="229">
        <f>IF(AND(VALO_ST!$U5=parametrage!$K$13,VALO_ST!$Q5=parametrage!$U$2),VALO_ST!$T5,IF(AND(VALO_ST!$U5=parametrage!$K$14,VALO_ST!$Q5=parametrage!$U$2),0,IF(AND(VALO_ST!$U5=parametrage!$K$15,VALO_ST!$Q5=parametrage!$U$2),"Montant à définir",0)))</f>
        <v>0</v>
      </c>
      <c r="W5" s="77"/>
      <c r="X5" s="229">
        <f>IF(AND(VALO_ST!$U5=parametrage!$K$13,VALO_ST!$Q5=parametrage!$U$4),VALO_ST!$T5,IF(AND(VALO_ST!$U5=parametrage!$K$14,VALO_ST!$Q5=parametrage!$U$4),0,IF(AND(VALO_ST!$U5=parametrage!$K$15,VALO_ST!$Q5=parametrage!$U$4),"Montant à définir",0)))</f>
        <v>0</v>
      </c>
      <c r="Y5" s="77"/>
      <c r="Z5" s="229">
        <f>IF(AND(VALO_ST!$U5=parametrage!$K$13,VALO_ST!$Q5=parametrage!$U$3),VALO_ST!$T5,IF(AND(VALO_ST!$U5=parametrage!$K$14,VALO_ST!$Q5=parametrage!$U$3),0,IF(AND(VALO_ST!$U5=parametrage!$K$15,VALO_ST!$Q5=parametrage!$U$3),"Montant à définir",0)))</f>
        <v>0</v>
      </c>
      <c r="AA5" s="77"/>
      <c r="AB5" s="229">
        <f>IF(AND(VALO_ST!$U5=parametrage!$K$13,VALO_ST!$Q5=parametrage!$U$5),VALO_ST!$T5,IF(AND(VALO_ST!$U5=parametrage!$K$14,VALO_ST!$Q5=parametrage!$U$5),0,IF(AND(VALO_ST!$U5=parametrage!$K$15,VALO_ST!$Q5=parametrage!$U$5),"Montant à définir",0)))</f>
        <v>0</v>
      </c>
      <c r="AD5" s="448" t="str">
        <f t="shared" ref="AD5:AD26" si="1">IF(Q5="CIC","",IF(Q5="CII",69,IF(AND(Q5="CICO",O5="française"),"82a",IF(AND(Q5="CICO",O5="européenne"),"82b",IF(AND(Q5="CIR",O5="française",P5="oui"),"15a",IF(AND(Q5="CIR",O5="européenne",P5="oui"),"15b",IF(AND(Q5="CIR",O5="française",P5="non"),"16a",IF(AND(Q5="CIR",O5="européenne",P5="non"),"16b",""))))))))</f>
        <v/>
      </c>
      <c r="AE5" s="453">
        <f>V5+X5+Z5</f>
        <v>0</v>
      </c>
    </row>
    <row r="6" spans="2:31" ht="15.75" x14ac:dyDescent="0.3">
      <c r="B6" s="60">
        <f t="shared" si="0"/>
        <v>0</v>
      </c>
      <c r="C6" s="84" t="b">
        <v>0</v>
      </c>
      <c r="D6" s="11"/>
      <c r="E6" s="11"/>
      <c r="F6" s="11"/>
      <c r="G6" s="95"/>
      <c r="H6" s="95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229">
        <f>IF(AND(VALO_ST!$U6=parametrage!$K$13,VALO_ST!$Q6=parametrage!$U$2),VALO_ST!$T6,IF(AND(VALO_ST!$U6=parametrage!$K$14,VALO_ST!$Q6=parametrage!$U$2),0,IF(AND(VALO_ST!$U6=parametrage!$K$15,VALO_ST!$Q6=parametrage!$U$2),"Montant à définir",0)))</f>
        <v>0</v>
      </c>
      <c r="W6" s="77"/>
      <c r="X6" s="229">
        <f>IF(AND(VALO_ST!$U6=parametrage!$K$13,VALO_ST!$Q6=parametrage!$U$4),VALO_ST!$T6,IF(AND(VALO_ST!$U6=parametrage!$K$14,VALO_ST!$Q6=parametrage!$U$4),0,IF(AND(VALO_ST!$U6=parametrage!$K$15,VALO_ST!$Q6=parametrage!$U$4),"Montant à définir",0)))</f>
        <v>0</v>
      </c>
      <c r="Y6" s="77"/>
      <c r="Z6" s="229">
        <f>IF(AND(VALO_ST!$U6=parametrage!$K$13,VALO_ST!$Q6=parametrage!$U$3),VALO_ST!$T6,IF(AND(VALO_ST!$U6=parametrage!$K$14,VALO_ST!$Q6=parametrage!$U$3),0,IF(AND(VALO_ST!$U6=parametrage!$K$15,VALO_ST!$Q6=parametrage!$U$3),"Montant à définir",0)))</f>
        <v>0</v>
      </c>
      <c r="AA6" s="77"/>
      <c r="AB6" s="229">
        <f>IF(AND(VALO_ST!$U6=parametrage!$K$13,VALO_ST!$Q6=parametrage!$U$5),VALO_ST!$T6,IF(AND(VALO_ST!$U6=parametrage!$K$14,VALO_ST!$Q6=parametrage!$U$5),0,IF(AND(VALO_ST!$U6=parametrage!$K$15,VALO_ST!$Q6=parametrage!$U$5),"Montant à définir",0)))</f>
        <v>0</v>
      </c>
      <c r="AD6" s="448" t="str">
        <f t="shared" si="1"/>
        <v/>
      </c>
      <c r="AE6" s="453">
        <f t="shared" ref="AE6:AE26" si="2">V6+X6+Z6</f>
        <v>0</v>
      </c>
    </row>
    <row r="7" spans="2:31" ht="15.75" x14ac:dyDescent="0.3">
      <c r="B7" s="60">
        <f t="shared" si="0"/>
        <v>0</v>
      </c>
      <c r="C7" s="84" t="b">
        <v>0</v>
      </c>
      <c r="D7" s="11"/>
      <c r="E7" s="11"/>
      <c r="F7" s="11"/>
      <c r="G7" s="95"/>
      <c r="H7" s="95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229">
        <f>IF(AND(VALO_ST!$U7=parametrage!$K$13,VALO_ST!$Q7=parametrage!$U$2),VALO_ST!$T7,IF(AND(VALO_ST!$U7=parametrage!$K$14,VALO_ST!$Q7=parametrage!$U$2),0,IF(AND(VALO_ST!$U7=parametrage!$K$15,VALO_ST!$Q7=parametrage!$U$2),"Montant à définir",0)))</f>
        <v>0</v>
      </c>
      <c r="W7" s="77"/>
      <c r="X7" s="229">
        <f>IF(AND(VALO_ST!$U7=parametrage!$K$13,VALO_ST!$Q7=parametrage!$U$4),VALO_ST!$T7,IF(AND(VALO_ST!$U7=parametrage!$K$14,VALO_ST!$Q7=parametrage!$U$4),0,IF(AND(VALO_ST!$U7=parametrage!$K$15,VALO_ST!$Q7=parametrage!$U$4),"Montant à définir",0)))</f>
        <v>0</v>
      </c>
      <c r="Y7" s="77"/>
      <c r="Z7" s="229">
        <f>IF(AND(VALO_ST!$U7=parametrage!$K$13,VALO_ST!$Q7=parametrage!$U$3),VALO_ST!$T7,IF(AND(VALO_ST!$U7=parametrage!$K$14,VALO_ST!$Q7=parametrage!$U$3),0,IF(AND(VALO_ST!$U7=parametrage!$K$15,VALO_ST!$Q7=parametrage!$U$3),"Montant à définir",0)))</f>
        <v>0</v>
      </c>
      <c r="AA7" s="77"/>
      <c r="AB7" s="229">
        <f>IF(AND(VALO_ST!$U7=parametrage!$K$13,VALO_ST!$Q7=parametrage!$U$5),VALO_ST!$T7,IF(AND(VALO_ST!$U7=parametrage!$K$14,VALO_ST!$Q7=parametrage!$U$5),0,IF(AND(VALO_ST!$U7=parametrage!$K$15,VALO_ST!$Q7=parametrage!$U$5),"Montant à définir",0)))</f>
        <v>0</v>
      </c>
      <c r="AD7" s="448" t="str">
        <f t="shared" si="1"/>
        <v/>
      </c>
      <c r="AE7" s="453">
        <f t="shared" si="2"/>
        <v>0</v>
      </c>
    </row>
    <row r="8" spans="2:31" ht="15.75" x14ac:dyDescent="0.3">
      <c r="B8" s="60">
        <f t="shared" si="0"/>
        <v>0</v>
      </c>
      <c r="C8" s="84" t="b">
        <v>0</v>
      </c>
      <c r="D8" s="11"/>
      <c r="E8" s="11"/>
      <c r="F8" s="11"/>
      <c r="G8" s="95"/>
      <c r="H8" s="95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229">
        <f>IF(AND(VALO_ST!$U8=parametrage!$K$13,VALO_ST!$Q8=parametrage!$U$2),VALO_ST!$T8,IF(AND(VALO_ST!$U8=parametrage!$K$14,VALO_ST!$Q8=parametrage!$U$2),0,IF(AND(VALO_ST!$U8=parametrage!$K$15,VALO_ST!$Q8=parametrage!$U$2),"Montant à définir",0)))</f>
        <v>0</v>
      </c>
      <c r="W8" s="77"/>
      <c r="X8" s="229">
        <f>IF(AND(VALO_ST!$U8=parametrage!$K$13,VALO_ST!$Q8=parametrage!$U$4),VALO_ST!$T8,IF(AND(VALO_ST!$U8=parametrage!$K$14,VALO_ST!$Q8=parametrage!$U$4),0,IF(AND(VALO_ST!$U8=parametrage!$K$15,VALO_ST!$Q8=parametrage!$U$4),"Montant à définir",0)))</f>
        <v>0</v>
      </c>
      <c r="Y8" s="77"/>
      <c r="Z8" s="229">
        <f>IF(AND(VALO_ST!$U8=parametrage!$K$13,VALO_ST!$Q8=parametrage!$U$3),VALO_ST!$T8,IF(AND(VALO_ST!$U8=parametrage!$K$14,VALO_ST!$Q8=parametrage!$U$3),0,IF(AND(VALO_ST!$U8=parametrage!$K$15,VALO_ST!$Q8=parametrage!$U$3),"Montant à définir",0)))</f>
        <v>0</v>
      </c>
      <c r="AA8" s="77"/>
      <c r="AB8" s="229">
        <f>IF(AND(VALO_ST!$U8=parametrage!$K$13,VALO_ST!$Q8=parametrage!$U$5),VALO_ST!$T8,IF(AND(VALO_ST!$U8=parametrage!$K$14,VALO_ST!$Q8=parametrage!$U$5),0,IF(AND(VALO_ST!$U8=parametrage!$K$15,VALO_ST!$Q8=parametrage!$U$5),"Montant à définir",0)))</f>
        <v>0</v>
      </c>
      <c r="AD8" s="448" t="str">
        <f t="shared" si="1"/>
        <v/>
      </c>
      <c r="AE8" s="453">
        <f t="shared" si="2"/>
        <v>0</v>
      </c>
    </row>
    <row r="9" spans="2:31" ht="15.75" x14ac:dyDescent="0.3">
      <c r="B9" s="60">
        <f t="shared" si="0"/>
        <v>0</v>
      </c>
      <c r="C9" s="84" t="b">
        <v>0</v>
      </c>
      <c r="D9" s="11"/>
      <c r="E9" s="11"/>
      <c r="F9" s="11"/>
      <c r="G9" s="95"/>
      <c r="H9" s="95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229">
        <f>IF(AND(VALO_ST!$U9=parametrage!$K$13,VALO_ST!$Q9=parametrage!$U$2),VALO_ST!$T9,IF(AND(VALO_ST!$U9=parametrage!$K$14,VALO_ST!$Q9=parametrage!$U$2),0,IF(AND(VALO_ST!$U9=parametrage!$K$15,VALO_ST!$Q9=parametrage!$U$2),"Montant à définir",0)))</f>
        <v>0</v>
      </c>
      <c r="W9" s="77"/>
      <c r="X9" s="229">
        <f>IF(AND(VALO_ST!$U9=parametrage!$K$13,VALO_ST!$Q9=parametrage!$U$4),VALO_ST!$T9,IF(AND(VALO_ST!$U9=parametrage!$K$14,VALO_ST!$Q9=parametrage!$U$4),0,IF(AND(VALO_ST!$U9=parametrage!$K$15,VALO_ST!$Q9=parametrage!$U$4),"Montant à définir",0)))</f>
        <v>0</v>
      </c>
      <c r="Y9" s="77"/>
      <c r="Z9" s="229">
        <f>IF(AND(VALO_ST!$U9=parametrage!$K$13,VALO_ST!$Q9=parametrage!$U$3),VALO_ST!$T9,IF(AND(VALO_ST!$U9=parametrage!$K$14,VALO_ST!$Q9=parametrage!$U$3),0,IF(AND(VALO_ST!$U9=parametrage!$K$15,VALO_ST!$Q9=parametrage!$U$3),"Montant à définir",0)))</f>
        <v>0</v>
      </c>
      <c r="AA9" s="77"/>
      <c r="AB9" s="229">
        <f>IF(AND(VALO_ST!$U9=parametrage!$K$13,VALO_ST!$Q9=parametrage!$U$5),VALO_ST!$T9,IF(AND(VALO_ST!$U9=parametrage!$K$14,VALO_ST!$Q9=parametrage!$U$5),0,IF(AND(VALO_ST!$U9=parametrage!$K$15,VALO_ST!$Q9=parametrage!$U$5),"Montant à définir",0)))</f>
        <v>0</v>
      </c>
      <c r="AD9" s="448" t="str">
        <f t="shared" si="1"/>
        <v/>
      </c>
      <c r="AE9" s="453">
        <f t="shared" si="2"/>
        <v>0</v>
      </c>
    </row>
    <row r="10" spans="2:31" ht="15.75" x14ac:dyDescent="0.3">
      <c r="B10" s="60">
        <f t="shared" si="0"/>
        <v>0</v>
      </c>
      <c r="C10" s="84" t="b">
        <v>0</v>
      </c>
      <c r="D10" s="11"/>
      <c r="E10" s="11"/>
      <c r="F10" s="11"/>
      <c r="G10" s="95"/>
      <c r="H10" s="95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229">
        <f>IF(AND(VALO_ST!$U10=parametrage!$K$13,VALO_ST!$Q10=parametrage!$U$2),VALO_ST!$T10,IF(AND(VALO_ST!$U10=parametrage!$K$14,VALO_ST!$Q10=parametrage!$U$2),0,IF(AND(VALO_ST!$U10=parametrage!$K$15,VALO_ST!$Q10=parametrage!$U$2),"Montant à définir",0)))</f>
        <v>0</v>
      </c>
      <c r="W10" s="77"/>
      <c r="X10" s="229">
        <f>IF(AND(VALO_ST!$U10=parametrage!$K$13,VALO_ST!$Q10=parametrage!$U$4),VALO_ST!$T10,IF(AND(VALO_ST!$U10=parametrage!$K$14,VALO_ST!$Q10=parametrage!$U$4),0,IF(AND(VALO_ST!$U10=parametrage!$K$15,VALO_ST!$Q10=parametrage!$U$4),"Montant à définir",0)))</f>
        <v>0</v>
      </c>
      <c r="Y10" s="77"/>
      <c r="Z10" s="229">
        <f>IF(AND(VALO_ST!$U10=parametrage!$K$13,VALO_ST!$Q10=parametrage!$U$3),VALO_ST!$T10,IF(AND(VALO_ST!$U10=parametrage!$K$14,VALO_ST!$Q10=parametrage!$U$3),0,IF(AND(VALO_ST!$U10=parametrage!$K$15,VALO_ST!$Q10=parametrage!$U$3),"Montant à définir",0)))</f>
        <v>0</v>
      </c>
      <c r="AA10" s="77"/>
      <c r="AB10" s="229">
        <f>IF(AND(VALO_ST!$U10=parametrage!$K$13,VALO_ST!$Q10=parametrage!$U$5),VALO_ST!$T10,IF(AND(VALO_ST!$U10=parametrage!$K$14,VALO_ST!$Q10=parametrage!$U$5),0,IF(AND(VALO_ST!$U10=parametrage!$K$15,VALO_ST!$Q10=parametrage!$U$5),"Montant à définir",0)))</f>
        <v>0</v>
      </c>
      <c r="AD10" s="448" t="str">
        <f t="shared" si="1"/>
        <v/>
      </c>
      <c r="AE10" s="453">
        <f t="shared" si="2"/>
        <v>0</v>
      </c>
    </row>
    <row r="11" spans="2:31" ht="15.75" x14ac:dyDescent="0.3">
      <c r="B11" s="60">
        <f t="shared" si="0"/>
        <v>0</v>
      </c>
      <c r="C11" s="84" t="b">
        <v>0</v>
      </c>
      <c r="D11" s="11"/>
      <c r="E11" s="11"/>
      <c r="F11" s="11"/>
      <c r="G11" s="95"/>
      <c r="H11" s="9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229">
        <f>IF(AND(VALO_ST!$U11=parametrage!$K$13,VALO_ST!$Q11=parametrage!$U$2),VALO_ST!$T11,IF(AND(VALO_ST!$U11=parametrage!$K$14,VALO_ST!$Q11=parametrage!$U$2),0,IF(AND(VALO_ST!$U11=parametrage!$K$15,VALO_ST!$Q11=parametrage!$U$2),"Montant à définir",0)))</f>
        <v>0</v>
      </c>
      <c r="W11" s="77"/>
      <c r="X11" s="229">
        <f>IF(AND(VALO_ST!$U11=parametrage!$K$13,VALO_ST!$Q11=parametrage!$U$4),VALO_ST!$T11,IF(AND(VALO_ST!$U11=parametrage!$K$14,VALO_ST!$Q11=parametrage!$U$4),0,IF(AND(VALO_ST!$U11=parametrage!$K$15,VALO_ST!$Q11=parametrage!$U$4),"Montant à définir",0)))</f>
        <v>0</v>
      </c>
      <c r="Y11" s="77"/>
      <c r="Z11" s="229">
        <f>IF(AND(VALO_ST!$U11=parametrage!$K$13,VALO_ST!$Q11=parametrage!$U$3),VALO_ST!$T11,IF(AND(VALO_ST!$U11=parametrage!$K$14,VALO_ST!$Q11=parametrage!$U$3),0,IF(AND(VALO_ST!$U11=parametrage!$K$15,VALO_ST!$Q11=parametrage!$U$3),"Montant à définir",0)))</f>
        <v>0</v>
      </c>
      <c r="AA11" s="77"/>
      <c r="AB11" s="229">
        <f>IF(AND(VALO_ST!$U11=parametrage!$K$13,VALO_ST!$Q11=parametrage!$U$5),VALO_ST!$T11,IF(AND(VALO_ST!$U11=parametrage!$K$14,VALO_ST!$Q11=parametrage!$U$5),0,IF(AND(VALO_ST!$U11=parametrage!$K$15,VALO_ST!$Q11=parametrage!$U$5),"Montant à définir",0)))</f>
        <v>0</v>
      </c>
      <c r="AD11" s="448" t="str">
        <f t="shared" si="1"/>
        <v/>
      </c>
      <c r="AE11" s="453">
        <f t="shared" si="2"/>
        <v>0</v>
      </c>
    </row>
    <row r="12" spans="2:31" ht="15.75" x14ac:dyDescent="0.3">
      <c r="B12" s="60">
        <f t="shared" si="0"/>
        <v>0</v>
      </c>
      <c r="C12" s="84" t="b">
        <v>0</v>
      </c>
      <c r="D12" s="11"/>
      <c r="E12" s="11"/>
      <c r="F12" s="11"/>
      <c r="G12" s="95"/>
      <c r="H12" s="9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229">
        <f>IF(AND(VALO_ST!$U12=parametrage!$K$13,VALO_ST!$Q12=parametrage!$U$2),VALO_ST!$T12,IF(AND(VALO_ST!$U12=parametrage!$K$14,VALO_ST!$Q12=parametrage!$U$2),0,IF(AND(VALO_ST!$U12=parametrage!$K$15,VALO_ST!$Q12=parametrage!$U$2),"Montant à définir",0)))</f>
        <v>0</v>
      </c>
      <c r="W12" s="77"/>
      <c r="X12" s="229">
        <f>IF(AND(VALO_ST!$U12=parametrage!$K$13,VALO_ST!$Q12=parametrage!$U$4),VALO_ST!$T12,IF(AND(VALO_ST!$U12=parametrage!$K$14,VALO_ST!$Q12=parametrage!$U$4),0,IF(AND(VALO_ST!$U12=parametrage!$K$15,VALO_ST!$Q12=parametrage!$U$4),"Montant à définir",0)))</f>
        <v>0</v>
      </c>
      <c r="Y12" s="77"/>
      <c r="Z12" s="229">
        <f>IF(AND(VALO_ST!$U12=parametrage!$K$13,VALO_ST!$Q12=parametrage!$U$3),VALO_ST!$T12,IF(AND(VALO_ST!$U12=parametrage!$K$14,VALO_ST!$Q12=parametrage!$U$3),0,IF(AND(VALO_ST!$U12=parametrage!$K$15,VALO_ST!$Q12=parametrage!$U$3),"Montant à définir",0)))</f>
        <v>0</v>
      </c>
      <c r="AA12" s="77"/>
      <c r="AB12" s="229">
        <f>IF(AND(VALO_ST!$U12=parametrage!$K$13,VALO_ST!$Q12=parametrage!$U$5),VALO_ST!$T12,IF(AND(VALO_ST!$U12=parametrage!$K$14,VALO_ST!$Q12=parametrage!$U$5),0,IF(AND(VALO_ST!$U12=parametrage!$K$15,VALO_ST!$Q12=parametrage!$U$5),"Montant à définir",0)))</f>
        <v>0</v>
      </c>
      <c r="AD12" s="448" t="str">
        <f t="shared" si="1"/>
        <v/>
      </c>
      <c r="AE12" s="453">
        <f t="shared" si="2"/>
        <v>0</v>
      </c>
    </row>
    <row r="13" spans="2:31" ht="15.75" x14ac:dyDescent="0.3">
      <c r="B13" s="60">
        <f t="shared" si="0"/>
        <v>0</v>
      </c>
      <c r="C13" s="84" t="b">
        <v>0</v>
      </c>
      <c r="D13" s="11"/>
      <c r="E13" s="11"/>
      <c r="F13" s="11"/>
      <c r="G13" s="95"/>
      <c r="H13" s="95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229">
        <f>IF(AND(VALO_ST!$U13=parametrage!$K$13,VALO_ST!$Q13=parametrage!$U$2),VALO_ST!$T13,IF(AND(VALO_ST!$U13=parametrage!$K$14,VALO_ST!$Q13=parametrage!$U$2),0,IF(AND(VALO_ST!$U13=parametrage!$K$15,VALO_ST!$Q13=parametrage!$U$2),"Montant à définir",0)))</f>
        <v>0</v>
      </c>
      <c r="W13" s="77"/>
      <c r="X13" s="229">
        <f>IF(AND(VALO_ST!$U13=parametrage!$K$13,VALO_ST!$Q13=parametrage!$U$4),VALO_ST!$T13,IF(AND(VALO_ST!$U13=parametrage!$K$14,VALO_ST!$Q13=parametrage!$U$4),0,IF(AND(VALO_ST!$U13=parametrage!$K$15,VALO_ST!$Q13=parametrage!$U$4),"Montant à définir",0)))</f>
        <v>0</v>
      </c>
      <c r="Y13" s="77"/>
      <c r="Z13" s="229">
        <f>IF(AND(VALO_ST!$U13=parametrage!$K$13,VALO_ST!$Q13=parametrage!$U$3),VALO_ST!$T13,IF(AND(VALO_ST!$U13=parametrage!$K$14,VALO_ST!$Q13=parametrage!$U$3),0,IF(AND(VALO_ST!$U13=parametrage!$K$15,VALO_ST!$Q13=parametrage!$U$3),"Montant à définir",0)))</f>
        <v>0</v>
      </c>
      <c r="AA13" s="77"/>
      <c r="AB13" s="229">
        <f>IF(AND(VALO_ST!$U13=parametrage!$K$13,VALO_ST!$Q13=parametrage!$U$5),VALO_ST!$T13,IF(AND(VALO_ST!$U13=parametrage!$K$14,VALO_ST!$Q13=parametrage!$U$5),0,IF(AND(VALO_ST!$U13=parametrage!$K$15,VALO_ST!$Q13=parametrage!$U$5),"Montant à définir",0)))</f>
        <v>0</v>
      </c>
      <c r="AD13" s="448" t="str">
        <f t="shared" si="1"/>
        <v/>
      </c>
      <c r="AE13" s="453">
        <f t="shared" si="2"/>
        <v>0</v>
      </c>
    </row>
    <row r="14" spans="2:31" ht="15.75" x14ac:dyDescent="0.3">
      <c r="B14" s="60">
        <f t="shared" si="0"/>
        <v>0</v>
      </c>
      <c r="C14" s="84" t="b">
        <v>0</v>
      </c>
      <c r="D14" s="11"/>
      <c r="E14" s="11"/>
      <c r="F14" s="11"/>
      <c r="G14" s="95"/>
      <c r="H14" s="95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229">
        <f>IF(AND(VALO_ST!$U14=parametrage!$K$13,VALO_ST!$Q14=parametrage!$U$2),VALO_ST!$T14,IF(AND(VALO_ST!$U14=parametrage!$K$14,VALO_ST!$Q14=parametrage!$U$2),0,IF(AND(VALO_ST!$U14=parametrage!$K$15,VALO_ST!$Q14=parametrage!$U$2),"Montant à définir",0)))</f>
        <v>0</v>
      </c>
      <c r="W14" s="77"/>
      <c r="X14" s="229">
        <f>IF(AND(VALO_ST!$U14=parametrage!$K$13,VALO_ST!$Q14=parametrage!$U$4),VALO_ST!$T14,IF(AND(VALO_ST!$U14=parametrage!$K$14,VALO_ST!$Q14=parametrage!$U$4),0,IF(AND(VALO_ST!$U14=parametrage!$K$15,VALO_ST!$Q14=parametrage!$U$4),"Montant à définir",0)))</f>
        <v>0</v>
      </c>
      <c r="Y14" s="77"/>
      <c r="Z14" s="229">
        <f>IF(AND(VALO_ST!$U14=parametrage!$K$13,VALO_ST!$Q14=parametrage!$U$3),VALO_ST!$T14,IF(AND(VALO_ST!$U14=parametrage!$K$14,VALO_ST!$Q14=parametrage!$U$3),0,IF(AND(VALO_ST!$U14=parametrage!$K$15,VALO_ST!$Q14=parametrage!$U$3),"Montant à définir",0)))</f>
        <v>0</v>
      </c>
      <c r="AA14" s="77"/>
      <c r="AB14" s="229">
        <f>IF(AND(VALO_ST!$U14=parametrage!$K$13,VALO_ST!$Q14=parametrage!$U$5),VALO_ST!$T14,IF(AND(VALO_ST!$U14=parametrage!$K$14,VALO_ST!$Q14=parametrage!$U$5),0,IF(AND(VALO_ST!$U14=parametrage!$K$15,VALO_ST!$Q14=parametrage!$U$5),"Montant à définir",0)))</f>
        <v>0</v>
      </c>
      <c r="AD14" s="448" t="str">
        <f t="shared" si="1"/>
        <v/>
      </c>
      <c r="AE14" s="453">
        <f t="shared" si="2"/>
        <v>0</v>
      </c>
    </row>
    <row r="15" spans="2:31" ht="15.75" x14ac:dyDescent="0.3">
      <c r="B15" s="60">
        <f t="shared" si="0"/>
        <v>0</v>
      </c>
      <c r="C15" s="84" t="b">
        <v>0</v>
      </c>
      <c r="D15" s="11"/>
      <c r="E15" s="11"/>
      <c r="F15" s="11"/>
      <c r="G15" s="95"/>
      <c r="H15" s="95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229">
        <f>IF(AND(VALO_ST!$U15=parametrage!$K$13,VALO_ST!$Q15=parametrage!$U$2),VALO_ST!$T15,IF(AND(VALO_ST!$U15=parametrage!$K$14,VALO_ST!$Q15=parametrage!$U$2),0,IF(AND(VALO_ST!$U15=parametrage!$K$15,VALO_ST!$Q15=parametrage!$U$2),"Montant à définir",0)))</f>
        <v>0</v>
      </c>
      <c r="W15" s="77"/>
      <c r="X15" s="229">
        <f>IF(AND(VALO_ST!$U15=parametrage!$K$13,VALO_ST!$Q15=parametrage!$U$4),VALO_ST!$T15,IF(AND(VALO_ST!$U15=parametrage!$K$14,VALO_ST!$Q15=parametrage!$U$4),0,IF(AND(VALO_ST!$U15=parametrage!$K$15,VALO_ST!$Q15=parametrage!$U$4),"Montant à définir",0)))</f>
        <v>0</v>
      </c>
      <c r="Y15" s="77"/>
      <c r="Z15" s="229">
        <f>IF(AND(VALO_ST!$U15=parametrage!$K$13,VALO_ST!$Q15=parametrage!$U$3),VALO_ST!$T15,IF(AND(VALO_ST!$U15=parametrage!$K$14,VALO_ST!$Q15=parametrage!$U$3),0,IF(AND(VALO_ST!$U15=parametrage!$K$15,VALO_ST!$Q15=parametrage!$U$3),"Montant à définir",0)))</f>
        <v>0</v>
      </c>
      <c r="AA15" s="77"/>
      <c r="AB15" s="229">
        <f>IF(AND(VALO_ST!$U15=parametrage!$K$13,VALO_ST!$Q15=parametrage!$U$5),VALO_ST!$T15,IF(AND(VALO_ST!$U15=parametrage!$K$14,VALO_ST!$Q15=parametrage!$U$5),0,IF(AND(VALO_ST!$U15=parametrage!$K$15,VALO_ST!$Q15=parametrage!$U$5),"Montant à définir",0)))</f>
        <v>0</v>
      </c>
      <c r="AD15" s="448" t="str">
        <f t="shared" si="1"/>
        <v/>
      </c>
      <c r="AE15" s="453">
        <f t="shared" si="2"/>
        <v>0</v>
      </c>
    </row>
    <row r="16" spans="2:31" ht="15.75" x14ac:dyDescent="0.3">
      <c r="B16" s="60">
        <f t="shared" si="0"/>
        <v>0</v>
      </c>
      <c r="C16" s="84" t="b">
        <v>0</v>
      </c>
      <c r="D16" s="11"/>
      <c r="E16" s="11"/>
      <c r="F16" s="11"/>
      <c r="G16" s="95"/>
      <c r="H16" s="95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229">
        <f>IF(AND(VALO_ST!$U16=parametrage!$K$13,VALO_ST!$Q16=parametrage!$U$2),VALO_ST!$T16,IF(AND(VALO_ST!$U16=parametrage!$K$14,VALO_ST!$Q16=parametrage!$U$2),0,IF(AND(VALO_ST!$U16=parametrage!$K$15,VALO_ST!$Q16=parametrage!$U$2),"Montant à définir",0)))</f>
        <v>0</v>
      </c>
      <c r="W16" s="77"/>
      <c r="X16" s="229">
        <f>IF(AND(VALO_ST!$U16=parametrage!$K$13,VALO_ST!$Q16=parametrage!$U$4),VALO_ST!$T16,IF(AND(VALO_ST!$U16=parametrage!$K$14,VALO_ST!$Q16=parametrage!$U$4),0,IF(AND(VALO_ST!$U16=parametrage!$K$15,VALO_ST!$Q16=parametrage!$U$4),"Montant à définir",0)))</f>
        <v>0</v>
      </c>
      <c r="Y16" s="77"/>
      <c r="Z16" s="229">
        <f>IF(AND(VALO_ST!$U16=parametrage!$K$13,VALO_ST!$Q16=parametrage!$U$3),VALO_ST!$T16,IF(AND(VALO_ST!$U16=parametrage!$K$14,VALO_ST!$Q16=parametrage!$U$3),0,IF(AND(VALO_ST!$U16=parametrage!$K$15,VALO_ST!$Q16=parametrage!$U$3),"Montant à définir",0)))</f>
        <v>0</v>
      </c>
      <c r="AA16" s="77"/>
      <c r="AB16" s="229">
        <f>IF(AND(VALO_ST!$U16=parametrage!$K$13,VALO_ST!$Q16=parametrage!$U$5),VALO_ST!$T16,IF(AND(VALO_ST!$U16=parametrage!$K$14,VALO_ST!$Q16=parametrage!$U$5),0,IF(AND(VALO_ST!$U16=parametrage!$K$15,VALO_ST!$Q16=parametrage!$U$5),"Montant à définir",0)))</f>
        <v>0</v>
      </c>
      <c r="AD16" s="448" t="str">
        <f t="shared" si="1"/>
        <v/>
      </c>
      <c r="AE16" s="453">
        <f t="shared" si="2"/>
        <v>0</v>
      </c>
    </row>
    <row r="17" spans="1:31" ht="15.75" x14ac:dyDescent="0.3">
      <c r="B17" s="60">
        <f t="shared" si="0"/>
        <v>0</v>
      </c>
      <c r="C17" s="84" t="b">
        <v>0</v>
      </c>
      <c r="D17" s="11"/>
      <c r="E17" s="11"/>
      <c r="F17" s="11"/>
      <c r="G17" s="95"/>
      <c r="H17" s="95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229">
        <f>IF(AND(VALO_ST!$U17=parametrage!$K$13,VALO_ST!$Q17=parametrage!$U$2),VALO_ST!$T17,IF(AND(VALO_ST!$U17=parametrage!$K$14,VALO_ST!$Q17=parametrage!$U$2),0,IF(AND(VALO_ST!$U17=parametrage!$K$15,VALO_ST!$Q17=parametrage!$U$2),"Montant à définir",0)))</f>
        <v>0</v>
      </c>
      <c r="W17" s="77"/>
      <c r="X17" s="229">
        <f>IF(AND(VALO_ST!$U17=parametrage!$K$13,VALO_ST!$Q17=parametrage!$U$4),VALO_ST!$T17,IF(AND(VALO_ST!$U17=parametrage!$K$14,VALO_ST!$Q17=parametrage!$U$4),0,IF(AND(VALO_ST!$U17=parametrage!$K$15,VALO_ST!$Q17=parametrage!$U$4),"Montant à définir",0)))</f>
        <v>0</v>
      </c>
      <c r="Y17" s="77"/>
      <c r="Z17" s="229">
        <f>IF(AND(VALO_ST!$U17=parametrage!$K$13,VALO_ST!$Q17=parametrage!$U$3),VALO_ST!$T17,IF(AND(VALO_ST!$U17=parametrage!$K$14,VALO_ST!$Q17=parametrage!$U$3),0,IF(AND(VALO_ST!$U17=parametrage!$K$15,VALO_ST!$Q17=parametrage!$U$3),"Montant à définir",0)))</f>
        <v>0</v>
      </c>
      <c r="AA17" s="77"/>
      <c r="AB17" s="229">
        <f>IF(AND(VALO_ST!$U17=parametrage!$K$13,VALO_ST!$Q17=parametrage!$U$5),VALO_ST!$T17,IF(AND(VALO_ST!$U17=parametrage!$K$14,VALO_ST!$Q17=parametrage!$U$5),0,IF(AND(VALO_ST!$U17=parametrage!$K$15,VALO_ST!$Q17=parametrage!$U$5),"Montant à définir",0)))</f>
        <v>0</v>
      </c>
      <c r="AD17" s="448" t="str">
        <f t="shared" si="1"/>
        <v/>
      </c>
      <c r="AE17" s="453">
        <f t="shared" si="2"/>
        <v>0</v>
      </c>
    </row>
    <row r="18" spans="1:31" ht="15.75" x14ac:dyDescent="0.3">
      <c r="B18" s="60">
        <f t="shared" si="0"/>
        <v>0</v>
      </c>
      <c r="C18" s="84" t="b">
        <v>0</v>
      </c>
      <c r="D18" s="11"/>
      <c r="E18" s="11"/>
      <c r="F18" s="11"/>
      <c r="G18" s="95"/>
      <c r="H18" s="95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229">
        <f>IF(AND(VALO_ST!$U18=parametrage!$K$13,VALO_ST!$Q18=parametrage!$U$2),VALO_ST!$T18,IF(AND(VALO_ST!$U18=parametrage!$K$14,VALO_ST!$Q18=parametrage!$U$2),0,IF(AND(VALO_ST!$U18=parametrage!$K$15,VALO_ST!$Q18=parametrage!$U$2),"Montant à définir",0)))</f>
        <v>0</v>
      </c>
      <c r="W18" s="77"/>
      <c r="X18" s="229">
        <f>IF(AND(VALO_ST!$U18=parametrage!$K$13,VALO_ST!$Q18=parametrage!$U$4),VALO_ST!$T18,IF(AND(VALO_ST!$U18=parametrage!$K$14,VALO_ST!$Q18=parametrage!$U$4),0,IF(AND(VALO_ST!$U18=parametrage!$K$15,VALO_ST!$Q18=parametrage!$U$4),"Montant à définir",0)))</f>
        <v>0</v>
      </c>
      <c r="Y18" s="77"/>
      <c r="Z18" s="229">
        <f>IF(AND(VALO_ST!$U18=parametrage!$K$13,VALO_ST!$Q18=parametrage!$U$3),VALO_ST!$T18,IF(AND(VALO_ST!$U18=parametrage!$K$14,VALO_ST!$Q18=parametrage!$U$3),0,IF(AND(VALO_ST!$U18=parametrage!$K$15,VALO_ST!$Q18=parametrage!$U$3),"Montant à définir",0)))</f>
        <v>0</v>
      </c>
      <c r="AA18" s="77"/>
      <c r="AB18" s="229">
        <f>IF(AND(VALO_ST!$U18=parametrage!$K$13,VALO_ST!$Q18=parametrage!$U$5),VALO_ST!$T18,IF(AND(VALO_ST!$U18=parametrage!$K$14,VALO_ST!$Q18=parametrage!$U$5),0,IF(AND(VALO_ST!$U18=parametrage!$K$15,VALO_ST!$Q18=parametrage!$U$5),"Montant à définir",0)))</f>
        <v>0</v>
      </c>
      <c r="AD18" s="448" t="str">
        <f t="shared" si="1"/>
        <v/>
      </c>
      <c r="AE18" s="453">
        <f t="shared" si="2"/>
        <v>0</v>
      </c>
    </row>
    <row r="19" spans="1:31" ht="15.75" x14ac:dyDescent="0.3">
      <c r="B19" s="60">
        <f t="shared" si="0"/>
        <v>0</v>
      </c>
      <c r="C19" s="84" t="b">
        <v>0</v>
      </c>
      <c r="D19" s="11"/>
      <c r="E19" s="11"/>
      <c r="F19" s="11"/>
      <c r="G19" s="95"/>
      <c r="H19" s="95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229">
        <f>IF(AND(VALO_ST!$U19=parametrage!$K$13,VALO_ST!$Q19=parametrage!$U$2),VALO_ST!$T19,IF(AND(VALO_ST!$U19=parametrage!$K$14,VALO_ST!$Q19=parametrage!$U$2),0,IF(AND(VALO_ST!$U19=parametrage!$K$15,VALO_ST!$Q19=parametrage!$U$2),"Montant à définir",0)))</f>
        <v>0</v>
      </c>
      <c r="W19" s="77"/>
      <c r="X19" s="229">
        <f>IF(AND(VALO_ST!$U19=parametrage!$K$13,VALO_ST!$Q19=parametrage!$U$4),VALO_ST!$T19,IF(AND(VALO_ST!$U19=parametrage!$K$14,VALO_ST!$Q19=parametrage!$U$4),0,IF(AND(VALO_ST!$U19=parametrage!$K$15,VALO_ST!$Q19=parametrage!$U$4),"Montant à définir",0)))</f>
        <v>0</v>
      </c>
      <c r="Y19" s="77"/>
      <c r="Z19" s="229">
        <f>IF(AND(VALO_ST!$U19=parametrage!$K$13,VALO_ST!$Q19=parametrage!$U$3),VALO_ST!$T19,IF(AND(VALO_ST!$U19=parametrage!$K$14,VALO_ST!$Q19=parametrage!$U$3),0,IF(AND(VALO_ST!$U19=parametrage!$K$15,VALO_ST!$Q19=parametrage!$U$3),"Montant à définir",0)))</f>
        <v>0</v>
      </c>
      <c r="AA19" s="77"/>
      <c r="AB19" s="229">
        <f>IF(AND(VALO_ST!$U19=parametrage!$K$13,VALO_ST!$Q19=parametrage!$U$5),VALO_ST!$T19,IF(AND(VALO_ST!$U19=parametrage!$K$14,VALO_ST!$Q19=parametrage!$U$5),0,IF(AND(VALO_ST!$U19=parametrage!$K$15,VALO_ST!$Q19=parametrage!$U$5),"Montant à définir",0)))</f>
        <v>0</v>
      </c>
      <c r="AD19" s="448" t="str">
        <f t="shared" si="1"/>
        <v/>
      </c>
      <c r="AE19" s="453">
        <f t="shared" si="2"/>
        <v>0</v>
      </c>
    </row>
    <row r="20" spans="1:31" ht="15.75" x14ac:dyDescent="0.3">
      <c r="B20" s="60">
        <f t="shared" si="0"/>
        <v>0</v>
      </c>
      <c r="C20" s="84" t="b">
        <v>0</v>
      </c>
      <c r="D20" s="11"/>
      <c r="E20" s="11"/>
      <c r="F20" s="11"/>
      <c r="G20" s="95"/>
      <c r="H20" s="95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229">
        <f>IF(AND(VALO_ST!$U20=parametrage!$K$13,VALO_ST!$Q20=parametrage!$U$2),VALO_ST!$T20,IF(AND(VALO_ST!$U20=parametrage!$K$14,VALO_ST!$Q20=parametrage!$U$2),0,IF(AND(VALO_ST!$U20=parametrage!$K$15,VALO_ST!$Q20=parametrage!$U$2),"Montant à définir",0)))</f>
        <v>0</v>
      </c>
      <c r="W20" s="77"/>
      <c r="X20" s="229">
        <f>IF(AND(VALO_ST!$U20=parametrage!$K$13,VALO_ST!$Q20=parametrage!$U$4),VALO_ST!$T20,IF(AND(VALO_ST!$U20=parametrage!$K$14,VALO_ST!$Q20=parametrage!$U$4),0,IF(AND(VALO_ST!$U20=parametrage!$K$15,VALO_ST!$Q20=parametrage!$U$4),"Montant à définir",0)))</f>
        <v>0</v>
      </c>
      <c r="Y20" s="77"/>
      <c r="Z20" s="229">
        <f>IF(AND(VALO_ST!$U20=parametrage!$K$13,VALO_ST!$Q20=parametrage!$U$3),VALO_ST!$T20,IF(AND(VALO_ST!$U20=parametrage!$K$14,VALO_ST!$Q20=parametrage!$U$3),0,IF(AND(VALO_ST!$U20=parametrage!$K$15,VALO_ST!$Q20=parametrage!$U$3),"Montant à définir",0)))</f>
        <v>0</v>
      </c>
      <c r="AA20" s="77"/>
      <c r="AB20" s="229">
        <f>IF(AND(VALO_ST!$U20=parametrage!$K$13,VALO_ST!$Q20=parametrage!$U$5),VALO_ST!$T20,IF(AND(VALO_ST!$U20=parametrage!$K$14,VALO_ST!$Q20=parametrage!$U$5),0,IF(AND(VALO_ST!$U20=parametrage!$K$15,VALO_ST!$Q20=parametrage!$U$5),"Montant à définir",0)))</f>
        <v>0</v>
      </c>
      <c r="AD20" s="448" t="str">
        <f t="shared" si="1"/>
        <v/>
      </c>
      <c r="AE20" s="453">
        <f t="shared" si="2"/>
        <v>0</v>
      </c>
    </row>
    <row r="21" spans="1:31" ht="15.75" x14ac:dyDescent="0.3">
      <c r="B21" s="60">
        <f t="shared" si="0"/>
        <v>0</v>
      </c>
      <c r="C21" s="84" t="b">
        <v>0</v>
      </c>
      <c r="D21" s="11"/>
      <c r="E21" s="11"/>
      <c r="F21" s="11"/>
      <c r="G21" s="95"/>
      <c r="H21" s="95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229">
        <f>IF(AND(VALO_ST!$U21=parametrage!$K$13,VALO_ST!$Q21=parametrage!$U$2),VALO_ST!$T21,IF(AND(VALO_ST!$U21=parametrage!$K$14,VALO_ST!$Q21=parametrage!$U$2),0,IF(AND(VALO_ST!$U21=parametrage!$K$15,VALO_ST!$Q21=parametrage!$U$2),"Montant à définir",0)))</f>
        <v>0</v>
      </c>
      <c r="W21" s="77"/>
      <c r="X21" s="229">
        <f>IF(AND(VALO_ST!$U21=parametrage!$K$13,VALO_ST!$Q21=parametrage!$U$4),VALO_ST!$T21,IF(AND(VALO_ST!$U21=parametrage!$K$14,VALO_ST!$Q21=parametrage!$U$4),0,IF(AND(VALO_ST!$U21=parametrage!$K$15,VALO_ST!$Q21=parametrage!$U$4),"Montant à définir",0)))</f>
        <v>0</v>
      </c>
      <c r="Y21" s="77"/>
      <c r="Z21" s="229">
        <f>IF(AND(VALO_ST!$U21=parametrage!$K$13,VALO_ST!$Q21=parametrage!$U$3),VALO_ST!$T21,IF(AND(VALO_ST!$U21=parametrage!$K$14,VALO_ST!$Q21=parametrage!$U$3),0,IF(AND(VALO_ST!$U21=parametrage!$K$15,VALO_ST!$Q21=parametrage!$U$3),"Montant à définir",0)))</f>
        <v>0</v>
      </c>
      <c r="AA21" s="77"/>
      <c r="AB21" s="229">
        <f>IF(AND(VALO_ST!$U21=parametrage!$K$13,VALO_ST!$Q21=parametrage!$U$5),VALO_ST!$T21,IF(AND(VALO_ST!$U21=parametrage!$K$14,VALO_ST!$Q21=parametrage!$U$5),0,IF(AND(VALO_ST!$U21=parametrage!$K$15,VALO_ST!$Q21=parametrage!$U$5),"Montant à définir",0)))</f>
        <v>0</v>
      </c>
      <c r="AD21" s="448" t="str">
        <f t="shared" si="1"/>
        <v/>
      </c>
      <c r="AE21" s="453">
        <f t="shared" si="2"/>
        <v>0</v>
      </c>
    </row>
    <row r="22" spans="1:31" ht="15.75" x14ac:dyDescent="0.3">
      <c r="B22" s="60">
        <f t="shared" si="0"/>
        <v>0</v>
      </c>
      <c r="C22" s="84" t="b">
        <v>0</v>
      </c>
      <c r="D22" s="11"/>
      <c r="E22" s="11"/>
      <c r="F22" s="11"/>
      <c r="G22" s="95"/>
      <c r="H22" s="95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229">
        <f>IF(AND(VALO_ST!$U22=parametrage!$K$13,VALO_ST!$Q22=parametrage!$U$2),VALO_ST!$T22,IF(AND(VALO_ST!$U22=parametrage!$K$14,VALO_ST!$Q22=parametrage!$U$2),0,IF(AND(VALO_ST!$U22=parametrage!$K$15,VALO_ST!$Q22=parametrage!$U$2),"Montant à définir",0)))</f>
        <v>0</v>
      </c>
      <c r="W22" s="77"/>
      <c r="X22" s="229">
        <f>IF(AND(VALO_ST!$U22=parametrage!$K$13,VALO_ST!$Q22=parametrage!$U$4),VALO_ST!$T22,IF(AND(VALO_ST!$U22=parametrage!$K$14,VALO_ST!$Q22=parametrage!$U$4),0,IF(AND(VALO_ST!$U22=parametrage!$K$15,VALO_ST!$Q22=parametrage!$U$4),"Montant à définir",0)))</f>
        <v>0</v>
      </c>
      <c r="Y22" s="77"/>
      <c r="Z22" s="229">
        <f>IF(AND(VALO_ST!$U22=parametrage!$K$13,VALO_ST!$Q22=parametrage!$U$3),VALO_ST!$T22,IF(AND(VALO_ST!$U22=parametrage!$K$14,VALO_ST!$Q22=parametrage!$U$3),0,IF(AND(VALO_ST!$U22=parametrage!$K$15,VALO_ST!$Q22=parametrage!$U$3),"Montant à définir",0)))</f>
        <v>0</v>
      </c>
      <c r="AA22" s="77"/>
      <c r="AB22" s="229">
        <f>IF(AND(VALO_ST!$U22=parametrage!$K$13,VALO_ST!$Q22=parametrage!$U$5),VALO_ST!$T22,IF(AND(VALO_ST!$U22=parametrage!$K$14,VALO_ST!$Q22=parametrage!$U$5),0,IF(AND(VALO_ST!$U22=parametrage!$K$15,VALO_ST!$Q22=parametrage!$U$5),"Montant à définir",0)))</f>
        <v>0</v>
      </c>
      <c r="AD22" s="448" t="str">
        <f t="shared" si="1"/>
        <v/>
      </c>
      <c r="AE22" s="453">
        <f t="shared" si="2"/>
        <v>0</v>
      </c>
    </row>
    <row r="23" spans="1:31" ht="15.75" x14ac:dyDescent="0.3">
      <c r="B23" s="60">
        <f t="shared" si="0"/>
        <v>0</v>
      </c>
      <c r="C23" s="84" t="b">
        <v>0</v>
      </c>
      <c r="D23" s="11"/>
      <c r="E23" s="11"/>
      <c r="F23" s="11"/>
      <c r="G23" s="95"/>
      <c r="H23" s="95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229">
        <f>IF(AND(VALO_ST!$U23=parametrage!$K$13,VALO_ST!$Q23=parametrage!$U$2),VALO_ST!$T23,IF(AND(VALO_ST!$U23=parametrage!$K$14,VALO_ST!$Q23=parametrage!$U$2),0,IF(AND(VALO_ST!$U23=parametrage!$K$15,VALO_ST!$Q23=parametrage!$U$2),"Montant à définir",0)))</f>
        <v>0</v>
      </c>
      <c r="W23" s="77"/>
      <c r="X23" s="229">
        <f>IF(AND(VALO_ST!$U23=parametrage!$K$13,VALO_ST!$Q23=parametrage!$U$4),VALO_ST!$T23,IF(AND(VALO_ST!$U23=parametrage!$K$14,VALO_ST!$Q23=parametrage!$U$4),0,IF(AND(VALO_ST!$U23=parametrage!$K$15,VALO_ST!$Q23=parametrage!$U$4),"Montant à définir",0)))</f>
        <v>0</v>
      </c>
      <c r="Y23" s="77"/>
      <c r="Z23" s="229">
        <f>IF(AND(VALO_ST!$U23=parametrage!$K$13,VALO_ST!$Q23=parametrage!$U$3),VALO_ST!$T23,IF(AND(VALO_ST!$U23=parametrage!$K$14,VALO_ST!$Q23=parametrage!$U$3),0,IF(AND(VALO_ST!$U23=parametrage!$K$15,VALO_ST!$Q23=parametrage!$U$3),"Montant à définir",0)))</f>
        <v>0</v>
      </c>
      <c r="AA23" s="77"/>
      <c r="AB23" s="229">
        <f>IF(AND(VALO_ST!$U23=parametrage!$K$13,VALO_ST!$Q23=parametrage!$U$5),VALO_ST!$T23,IF(AND(VALO_ST!$U23=parametrage!$K$14,VALO_ST!$Q23=parametrage!$U$5),0,IF(AND(VALO_ST!$U23=parametrage!$K$15,VALO_ST!$Q23=parametrage!$U$5),"Montant à définir",0)))</f>
        <v>0</v>
      </c>
      <c r="AD23" s="448" t="str">
        <f t="shared" si="1"/>
        <v/>
      </c>
      <c r="AE23" s="453">
        <f t="shared" si="2"/>
        <v>0</v>
      </c>
    </row>
    <row r="24" spans="1:31" ht="15.75" x14ac:dyDescent="0.3">
      <c r="B24" s="60">
        <f t="shared" si="0"/>
        <v>0</v>
      </c>
      <c r="C24" s="84" t="b">
        <v>0</v>
      </c>
      <c r="D24" s="11"/>
      <c r="E24" s="11"/>
      <c r="F24" s="11"/>
      <c r="G24" s="95"/>
      <c r="H24" s="95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229">
        <f>IF(AND(VALO_ST!$U24=parametrage!$K$13,VALO_ST!$Q24=parametrage!$U$2),VALO_ST!$T24,IF(AND(VALO_ST!$U24=parametrage!$K$14,VALO_ST!$Q24=parametrage!$U$2),0,IF(AND(VALO_ST!$U24=parametrage!$K$15,VALO_ST!$Q24=parametrage!$U$2),"Montant à définir",0)))</f>
        <v>0</v>
      </c>
      <c r="W24" s="77"/>
      <c r="X24" s="229">
        <f>IF(AND(VALO_ST!$U24=parametrage!$K$13,VALO_ST!$Q24=parametrage!$U$4),VALO_ST!$T24,IF(AND(VALO_ST!$U24=parametrage!$K$14,VALO_ST!$Q24=parametrage!$U$4),0,IF(AND(VALO_ST!$U24=parametrage!$K$15,VALO_ST!$Q24=parametrage!$U$4),"Montant à définir",0)))</f>
        <v>0</v>
      </c>
      <c r="Y24" s="77"/>
      <c r="Z24" s="229">
        <f>IF(AND(VALO_ST!$U24=parametrage!$K$13,VALO_ST!$Q24=parametrage!$U$3),VALO_ST!$T24,IF(AND(VALO_ST!$U24=parametrage!$K$14,VALO_ST!$Q24=parametrage!$U$3),0,IF(AND(VALO_ST!$U24=parametrage!$K$15,VALO_ST!$Q24=parametrage!$U$3),"Montant à définir",0)))</f>
        <v>0</v>
      </c>
      <c r="AA24" s="77"/>
      <c r="AB24" s="229">
        <f>IF(AND(VALO_ST!$U24=parametrage!$K$13,VALO_ST!$Q24=parametrage!$U$5),VALO_ST!$T24,IF(AND(VALO_ST!$U24=parametrage!$K$14,VALO_ST!$Q24=parametrage!$U$5),0,IF(AND(VALO_ST!$U24=parametrage!$K$15,VALO_ST!$Q24=parametrage!$U$5),"Montant à définir",0)))</f>
        <v>0</v>
      </c>
      <c r="AD24" s="448" t="str">
        <f t="shared" si="1"/>
        <v/>
      </c>
      <c r="AE24" s="453">
        <f t="shared" si="2"/>
        <v>0</v>
      </c>
    </row>
    <row r="25" spans="1:31" ht="15.75" x14ac:dyDescent="0.3">
      <c r="A25" t="s">
        <v>869</v>
      </c>
      <c r="B25" s="60">
        <f t="shared" si="0"/>
        <v>0</v>
      </c>
      <c r="C25" s="84" t="b">
        <v>0</v>
      </c>
      <c r="D25" s="11"/>
      <c r="E25" s="11"/>
      <c r="F25" s="11"/>
      <c r="G25" s="95"/>
      <c r="H25" s="95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229">
        <f>IF(AND(VALO_ST!$U25=parametrage!$K$13,VALO_ST!$Q25=parametrage!$U$2),VALO_ST!$T25,IF(AND(VALO_ST!$U25=parametrage!$K$14,VALO_ST!$Q25=parametrage!$U$2),0,IF(AND(VALO_ST!$U25=parametrage!$K$15,VALO_ST!$Q25=parametrage!$U$2),"Montant à définir",0)))</f>
        <v>0</v>
      </c>
      <c r="W25" s="77"/>
      <c r="X25" s="229">
        <f>IF(AND(VALO_ST!$U25=parametrage!$K$13,VALO_ST!$Q25=parametrage!$U$4),VALO_ST!$T25,IF(AND(VALO_ST!$U25=parametrage!$K$14,VALO_ST!$Q25=parametrage!$U$4),0,IF(AND(VALO_ST!$U25=parametrage!$K$15,VALO_ST!$Q25=parametrage!$U$4),"Montant à définir",0)))</f>
        <v>0</v>
      </c>
      <c r="Y25" s="77"/>
      <c r="Z25" s="229">
        <f>IF(AND(VALO_ST!$U25=parametrage!$K$13,VALO_ST!$Q25=parametrage!$U$3),VALO_ST!$T25,IF(AND(VALO_ST!$U25=parametrage!$K$14,VALO_ST!$Q25=parametrage!$U$3),0,IF(AND(VALO_ST!$U25=parametrage!$K$15,VALO_ST!$Q25=parametrage!$U$3),"Montant à définir",0)))</f>
        <v>0</v>
      </c>
      <c r="AA25" s="77"/>
      <c r="AB25" s="229">
        <f>IF(AND(VALO_ST!$U25=parametrage!$K$13,VALO_ST!$Q25=parametrage!$U$5),VALO_ST!$T25,IF(AND(VALO_ST!$U25=parametrage!$K$14,VALO_ST!$Q25=parametrage!$U$5),0,IF(AND(VALO_ST!$U25=parametrage!$K$15,VALO_ST!$Q25=parametrage!$U$5),"Montant à définir",0)))</f>
        <v>0</v>
      </c>
      <c r="AD25" s="448" t="str">
        <f t="shared" si="1"/>
        <v/>
      </c>
      <c r="AE25" s="453">
        <f t="shared" si="2"/>
        <v>0</v>
      </c>
    </row>
    <row r="26" spans="1:31" ht="15.75" x14ac:dyDescent="0.3">
      <c r="B26" s="60">
        <f t="shared" si="0"/>
        <v>0</v>
      </c>
      <c r="C26" s="84" t="b">
        <v>0</v>
      </c>
      <c r="D26" s="11"/>
      <c r="E26" s="11"/>
      <c r="F26" s="11"/>
      <c r="G26" s="95"/>
      <c r="H26" s="95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229">
        <f>IF(AND(VALO_ST!$U26=parametrage!$K$13,VALO_ST!$Q26=parametrage!$U$2),VALO_ST!$T26,IF(AND(VALO_ST!$U26=parametrage!$K$14,VALO_ST!$Q26=parametrage!$U$2),0,IF(AND(VALO_ST!$U26=parametrage!$K$15,VALO_ST!$Q26=parametrage!$U$2),"Montant à définir",0)))</f>
        <v>0</v>
      </c>
      <c r="W26" s="77"/>
      <c r="X26" s="229">
        <f>IF(AND(VALO_ST!$U26=parametrage!$K$13,VALO_ST!$Q26=parametrage!$U$4),VALO_ST!$T26,IF(AND(VALO_ST!$U26=parametrage!$K$14,VALO_ST!$Q26=parametrage!$U$4),0,IF(AND(VALO_ST!$U26=parametrage!$K$15,VALO_ST!$Q26=parametrage!$U$4),"Montant à définir",0)))</f>
        <v>0</v>
      </c>
      <c r="Y26" s="77"/>
      <c r="Z26" s="229">
        <f>IF(AND(VALO_ST!$U26=parametrage!$K$13,VALO_ST!$Q26=parametrage!$U$3),VALO_ST!$T26,IF(AND(VALO_ST!$U26=parametrage!$K$14,VALO_ST!$Q26=parametrage!$U$3),0,IF(AND(VALO_ST!$U26=parametrage!$K$15,VALO_ST!$Q26=parametrage!$U$3),"Montant à définir",0)))</f>
        <v>0</v>
      </c>
      <c r="AA26" s="77"/>
      <c r="AB26" s="229">
        <f>IF(AND(VALO_ST!$U26=parametrage!$K$13,VALO_ST!$Q26=parametrage!$U$5),VALO_ST!$T26,IF(AND(VALO_ST!$U26=parametrage!$K$14,VALO_ST!$Q26=parametrage!$U$5),0,IF(AND(VALO_ST!$U26=parametrage!$K$15,VALO_ST!$Q26=parametrage!$U$5),"Montant à définir",0)))</f>
        <v>0</v>
      </c>
      <c r="AD26" s="448" t="str">
        <f t="shared" si="1"/>
        <v/>
      </c>
      <c r="AE26" s="453">
        <f t="shared" si="2"/>
        <v>0</v>
      </c>
    </row>
    <row r="27" spans="1:31" ht="15.75" thickBot="1" x14ac:dyDescent="0.3"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5" t="s">
        <v>558</v>
      </c>
      <c r="T27" s="98">
        <f>SUM(T5:T26)</f>
        <v>0</v>
      </c>
      <c r="U27" s="98"/>
      <c r="V27" s="98">
        <f>SUM(V5:V26)</f>
        <v>0</v>
      </c>
      <c r="X27" s="98">
        <f>SUM(X5:X26)</f>
        <v>0</v>
      </c>
      <c r="Z27" s="98">
        <f>SUM(Z5:Z26)</f>
        <v>0</v>
      </c>
      <c r="AB27" s="98">
        <f>SUM(AB5:AB26)</f>
        <v>0</v>
      </c>
    </row>
    <row r="29" spans="1:31" ht="15.75" thickBot="1" x14ac:dyDescent="0.3">
      <c r="L29" s="62"/>
      <c r="M29" s="216"/>
      <c r="N29" s="216"/>
      <c r="O29" s="216"/>
      <c r="P29" s="216"/>
      <c r="Q29" s="216"/>
      <c r="R29" s="216"/>
      <c r="S29" s="216"/>
      <c r="T29" s="217" t="s">
        <v>575</v>
      </c>
      <c r="U29" s="228"/>
      <c r="V29" s="98">
        <f>SUMIF(AD:AD,"16a",V:V)</f>
        <v>0</v>
      </c>
      <c r="X29" s="155"/>
      <c r="Z29" s="155"/>
      <c r="AB29" s="98">
        <f>SUMIF(AD:AD,"82a",AB:AB)</f>
        <v>0</v>
      </c>
    </row>
    <row r="30" spans="1:31" ht="15.75" thickBot="1" x14ac:dyDescent="0.3">
      <c r="L30" s="62"/>
      <c r="M30" s="216"/>
      <c r="N30" s="216"/>
      <c r="O30" s="216"/>
      <c r="P30" s="216"/>
      <c r="Q30" s="216"/>
      <c r="R30" s="216"/>
      <c r="S30" s="216"/>
      <c r="T30" s="217" t="s">
        <v>576</v>
      </c>
      <c r="U30" s="228"/>
      <c r="V30" s="98">
        <f>SUMIF(AD:AD,"15a",V:V)</f>
        <v>0</v>
      </c>
      <c r="X30" s="155"/>
      <c r="Z30" s="155"/>
      <c r="AB30" s="155"/>
    </row>
    <row r="31" spans="1:31" ht="15.75" thickBot="1" x14ac:dyDescent="0.3">
      <c r="L31" s="62"/>
      <c r="M31" s="216"/>
      <c r="N31" s="216"/>
      <c r="O31" s="216"/>
      <c r="P31" s="216"/>
      <c r="Q31" s="216"/>
      <c r="R31" s="216"/>
      <c r="S31" s="216"/>
      <c r="T31" s="217" t="s">
        <v>577</v>
      </c>
      <c r="U31" s="228"/>
      <c r="V31" s="98">
        <f>SUMIF(AD:AD,"16b",V:V)</f>
        <v>0</v>
      </c>
      <c r="X31" s="155"/>
      <c r="Z31" s="155"/>
      <c r="AB31" s="98">
        <f>SUMIF(AD:AD,"82b",AB:AB)</f>
        <v>0</v>
      </c>
    </row>
    <row r="32" spans="1:31" ht="15.75" thickBot="1" x14ac:dyDescent="0.3">
      <c r="L32" s="62"/>
      <c r="M32" s="216"/>
      <c r="N32" s="216"/>
      <c r="O32" s="216"/>
      <c r="P32" s="216"/>
      <c r="Q32" s="216"/>
      <c r="R32" s="216"/>
      <c r="S32" s="216"/>
      <c r="T32" s="217" t="s">
        <v>578</v>
      </c>
      <c r="U32" s="228"/>
      <c r="V32" s="98">
        <f>SUMIF(AD:AD,"15b",V:V)</f>
        <v>0</v>
      </c>
      <c r="X32" s="155"/>
      <c r="Z32" s="155"/>
      <c r="AB32" s="155"/>
    </row>
    <row r="34" spans="22:28" x14ac:dyDescent="0.25">
      <c r="V34" t="b">
        <f>V27=SUM(V29:V32)</f>
        <v>1</v>
      </c>
      <c r="AB34" t="b">
        <f>AB27=SUM(AB29:AB32)</f>
        <v>1</v>
      </c>
    </row>
  </sheetData>
  <conditionalFormatting sqref="V34">
    <cfRule type="containsText" dxfId="40" priority="23" operator="containsText" text="FAUX">
      <formula>NOT(ISERROR(SEARCH("FAUX",V34)))</formula>
    </cfRule>
    <cfRule type="containsText" dxfId="39" priority="24" operator="containsText" text="VRAI">
      <formula>NOT(ISERROR(SEARCH("VRAI",V34)))</formula>
    </cfRule>
  </conditionalFormatting>
  <conditionalFormatting sqref="AB34">
    <cfRule type="containsText" dxfId="38" priority="21" operator="containsText" text="FAUX">
      <formula>NOT(ISERROR(SEARCH("FAUX",AB34)))</formula>
    </cfRule>
    <cfRule type="containsText" dxfId="37" priority="22" operator="containsText" text="VRAI">
      <formula>NOT(ISERROR(SEARCH("VRAI",AB34)))</formula>
    </cfRule>
  </conditionalFormatting>
  <conditionalFormatting sqref="D5:K26">
    <cfRule type="expression" dxfId="36" priority="20">
      <formula>$B5&gt;0</formula>
    </cfRule>
  </conditionalFormatting>
  <conditionalFormatting sqref="E1:E2 E4:E1048576">
    <cfRule type="duplicateValues" dxfId="35" priority="7"/>
  </conditionalFormatting>
  <conditionalFormatting sqref="E3">
    <cfRule type="duplicateValues" dxfId="34" priority="6"/>
  </conditionalFormatting>
  <conditionalFormatting sqref="V5:V26 X5:X26 Z5:Z26">
    <cfRule type="containsText" dxfId="33" priority="5" operator="containsText" text="Montant à définir">
      <formula>NOT(ISERROR(SEARCH("Montant à définir",V5)))</formula>
    </cfRule>
  </conditionalFormatting>
  <conditionalFormatting sqref="AB5:AB26">
    <cfRule type="containsText" dxfId="32" priority="1" operator="containsText" text="Montant à définir">
      <formula>NOT(ISERROR(SEARCH("Montant à définir",AB5)))</formula>
    </cfRule>
    <cfRule type="containsText" priority="2" operator="containsText" text="Montant à définir">
      <formula>NOT(ISERROR(SEARCH("Montant à définir",AB5)))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Module16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4" name="Button 10">
              <controlPr defaultSize="0" print="0" autoFill="0" autoPict="0" macro="[0]!Extraire_SousTraitance_Tableau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7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8914B3F8-4BA2-4118-9844-9C938D14A5D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8" id="{EAF99A8A-0E71-4563-B6F4-BB62A52760D9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9" id="{4BEF51C6-599A-44F5-B899-DB5E3B826CD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V5:V26</xm:sqref>
        </x14:conditionalFormatting>
        <x14:conditionalFormatting xmlns:xm="http://schemas.microsoft.com/office/excel/2006/main">
          <x14:cfRule type="expression" priority="14" id="{FCFBEB0C-828E-49BE-9B86-EAB3D1B4BCCE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5" id="{E4795D0F-52EE-4FF6-B726-43857439F798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6" id="{474B007E-9C30-47F5-97D4-B068744B5ABB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X5:X26</xm:sqref>
        </x14:conditionalFormatting>
        <x14:conditionalFormatting xmlns:xm="http://schemas.microsoft.com/office/excel/2006/main">
          <x14:cfRule type="expression" priority="11" id="{94AD9029-5FA0-45AE-AC31-F54E1A0E3E4B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5B4B56C0-D6C6-439F-B200-821624A50081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3" id="{6D38B33C-B845-4274-8F90-AA8FE0921DF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Z5:Z26</xm:sqref>
        </x14:conditionalFormatting>
        <x14:conditionalFormatting xmlns:xm="http://schemas.microsoft.com/office/excel/2006/main">
          <x14:cfRule type="expression" priority="8" id="{5082C8B9-A411-4721-84EB-B724985D1380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94FB7D4D-34DB-4FF6-B21D-3D96FA32F4E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9FB8ED4B-5019-4DA1-B476-371F7EC5CB44}">
            <xm:f>Q5=parametrage!$U$4</xm:f>
            <x14:dxf>
              <fill>
                <patternFill>
                  <bgColor rgb="FFFF0000"/>
                </patternFill>
              </fill>
            </x14:dxf>
          </x14:cfRule>
          <xm:sqref>AB5:AB26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0CAE063-321F-41CE-A182-50CEEC03502C}">
          <x14:formula1>
            <xm:f>parametrage!$F$2:$F$3</xm:f>
          </x14:formula1>
          <xm:sqref>M5:M26</xm:sqref>
        </x14:dataValidation>
        <x14:dataValidation type="list" allowBlank="1" showInputMessage="1" showErrorMessage="1" xr:uid="{577E7013-006F-4067-8EDB-C7B71D0C2387}">
          <x14:formula1>
            <xm:f>parametrage!$U$2:$U$5</xm:f>
          </x14:formula1>
          <xm:sqref>Q5:Q26</xm:sqref>
        </x14:dataValidation>
        <x14:dataValidation type="list" allowBlank="1" showInputMessage="1" showErrorMessage="1" xr:uid="{3A5CC608-1841-4A52-9434-56F1BDAE6CF7}">
          <x14:formula1>
            <xm:f>parametrage!$V$2:$V$3</xm:f>
          </x14:formula1>
          <xm:sqref>O5:O26</xm:sqref>
        </x14:dataValidation>
        <x14:dataValidation type="list" allowBlank="1" showInputMessage="1" showErrorMessage="1" xr:uid="{E81FE6AE-D429-43D0-9C77-AFB06A6883FE}">
          <x14:formula1>
            <xm:f>parametrage!$K$2:$K$3</xm:f>
          </x14:formula1>
          <xm:sqref>P5:P26</xm:sqref>
        </x14:dataValidation>
        <x14:dataValidation type="list" allowBlank="1" showInputMessage="1" showErrorMessage="1" xr:uid="{A4F1140F-EC6E-41B3-947E-D8E5EE317F75}">
          <x14:formula1>
            <xm:f>parametrage!$K$13:$K$15</xm:f>
          </x14:formula1>
          <xm:sqref>U5:U26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DC5A4-A650-47A8-B38E-34B924469DAF}">
  <sheetPr codeName="Feuil25">
    <tabColor rgb="FF2D44EA"/>
  </sheetPr>
  <dimension ref="A3:P34"/>
  <sheetViews>
    <sheetView showGridLines="0" workbookViewId="0">
      <selection activeCell="A26" sqref="A26:XFD26"/>
    </sheetView>
  </sheetViews>
  <sheetFormatPr baseColWidth="10" defaultColWidth="11.42578125" defaultRowHeight="15" outlineLevelCol="1" x14ac:dyDescent="0.25"/>
  <cols>
    <col min="3" max="3" width="16.7109375" customWidth="1"/>
    <col min="6" max="6" width="15.28515625" customWidth="1"/>
    <col min="7" max="7" width="13.7109375" customWidth="1"/>
    <col min="8" max="9" width="12.85546875" customWidth="1"/>
    <col min="10" max="10" width="12.85546875" customWidth="1" outlineLevel="1"/>
    <col min="11" max="11" width="1.7109375" customWidth="1"/>
    <col min="12" max="12" width="11.7109375" customWidth="1" outlineLevel="1"/>
    <col min="13" max="13" width="1.5703125" customWidth="1"/>
    <col min="14" max="14" width="11.7109375" customWidth="1" outlineLevel="1"/>
    <col min="15" max="15" width="1.7109375" customWidth="1"/>
    <col min="16" max="16" width="11.7109375" customWidth="1" outlineLevel="1"/>
  </cols>
  <sheetData>
    <row r="3" spans="2:16" ht="15.75" thickBot="1" x14ac:dyDescent="0.3">
      <c r="B3" s="100"/>
      <c r="C3" s="99"/>
      <c r="D3" s="99"/>
      <c r="E3" s="99"/>
      <c r="F3" s="99"/>
      <c r="G3" s="99"/>
      <c r="H3" s="100"/>
      <c r="I3" s="100"/>
      <c r="J3" s="99"/>
      <c r="L3" s="99"/>
      <c r="N3" s="99"/>
      <c r="P3" s="99"/>
    </row>
    <row r="4" spans="2:16" ht="30.75" thickBot="1" x14ac:dyDescent="0.3">
      <c r="B4" s="64" t="s">
        <v>545</v>
      </c>
      <c r="C4" s="64" t="s">
        <v>548</v>
      </c>
      <c r="D4" s="64" t="s">
        <v>328</v>
      </c>
      <c r="E4" s="64" t="s">
        <v>329</v>
      </c>
      <c r="F4" s="47" t="s">
        <v>562</v>
      </c>
      <c r="G4" s="47" t="s">
        <v>563</v>
      </c>
      <c r="H4" s="47" t="s">
        <v>554</v>
      </c>
      <c r="I4" s="47" t="s">
        <v>569</v>
      </c>
      <c r="J4" s="47" t="s">
        <v>555</v>
      </c>
      <c r="K4" s="182" t="s">
        <v>571</v>
      </c>
      <c r="L4" s="47" t="s">
        <v>556</v>
      </c>
      <c r="M4" s="182" t="s">
        <v>571</v>
      </c>
      <c r="N4" s="47" t="s">
        <v>557</v>
      </c>
      <c r="O4" s="182" t="s">
        <v>571</v>
      </c>
      <c r="P4" s="47" t="s">
        <v>573</v>
      </c>
    </row>
    <row r="5" spans="2:16" ht="15.75" x14ac:dyDescent="0.3">
      <c r="B5" s="11">
        <f>VALO_ST!E5</f>
        <v>0</v>
      </c>
      <c r="C5" s="95">
        <f>VALO_ST!H5</f>
        <v>0</v>
      </c>
      <c r="D5" s="11">
        <f>VALO_ST!I5</f>
        <v>0</v>
      </c>
      <c r="E5" s="11">
        <f>VALO_ST!J5</f>
        <v>0</v>
      </c>
      <c r="F5" s="11">
        <f>VALO_ST!K5</f>
        <v>0</v>
      </c>
      <c r="G5" s="11">
        <f>VALO_ST!L5</f>
        <v>0</v>
      </c>
      <c r="H5" s="11">
        <f>VALO_ST!T5</f>
        <v>0</v>
      </c>
      <c r="I5" s="11">
        <f>VALO_ST!U5</f>
        <v>0</v>
      </c>
      <c r="J5" s="229">
        <f>VALO_ST!V5</f>
        <v>0</v>
      </c>
      <c r="K5" s="77"/>
      <c r="L5" s="229">
        <f>VALO_ST!X5</f>
        <v>0</v>
      </c>
      <c r="M5" s="77"/>
      <c r="N5" s="229">
        <f>VALO_ST!Z5</f>
        <v>0</v>
      </c>
      <c r="O5" s="77"/>
      <c r="P5" s="229">
        <f>VALO_ST!AB5</f>
        <v>0</v>
      </c>
    </row>
    <row r="6" spans="2:16" ht="15.75" x14ac:dyDescent="0.3">
      <c r="B6" s="11">
        <f>VALO_ST!E6</f>
        <v>0</v>
      </c>
      <c r="C6" s="95">
        <f>VALO_ST!H6</f>
        <v>0</v>
      </c>
      <c r="D6" s="11">
        <f>VALO_ST!I6</f>
        <v>0</v>
      </c>
      <c r="E6" s="11">
        <f>VALO_ST!J6</f>
        <v>0</v>
      </c>
      <c r="F6" s="11">
        <f>VALO_ST!K6</f>
        <v>0</v>
      </c>
      <c r="G6" s="11">
        <f>VALO_ST!L6</f>
        <v>0</v>
      </c>
      <c r="H6" s="11">
        <f>VALO_ST!T6</f>
        <v>0</v>
      </c>
      <c r="I6" s="11">
        <f>VALO_ST!U6</f>
        <v>0</v>
      </c>
      <c r="J6" s="229">
        <f>VALO_ST!V6</f>
        <v>0</v>
      </c>
      <c r="K6" s="77"/>
      <c r="L6" s="229">
        <f>VALO_ST!X6</f>
        <v>0</v>
      </c>
      <c r="M6" s="77"/>
      <c r="N6" s="229">
        <f>VALO_ST!Z6</f>
        <v>0</v>
      </c>
      <c r="O6" s="77"/>
      <c r="P6" s="229">
        <f>VALO_ST!AB6</f>
        <v>0</v>
      </c>
    </row>
    <row r="7" spans="2:16" ht="15.75" x14ac:dyDescent="0.3">
      <c r="B7" s="11">
        <f>VALO_ST!E7</f>
        <v>0</v>
      </c>
      <c r="C7" s="95">
        <f>VALO_ST!H7</f>
        <v>0</v>
      </c>
      <c r="D7" s="11">
        <f>VALO_ST!I7</f>
        <v>0</v>
      </c>
      <c r="E7" s="11">
        <f>VALO_ST!J7</f>
        <v>0</v>
      </c>
      <c r="F7" s="11">
        <f>VALO_ST!K7</f>
        <v>0</v>
      </c>
      <c r="G7" s="11">
        <f>VALO_ST!L7</f>
        <v>0</v>
      </c>
      <c r="H7" s="11">
        <f>VALO_ST!T7</f>
        <v>0</v>
      </c>
      <c r="I7" s="11">
        <f>VALO_ST!U7</f>
        <v>0</v>
      </c>
      <c r="J7" s="229">
        <f>VALO_ST!V7</f>
        <v>0</v>
      </c>
      <c r="K7" s="77"/>
      <c r="L7" s="229">
        <f>VALO_ST!X7</f>
        <v>0</v>
      </c>
      <c r="M7" s="77"/>
      <c r="N7" s="229">
        <f>VALO_ST!Z7</f>
        <v>0</v>
      </c>
      <c r="O7" s="77"/>
      <c r="P7" s="229">
        <f>VALO_ST!AB7</f>
        <v>0</v>
      </c>
    </row>
    <row r="8" spans="2:16" ht="15.75" x14ac:dyDescent="0.3">
      <c r="B8" s="11">
        <f>VALO_ST!E8</f>
        <v>0</v>
      </c>
      <c r="C8" s="95">
        <f>VALO_ST!H8</f>
        <v>0</v>
      </c>
      <c r="D8" s="11">
        <f>VALO_ST!I8</f>
        <v>0</v>
      </c>
      <c r="E8" s="11">
        <f>VALO_ST!J8</f>
        <v>0</v>
      </c>
      <c r="F8" s="11">
        <f>VALO_ST!K8</f>
        <v>0</v>
      </c>
      <c r="G8" s="11">
        <f>VALO_ST!L8</f>
        <v>0</v>
      </c>
      <c r="H8" s="11">
        <f>VALO_ST!T8</f>
        <v>0</v>
      </c>
      <c r="I8" s="11">
        <f>VALO_ST!U8</f>
        <v>0</v>
      </c>
      <c r="J8" s="229">
        <f>VALO_ST!V8</f>
        <v>0</v>
      </c>
      <c r="K8" s="77"/>
      <c r="L8" s="229">
        <f>VALO_ST!X8</f>
        <v>0</v>
      </c>
      <c r="M8" s="77"/>
      <c r="N8" s="229">
        <f>VALO_ST!Z8</f>
        <v>0</v>
      </c>
      <c r="O8" s="77"/>
      <c r="P8" s="229">
        <f>VALO_ST!AB8</f>
        <v>0</v>
      </c>
    </row>
    <row r="9" spans="2:16" ht="15.75" x14ac:dyDescent="0.3">
      <c r="B9" s="11">
        <f>VALO_ST!E9</f>
        <v>0</v>
      </c>
      <c r="C9" s="95">
        <f>VALO_ST!H9</f>
        <v>0</v>
      </c>
      <c r="D9" s="11">
        <f>VALO_ST!I9</f>
        <v>0</v>
      </c>
      <c r="E9" s="11">
        <f>VALO_ST!J9</f>
        <v>0</v>
      </c>
      <c r="F9" s="11">
        <f>VALO_ST!K9</f>
        <v>0</v>
      </c>
      <c r="G9" s="11">
        <f>VALO_ST!L9</f>
        <v>0</v>
      </c>
      <c r="H9" s="11">
        <f>VALO_ST!T9</f>
        <v>0</v>
      </c>
      <c r="I9" s="11">
        <f>VALO_ST!U9</f>
        <v>0</v>
      </c>
      <c r="J9" s="229">
        <f>VALO_ST!V9</f>
        <v>0</v>
      </c>
      <c r="K9" s="77"/>
      <c r="L9" s="229">
        <f>VALO_ST!X9</f>
        <v>0</v>
      </c>
      <c r="M9" s="77"/>
      <c r="N9" s="229">
        <f>VALO_ST!Z9</f>
        <v>0</v>
      </c>
      <c r="O9" s="77"/>
      <c r="P9" s="229">
        <f>VALO_ST!AB9</f>
        <v>0</v>
      </c>
    </row>
    <row r="10" spans="2:16" ht="15.75" x14ac:dyDescent="0.3">
      <c r="B10" s="11">
        <f>VALO_ST!E10</f>
        <v>0</v>
      </c>
      <c r="C10" s="95">
        <f>VALO_ST!H10</f>
        <v>0</v>
      </c>
      <c r="D10" s="11">
        <f>VALO_ST!I10</f>
        <v>0</v>
      </c>
      <c r="E10" s="11">
        <f>VALO_ST!J10</f>
        <v>0</v>
      </c>
      <c r="F10" s="11">
        <f>VALO_ST!K10</f>
        <v>0</v>
      </c>
      <c r="G10" s="11">
        <f>VALO_ST!L10</f>
        <v>0</v>
      </c>
      <c r="H10" s="11">
        <f>VALO_ST!T10</f>
        <v>0</v>
      </c>
      <c r="I10" s="11">
        <f>VALO_ST!U10</f>
        <v>0</v>
      </c>
      <c r="J10" s="229">
        <f>VALO_ST!V10</f>
        <v>0</v>
      </c>
      <c r="K10" s="77"/>
      <c r="L10" s="229">
        <f>VALO_ST!X10</f>
        <v>0</v>
      </c>
      <c r="M10" s="77"/>
      <c r="N10" s="229">
        <f>VALO_ST!Z10</f>
        <v>0</v>
      </c>
      <c r="O10" s="77"/>
      <c r="P10" s="229">
        <f>VALO_ST!AB10</f>
        <v>0</v>
      </c>
    </row>
    <row r="11" spans="2:16" ht="15.75" x14ac:dyDescent="0.3">
      <c r="B11" s="11">
        <f>VALO_ST!E11</f>
        <v>0</v>
      </c>
      <c r="C11" s="95">
        <f>VALO_ST!H11</f>
        <v>0</v>
      </c>
      <c r="D11" s="11">
        <f>VALO_ST!I11</f>
        <v>0</v>
      </c>
      <c r="E11" s="11">
        <f>VALO_ST!J11</f>
        <v>0</v>
      </c>
      <c r="F11" s="11">
        <f>VALO_ST!K11</f>
        <v>0</v>
      </c>
      <c r="G11" s="11">
        <f>VALO_ST!L11</f>
        <v>0</v>
      </c>
      <c r="H11" s="11">
        <f>VALO_ST!T11</f>
        <v>0</v>
      </c>
      <c r="I11" s="11">
        <f>VALO_ST!U11</f>
        <v>0</v>
      </c>
      <c r="J11" s="229">
        <f>VALO_ST!V11</f>
        <v>0</v>
      </c>
      <c r="K11" s="77"/>
      <c r="L11" s="229">
        <f>VALO_ST!X11</f>
        <v>0</v>
      </c>
      <c r="M11" s="77"/>
      <c r="N11" s="229">
        <f>VALO_ST!Z11</f>
        <v>0</v>
      </c>
      <c r="O11" s="77"/>
      <c r="P11" s="229">
        <f>VALO_ST!AB11</f>
        <v>0</v>
      </c>
    </row>
    <row r="12" spans="2:16" ht="15.75" x14ac:dyDescent="0.3">
      <c r="B12" s="11">
        <f>VALO_ST!E12</f>
        <v>0</v>
      </c>
      <c r="C12" s="95">
        <f>VALO_ST!H12</f>
        <v>0</v>
      </c>
      <c r="D12" s="11">
        <f>VALO_ST!I12</f>
        <v>0</v>
      </c>
      <c r="E12" s="11">
        <f>VALO_ST!J12</f>
        <v>0</v>
      </c>
      <c r="F12" s="11">
        <f>VALO_ST!K12</f>
        <v>0</v>
      </c>
      <c r="G12" s="11">
        <f>VALO_ST!L12</f>
        <v>0</v>
      </c>
      <c r="H12" s="11">
        <f>VALO_ST!T12</f>
        <v>0</v>
      </c>
      <c r="I12" s="11">
        <f>VALO_ST!U12</f>
        <v>0</v>
      </c>
      <c r="J12" s="229">
        <f>VALO_ST!V12</f>
        <v>0</v>
      </c>
      <c r="K12" s="77"/>
      <c r="L12" s="229">
        <f>VALO_ST!X12</f>
        <v>0</v>
      </c>
      <c r="M12" s="77"/>
      <c r="N12" s="229">
        <f>VALO_ST!Z12</f>
        <v>0</v>
      </c>
      <c r="O12" s="77"/>
      <c r="P12" s="229">
        <f>VALO_ST!AB12</f>
        <v>0</v>
      </c>
    </row>
    <row r="13" spans="2:16" ht="15.75" x14ac:dyDescent="0.3">
      <c r="B13" s="11">
        <f>VALO_ST!E13</f>
        <v>0</v>
      </c>
      <c r="C13" s="95">
        <f>VALO_ST!H13</f>
        <v>0</v>
      </c>
      <c r="D13" s="11">
        <f>VALO_ST!I13</f>
        <v>0</v>
      </c>
      <c r="E13" s="11">
        <f>VALO_ST!J13</f>
        <v>0</v>
      </c>
      <c r="F13" s="11">
        <f>VALO_ST!K13</f>
        <v>0</v>
      </c>
      <c r="G13" s="11">
        <f>VALO_ST!L13</f>
        <v>0</v>
      </c>
      <c r="H13" s="11">
        <f>VALO_ST!T13</f>
        <v>0</v>
      </c>
      <c r="I13" s="11">
        <f>VALO_ST!U13</f>
        <v>0</v>
      </c>
      <c r="J13" s="229">
        <f>VALO_ST!V13</f>
        <v>0</v>
      </c>
      <c r="K13" s="77"/>
      <c r="L13" s="229">
        <f>VALO_ST!X13</f>
        <v>0</v>
      </c>
      <c r="M13" s="77"/>
      <c r="N13" s="229">
        <f>VALO_ST!Z13</f>
        <v>0</v>
      </c>
      <c r="O13" s="77"/>
      <c r="P13" s="229">
        <f>VALO_ST!AB13</f>
        <v>0</v>
      </c>
    </row>
    <row r="14" spans="2:16" ht="15.75" x14ac:dyDescent="0.3">
      <c r="B14" s="11">
        <f>VALO_ST!E14</f>
        <v>0</v>
      </c>
      <c r="C14" s="95">
        <f>VALO_ST!H14</f>
        <v>0</v>
      </c>
      <c r="D14" s="11">
        <f>VALO_ST!I14</f>
        <v>0</v>
      </c>
      <c r="E14" s="11">
        <f>VALO_ST!J14</f>
        <v>0</v>
      </c>
      <c r="F14" s="11">
        <f>VALO_ST!K14</f>
        <v>0</v>
      </c>
      <c r="G14" s="11">
        <f>VALO_ST!L14</f>
        <v>0</v>
      </c>
      <c r="H14" s="11">
        <f>VALO_ST!T14</f>
        <v>0</v>
      </c>
      <c r="I14" s="11">
        <f>VALO_ST!U14</f>
        <v>0</v>
      </c>
      <c r="J14" s="229">
        <f>VALO_ST!V14</f>
        <v>0</v>
      </c>
      <c r="K14" s="77"/>
      <c r="L14" s="229">
        <f>VALO_ST!X14</f>
        <v>0</v>
      </c>
      <c r="M14" s="77"/>
      <c r="N14" s="229">
        <f>VALO_ST!Z14</f>
        <v>0</v>
      </c>
      <c r="O14" s="77"/>
      <c r="P14" s="229">
        <f>VALO_ST!AB14</f>
        <v>0</v>
      </c>
    </row>
    <row r="15" spans="2:16" ht="15.75" x14ac:dyDescent="0.3">
      <c r="B15" s="11">
        <f>VALO_ST!E15</f>
        <v>0</v>
      </c>
      <c r="C15" s="95">
        <f>VALO_ST!H15</f>
        <v>0</v>
      </c>
      <c r="D15" s="11">
        <f>VALO_ST!I15</f>
        <v>0</v>
      </c>
      <c r="E15" s="11">
        <f>VALO_ST!J15</f>
        <v>0</v>
      </c>
      <c r="F15" s="11">
        <f>VALO_ST!K15</f>
        <v>0</v>
      </c>
      <c r="G15" s="11">
        <f>VALO_ST!L15</f>
        <v>0</v>
      </c>
      <c r="H15" s="11">
        <f>VALO_ST!T15</f>
        <v>0</v>
      </c>
      <c r="I15" s="11">
        <f>VALO_ST!U15</f>
        <v>0</v>
      </c>
      <c r="J15" s="229">
        <f>VALO_ST!V15</f>
        <v>0</v>
      </c>
      <c r="K15" s="77"/>
      <c r="L15" s="229">
        <f>VALO_ST!X15</f>
        <v>0</v>
      </c>
      <c r="M15" s="77"/>
      <c r="N15" s="229">
        <f>VALO_ST!Z15</f>
        <v>0</v>
      </c>
      <c r="O15" s="77"/>
      <c r="P15" s="229">
        <f>VALO_ST!AB15</f>
        <v>0</v>
      </c>
    </row>
    <row r="16" spans="2:16" ht="15.75" x14ac:dyDescent="0.3">
      <c r="B16" s="11">
        <f>VALO_ST!E16</f>
        <v>0</v>
      </c>
      <c r="C16" s="95">
        <f>VALO_ST!H16</f>
        <v>0</v>
      </c>
      <c r="D16" s="11">
        <f>VALO_ST!I16</f>
        <v>0</v>
      </c>
      <c r="E16" s="11">
        <f>VALO_ST!J16</f>
        <v>0</v>
      </c>
      <c r="F16" s="11">
        <f>VALO_ST!K16</f>
        <v>0</v>
      </c>
      <c r="G16" s="11">
        <f>VALO_ST!L16</f>
        <v>0</v>
      </c>
      <c r="H16" s="11">
        <f>VALO_ST!T16</f>
        <v>0</v>
      </c>
      <c r="I16" s="11">
        <f>VALO_ST!U16</f>
        <v>0</v>
      </c>
      <c r="J16" s="229">
        <f>VALO_ST!V16</f>
        <v>0</v>
      </c>
      <c r="K16" s="77"/>
      <c r="L16" s="229">
        <f>VALO_ST!X16</f>
        <v>0</v>
      </c>
      <c r="M16" s="77"/>
      <c r="N16" s="229">
        <f>VALO_ST!Z16</f>
        <v>0</v>
      </c>
      <c r="O16" s="77"/>
      <c r="P16" s="229">
        <f>VALO_ST!AB16</f>
        <v>0</v>
      </c>
    </row>
    <row r="17" spans="1:16" ht="15.75" x14ac:dyDescent="0.3">
      <c r="B17" s="11">
        <f>VALO_ST!E17</f>
        <v>0</v>
      </c>
      <c r="C17" s="95">
        <f>VALO_ST!H17</f>
        <v>0</v>
      </c>
      <c r="D17" s="11">
        <f>VALO_ST!I17</f>
        <v>0</v>
      </c>
      <c r="E17" s="11">
        <f>VALO_ST!J17</f>
        <v>0</v>
      </c>
      <c r="F17" s="11">
        <f>VALO_ST!K17</f>
        <v>0</v>
      </c>
      <c r="G17" s="11">
        <f>VALO_ST!L17</f>
        <v>0</v>
      </c>
      <c r="H17" s="11">
        <f>VALO_ST!T17</f>
        <v>0</v>
      </c>
      <c r="I17" s="11">
        <f>VALO_ST!U17</f>
        <v>0</v>
      </c>
      <c r="J17" s="229">
        <f>VALO_ST!V17</f>
        <v>0</v>
      </c>
      <c r="K17" s="77"/>
      <c r="L17" s="229">
        <f>VALO_ST!X17</f>
        <v>0</v>
      </c>
      <c r="M17" s="77"/>
      <c r="N17" s="229">
        <f>VALO_ST!Z17</f>
        <v>0</v>
      </c>
      <c r="O17" s="77"/>
      <c r="P17" s="229">
        <f>VALO_ST!AB17</f>
        <v>0</v>
      </c>
    </row>
    <row r="18" spans="1:16" ht="15.75" x14ac:dyDescent="0.3">
      <c r="B18" s="11">
        <f>VALO_ST!E18</f>
        <v>0</v>
      </c>
      <c r="C18" s="95">
        <f>VALO_ST!H18</f>
        <v>0</v>
      </c>
      <c r="D18" s="11">
        <f>VALO_ST!I18</f>
        <v>0</v>
      </c>
      <c r="E18" s="11">
        <f>VALO_ST!J18</f>
        <v>0</v>
      </c>
      <c r="F18" s="11">
        <f>VALO_ST!K18</f>
        <v>0</v>
      </c>
      <c r="G18" s="11">
        <f>VALO_ST!L18</f>
        <v>0</v>
      </c>
      <c r="H18" s="11">
        <f>VALO_ST!T18</f>
        <v>0</v>
      </c>
      <c r="I18" s="11">
        <f>VALO_ST!U18</f>
        <v>0</v>
      </c>
      <c r="J18" s="229">
        <f>VALO_ST!V18</f>
        <v>0</v>
      </c>
      <c r="K18" s="77"/>
      <c r="L18" s="229">
        <f>VALO_ST!X18</f>
        <v>0</v>
      </c>
      <c r="M18" s="77"/>
      <c r="N18" s="229">
        <f>VALO_ST!Z18</f>
        <v>0</v>
      </c>
      <c r="O18" s="77"/>
      <c r="P18" s="229">
        <f>VALO_ST!AB18</f>
        <v>0</v>
      </c>
    </row>
    <row r="19" spans="1:16" ht="15.75" x14ac:dyDescent="0.3">
      <c r="B19" s="11">
        <f>VALO_ST!E19</f>
        <v>0</v>
      </c>
      <c r="C19" s="95">
        <f>VALO_ST!H19</f>
        <v>0</v>
      </c>
      <c r="D19" s="11">
        <f>VALO_ST!I19</f>
        <v>0</v>
      </c>
      <c r="E19" s="11">
        <f>VALO_ST!J19</f>
        <v>0</v>
      </c>
      <c r="F19" s="11">
        <f>VALO_ST!K19</f>
        <v>0</v>
      </c>
      <c r="G19" s="11">
        <f>VALO_ST!L19</f>
        <v>0</v>
      </c>
      <c r="H19" s="11">
        <f>VALO_ST!T19</f>
        <v>0</v>
      </c>
      <c r="I19" s="11">
        <f>VALO_ST!U19</f>
        <v>0</v>
      </c>
      <c r="J19" s="229">
        <f>VALO_ST!V19</f>
        <v>0</v>
      </c>
      <c r="K19" s="77"/>
      <c r="L19" s="229">
        <f>VALO_ST!X19</f>
        <v>0</v>
      </c>
      <c r="M19" s="77"/>
      <c r="N19" s="229">
        <f>VALO_ST!Z19</f>
        <v>0</v>
      </c>
      <c r="O19" s="77"/>
      <c r="P19" s="229">
        <f>VALO_ST!AB19</f>
        <v>0</v>
      </c>
    </row>
    <row r="20" spans="1:16" ht="15.75" x14ac:dyDescent="0.3">
      <c r="B20" s="11">
        <f>VALO_ST!E20</f>
        <v>0</v>
      </c>
      <c r="C20" s="95">
        <f>VALO_ST!H20</f>
        <v>0</v>
      </c>
      <c r="D20" s="11">
        <f>VALO_ST!I20</f>
        <v>0</v>
      </c>
      <c r="E20" s="11">
        <f>VALO_ST!J20</f>
        <v>0</v>
      </c>
      <c r="F20" s="11">
        <f>VALO_ST!K20</f>
        <v>0</v>
      </c>
      <c r="G20" s="11">
        <f>VALO_ST!L20</f>
        <v>0</v>
      </c>
      <c r="H20" s="11">
        <f>VALO_ST!T20</f>
        <v>0</v>
      </c>
      <c r="I20" s="11">
        <f>VALO_ST!U20</f>
        <v>0</v>
      </c>
      <c r="J20" s="229">
        <f>VALO_ST!V20</f>
        <v>0</v>
      </c>
      <c r="K20" s="77"/>
      <c r="L20" s="229">
        <f>VALO_ST!X20</f>
        <v>0</v>
      </c>
      <c r="M20" s="77"/>
      <c r="N20" s="229">
        <f>VALO_ST!Z20</f>
        <v>0</v>
      </c>
      <c r="O20" s="77"/>
      <c r="P20" s="229">
        <f>VALO_ST!AB20</f>
        <v>0</v>
      </c>
    </row>
    <row r="21" spans="1:16" ht="15.75" x14ac:dyDescent="0.3">
      <c r="B21" s="11">
        <f>VALO_ST!E21</f>
        <v>0</v>
      </c>
      <c r="C21" s="95">
        <f>VALO_ST!H21</f>
        <v>0</v>
      </c>
      <c r="D21" s="11">
        <f>VALO_ST!I21</f>
        <v>0</v>
      </c>
      <c r="E21" s="11">
        <f>VALO_ST!J21</f>
        <v>0</v>
      </c>
      <c r="F21" s="11">
        <f>VALO_ST!K21</f>
        <v>0</v>
      </c>
      <c r="G21" s="11">
        <f>VALO_ST!L21</f>
        <v>0</v>
      </c>
      <c r="H21" s="11">
        <f>VALO_ST!T21</f>
        <v>0</v>
      </c>
      <c r="I21" s="11">
        <f>VALO_ST!U21</f>
        <v>0</v>
      </c>
      <c r="J21" s="229">
        <f>VALO_ST!V21</f>
        <v>0</v>
      </c>
      <c r="K21" s="77"/>
      <c r="L21" s="229">
        <f>VALO_ST!X21</f>
        <v>0</v>
      </c>
      <c r="M21" s="77"/>
      <c r="N21" s="229">
        <f>VALO_ST!Z21</f>
        <v>0</v>
      </c>
      <c r="O21" s="77"/>
      <c r="P21" s="229">
        <f>VALO_ST!AB21</f>
        <v>0</v>
      </c>
    </row>
    <row r="22" spans="1:16" ht="15.75" x14ac:dyDescent="0.3">
      <c r="B22" s="11">
        <f>VALO_ST!E22</f>
        <v>0</v>
      </c>
      <c r="C22" s="95">
        <f>VALO_ST!H22</f>
        <v>0</v>
      </c>
      <c r="D22" s="11">
        <f>VALO_ST!I22</f>
        <v>0</v>
      </c>
      <c r="E22" s="11">
        <f>VALO_ST!J22</f>
        <v>0</v>
      </c>
      <c r="F22" s="11">
        <f>VALO_ST!K22</f>
        <v>0</v>
      </c>
      <c r="G22" s="11">
        <f>VALO_ST!L22</f>
        <v>0</v>
      </c>
      <c r="H22" s="11">
        <f>VALO_ST!T22</f>
        <v>0</v>
      </c>
      <c r="I22" s="11">
        <f>VALO_ST!U22</f>
        <v>0</v>
      </c>
      <c r="J22" s="229">
        <f>VALO_ST!V22</f>
        <v>0</v>
      </c>
      <c r="K22" s="77"/>
      <c r="L22" s="229">
        <f>VALO_ST!X22</f>
        <v>0</v>
      </c>
      <c r="M22" s="77"/>
      <c r="N22" s="229">
        <f>VALO_ST!Z22</f>
        <v>0</v>
      </c>
      <c r="O22" s="77"/>
      <c r="P22" s="229">
        <f>VALO_ST!AB22</f>
        <v>0</v>
      </c>
    </row>
    <row r="23" spans="1:16" ht="15.75" x14ac:dyDescent="0.3">
      <c r="B23" s="11">
        <f>VALO_ST!E23</f>
        <v>0</v>
      </c>
      <c r="C23" s="95">
        <f>VALO_ST!H23</f>
        <v>0</v>
      </c>
      <c r="D23" s="11">
        <f>VALO_ST!I23</f>
        <v>0</v>
      </c>
      <c r="E23" s="11">
        <f>VALO_ST!J23</f>
        <v>0</v>
      </c>
      <c r="F23" s="11">
        <f>VALO_ST!K23</f>
        <v>0</v>
      </c>
      <c r="G23" s="11">
        <f>VALO_ST!L23</f>
        <v>0</v>
      </c>
      <c r="H23" s="11">
        <f>VALO_ST!T23</f>
        <v>0</v>
      </c>
      <c r="I23" s="11">
        <f>VALO_ST!U23</f>
        <v>0</v>
      </c>
      <c r="J23" s="229">
        <f>VALO_ST!V23</f>
        <v>0</v>
      </c>
      <c r="K23" s="77"/>
      <c r="L23" s="229">
        <f>VALO_ST!X23</f>
        <v>0</v>
      </c>
      <c r="M23" s="77"/>
      <c r="N23" s="229">
        <f>VALO_ST!Z23</f>
        <v>0</v>
      </c>
      <c r="O23" s="77"/>
      <c r="P23" s="229">
        <f>VALO_ST!AB23</f>
        <v>0</v>
      </c>
    </row>
    <row r="24" spans="1:16" ht="15.75" x14ac:dyDescent="0.3">
      <c r="B24" s="11">
        <f>VALO_ST!E24</f>
        <v>0</v>
      </c>
      <c r="C24" s="95">
        <f>VALO_ST!H24</f>
        <v>0</v>
      </c>
      <c r="D24" s="11">
        <f>VALO_ST!I24</f>
        <v>0</v>
      </c>
      <c r="E24" s="11">
        <f>VALO_ST!J24</f>
        <v>0</v>
      </c>
      <c r="F24" s="11">
        <f>VALO_ST!K24</f>
        <v>0</v>
      </c>
      <c r="G24" s="11">
        <f>VALO_ST!L24</f>
        <v>0</v>
      </c>
      <c r="H24" s="11">
        <f>VALO_ST!T24</f>
        <v>0</v>
      </c>
      <c r="I24" s="11">
        <f>VALO_ST!U24</f>
        <v>0</v>
      </c>
      <c r="J24" s="229">
        <f>VALO_ST!V24</f>
        <v>0</v>
      </c>
      <c r="K24" s="77"/>
      <c r="L24" s="229">
        <f>VALO_ST!X24</f>
        <v>0</v>
      </c>
      <c r="M24" s="77"/>
      <c r="N24" s="229">
        <f>VALO_ST!Z24</f>
        <v>0</v>
      </c>
      <c r="O24" s="77"/>
      <c r="P24" s="229">
        <f>VALO_ST!AB24</f>
        <v>0</v>
      </c>
    </row>
    <row r="25" spans="1:16" ht="15.75" x14ac:dyDescent="0.3">
      <c r="A25" t="s">
        <v>869</v>
      </c>
      <c r="B25" s="11">
        <f>VALO_ST!E25</f>
        <v>0</v>
      </c>
      <c r="C25" s="95">
        <f>VALO_ST!H25</f>
        <v>0</v>
      </c>
      <c r="D25" s="11">
        <f>VALO_ST!I25</f>
        <v>0</v>
      </c>
      <c r="E25" s="11">
        <f>VALO_ST!J25</f>
        <v>0</v>
      </c>
      <c r="F25" s="11">
        <f>VALO_ST!K25</f>
        <v>0</v>
      </c>
      <c r="G25" s="11">
        <f>VALO_ST!L25</f>
        <v>0</v>
      </c>
      <c r="H25" s="11">
        <f>VALO_ST!T25</f>
        <v>0</v>
      </c>
      <c r="I25" s="11">
        <f>VALO_ST!U25</f>
        <v>0</v>
      </c>
      <c r="J25" s="229">
        <f>VALO_ST!V25</f>
        <v>0</v>
      </c>
      <c r="K25" s="77"/>
      <c r="L25" s="229">
        <f>VALO_ST!X25</f>
        <v>0</v>
      </c>
      <c r="M25" s="77"/>
      <c r="N25" s="229">
        <f>VALO_ST!Z25</f>
        <v>0</v>
      </c>
      <c r="O25" s="77"/>
      <c r="P25" s="229">
        <f>VALO_ST!AB25</f>
        <v>0</v>
      </c>
    </row>
    <row r="26" spans="1:16" ht="15.75" x14ac:dyDescent="0.3">
      <c r="B26" s="11">
        <f>VALO_ST!E26</f>
        <v>0</v>
      </c>
      <c r="C26" s="95">
        <f>VALO_ST!H26</f>
        <v>0</v>
      </c>
      <c r="D26" s="11">
        <f>VALO_ST!I26</f>
        <v>0</v>
      </c>
      <c r="E26" s="11">
        <f>VALO_ST!J26</f>
        <v>0</v>
      </c>
      <c r="F26" s="11">
        <f>VALO_ST!K26</f>
        <v>0</v>
      </c>
      <c r="G26" s="11">
        <f>VALO_ST!L26</f>
        <v>0</v>
      </c>
      <c r="H26" s="11">
        <f>VALO_ST!T26</f>
        <v>0</v>
      </c>
      <c r="I26" s="11">
        <f>VALO_ST!U26</f>
        <v>0</v>
      </c>
      <c r="J26" s="229">
        <f>VALO_ST!V26</f>
        <v>0</v>
      </c>
      <c r="K26" s="77"/>
      <c r="L26" s="229">
        <f>VALO_ST!X26</f>
        <v>0</v>
      </c>
      <c r="M26" s="77"/>
      <c r="N26" s="229">
        <f>VALO_ST!Z26</f>
        <v>0</v>
      </c>
      <c r="O26" s="77"/>
      <c r="P26" s="229">
        <f>VALO_ST!AB26</f>
        <v>0</v>
      </c>
    </row>
    <row r="27" spans="1:16" ht="15.75" thickBot="1" x14ac:dyDescent="0.3">
      <c r="B27" s="98">
        <f t="shared" ref="B27:J27" si="0">SUM(B5:B26)</f>
        <v>0</v>
      </c>
      <c r="C27" s="289">
        <f t="shared" si="0"/>
        <v>0</v>
      </c>
      <c r="D27" s="98">
        <f t="shared" si="0"/>
        <v>0</v>
      </c>
      <c r="E27" s="98">
        <f t="shared" si="0"/>
        <v>0</v>
      </c>
      <c r="F27" s="98">
        <f t="shared" si="0"/>
        <v>0</v>
      </c>
      <c r="G27" s="98">
        <f t="shared" si="0"/>
        <v>0</v>
      </c>
      <c r="H27" s="98">
        <f t="shared" si="0"/>
        <v>0</v>
      </c>
      <c r="I27" s="98">
        <f t="shared" si="0"/>
        <v>0</v>
      </c>
      <c r="J27" s="98">
        <f t="shared" si="0"/>
        <v>0</v>
      </c>
      <c r="L27" s="98">
        <f>SUM(L5:L26)</f>
        <v>0</v>
      </c>
      <c r="N27" s="98">
        <f>SUM(N5:N26)</f>
        <v>0</v>
      </c>
      <c r="P27" s="98">
        <f>SUM(P5:P26)</f>
        <v>0</v>
      </c>
    </row>
    <row r="29" spans="1:16" ht="15.75" thickBot="1" x14ac:dyDescent="0.3">
      <c r="G29" s="62"/>
      <c r="H29" s="217" t="s">
        <v>575</v>
      </c>
      <c r="I29" s="228"/>
      <c r="J29" s="98"/>
      <c r="L29" s="155"/>
      <c r="N29" s="155"/>
      <c r="P29" s="98"/>
    </row>
    <row r="30" spans="1:16" ht="15.75" thickBot="1" x14ac:dyDescent="0.3">
      <c r="G30" s="62"/>
      <c r="H30" s="217" t="s">
        <v>576</v>
      </c>
      <c r="I30" s="228"/>
      <c r="J30" s="98"/>
      <c r="L30" s="155"/>
      <c r="N30" s="155"/>
      <c r="P30" s="155"/>
    </row>
    <row r="31" spans="1:16" ht="15.75" thickBot="1" x14ac:dyDescent="0.3">
      <c r="G31" s="62"/>
      <c r="H31" s="217" t="s">
        <v>577</v>
      </c>
      <c r="I31" s="228"/>
      <c r="J31" s="98"/>
      <c r="L31" s="155"/>
      <c r="N31" s="155"/>
      <c r="P31" s="98"/>
    </row>
    <row r="32" spans="1:16" ht="15.75" thickBot="1" x14ac:dyDescent="0.3">
      <c r="G32" s="62"/>
      <c r="H32" s="217" t="s">
        <v>578</v>
      </c>
      <c r="I32" s="228"/>
      <c r="J32" s="98"/>
      <c r="L32" s="155"/>
      <c r="N32" s="155"/>
      <c r="P32" s="155"/>
    </row>
    <row r="34" spans="10:16" x14ac:dyDescent="0.25">
      <c r="J34" t="b">
        <f>J27=SUM(J29:J32)</f>
        <v>1</v>
      </c>
      <c r="P34" t="b">
        <f>P27=SUM(P29:P32)</f>
        <v>1</v>
      </c>
    </row>
  </sheetData>
  <conditionalFormatting sqref="J34">
    <cfRule type="containsText" dxfId="19" priority="23" operator="containsText" text="FAUX">
      <formula>NOT(ISERROR(SEARCH("FAUX",J34)))</formula>
    </cfRule>
    <cfRule type="containsText" dxfId="18" priority="24" operator="containsText" text="VRAI">
      <formula>NOT(ISERROR(SEARCH("VRAI",J34)))</formula>
    </cfRule>
  </conditionalFormatting>
  <conditionalFormatting sqref="P34">
    <cfRule type="containsText" dxfId="17" priority="21" operator="containsText" text="FAUX">
      <formula>NOT(ISERROR(SEARCH("FAUX",P34)))</formula>
    </cfRule>
    <cfRule type="containsText" dxfId="16" priority="22" operator="containsText" text="VRAI">
      <formula>NOT(ISERROR(SEARCH("VRAI",P34)))</formula>
    </cfRule>
  </conditionalFormatting>
  <conditionalFormatting sqref="B28:B1048576 B1:B2">
    <cfRule type="duplicateValues" dxfId="15" priority="7"/>
  </conditionalFormatting>
  <conditionalFormatting sqref="B3">
    <cfRule type="duplicateValues" dxfId="14" priority="6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InsererLigneMultipl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A306-F18D-469D-9A3D-D9F8C14BB495}">
  <sheetPr codeName="Feuil15">
    <tabColor theme="7" tint="0.79998168889431442"/>
  </sheetPr>
  <dimension ref="A3:L41"/>
  <sheetViews>
    <sheetView showGridLines="0" topLeftCell="A7" workbookViewId="0">
      <selection activeCell="N28" sqref="N28"/>
    </sheetView>
  </sheetViews>
  <sheetFormatPr baseColWidth="10" defaultColWidth="11.42578125" defaultRowHeight="15" x14ac:dyDescent="0.25"/>
  <cols>
    <col min="1" max="1" width="2.85546875" style="60" customWidth="1"/>
  </cols>
  <sheetData>
    <row r="3" spans="1:12" ht="15.75" thickBot="1" x14ac:dyDescent="0.3">
      <c r="B3" s="99"/>
      <c r="C3" s="100"/>
      <c r="D3" s="100"/>
      <c r="E3" s="99"/>
      <c r="F3" s="100"/>
      <c r="G3" s="99"/>
      <c r="H3" s="99"/>
      <c r="I3" s="99"/>
      <c r="J3" s="99"/>
      <c r="K3" s="100"/>
      <c r="L3" s="99"/>
    </row>
    <row r="4" spans="1:12" ht="45.75" thickBot="1" x14ac:dyDescent="0.3">
      <c r="B4" s="64" t="s">
        <v>452</v>
      </c>
      <c r="C4" s="64" t="s">
        <v>454</v>
      </c>
      <c r="D4" s="64" t="s">
        <v>545</v>
      </c>
      <c r="E4" s="64" t="s">
        <v>546</v>
      </c>
      <c r="F4" s="64" t="s">
        <v>547</v>
      </c>
      <c r="G4" s="64" t="s">
        <v>548</v>
      </c>
      <c r="H4" s="64" t="s">
        <v>329</v>
      </c>
      <c r="I4" s="64" t="s">
        <v>579</v>
      </c>
      <c r="J4" s="64" t="s">
        <v>580</v>
      </c>
      <c r="K4" s="47" t="s">
        <v>554</v>
      </c>
      <c r="L4" s="47" t="s">
        <v>555</v>
      </c>
    </row>
    <row r="5" spans="1:12" ht="15.75" x14ac:dyDescent="0.3">
      <c r="A5" s="60">
        <f>IF(L5&gt;K5,1,0)</f>
        <v>0</v>
      </c>
      <c r="B5" s="84" t="b">
        <v>0</v>
      </c>
      <c r="C5" s="11"/>
      <c r="D5" s="11"/>
      <c r="E5" s="11"/>
      <c r="F5" s="95"/>
      <c r="G5" s="95"/>
      <c r="H5" s="11"/>
      <c r="I5" s="11"/>
      <c r="J5" s="11"/>
      <c r="K5" s="11"/>
      <c r="L5" s="11"/>
    </row>
    <row r="6" spans="1:12" ht="15.75" x14ac:dyDescent="0.3">
      <c r="A6" s="60">
        <f t="shared" ref="A6:A15" si="0">IF(L6&gt;K6,1,0)</f>
        <v>0</v>
      </c>
      <c r="B6" s="84" t="b">
        <v>0</v>
      </c>
      <c r="C6" s="11"/>
      <c r="D6" s="11"/>
      <c r="E6" s="11"/>
      <c r="F6" s="95"/>
      <c r="G6" s="95"/>
      <c r="H6" s="11"/>
      <c r="I6" s="11"/>
      <c r="J6" s="11"/>
      <c r="K6" s="11"/>
      <c r="L6" s="11"/>
    </row>
    <row r="7" spans="1:12" ht="15.75" x14ac:dyDescent="0.3">
      <c r="A7" s="60">
        <f t="shared" si="0"/>
        <v>0</v>
      </c>
      <c r="B7" s="84" t="b">
        <v>0</v>
      </c>
      <c r="C7" s="11"/>
      <c r="D7" s="11"/>
      <c r="E7" s="11"/>
      <c r="F7" s="95"/>
      <c r="G7" s="95"/>
      <c r="H7" s="11"/>
      <c r="I7" s="11"/>
      <c r="J7" s="11"/>
      <c r="K7" s="11"/>
      <c r="L7" s="11"/>
    </row>
    <row r="8" spans="1:12" ht="15.75" x14ac:dyDescent="0.3">
      <c r="A8" s="60">
        <f t="shared" si="0"/>
        <v>0</v>
      </c>
      <c r="B8" s="84" t="b">
        <v>0</v>
      </c>
      <c r="C8" s="11"/>
      <c r="D8" s="11"/>
      <c r="E8" s="11"/>
      <c r="F8" s="95"/>
      <c r="G8" s="95"/>
      <c r="H8" s="11"/>
      <c r="I8" s="11"/>
      <c r="J8" s="11"/>
      <c r="K8" s="11"/>
      <c r="L8" s="11"/>
    </row>
    <row r="9" spans="1:12" ht="15.75" x14ac:dyDescent="0.3">
      <c r="A9" s="60">
        <f t="shared" si="0"/>
        <v>0</v>
      </c>
      <c r="B9" s="84" t="b">
        <v>0</v>
      </c>
      <c r="C9" s="11"/>
      <c r="D9" s="11"/>
      <c r="E9" s="11"/>
      <c r="F9" s="95"/>
      <c r="G9" s="95"/>
      <c r="H9" s="11"/>
      <c r="I9" s="11"/>
      <c r="J9" s="11"/>
      <c r="K9" s="11"/>
      <c r="L9" s="11"/>
    </row>
    <row r="10" spans="1:12" ht="15.75" x14ac:dyDescent="0.3">
      <c r="A10" s="60">
        <f t="shared" si="0"/>
        <v>0</v>
      </c>
      <c r="B10" s="84" t="b">
        <v>0</v>
      </c>
      <c r="C10" s="11"/>
      <c r="D10" s="11"/>
      <c r="E10" s="11"/>
      <c r="F10" s="95"/>
      <c r="G10" s="95"/>
      <c r="H10" s="11"/>
      <c r="I10" s="11"/>
      <c r="J10" s="11"/>
      <c r="K10" s="11"/>
      <c r="L10" s="11"/>
    </row>
    <row r="11" spans="1:12" ht="15.75" x14ac:dyDescent="0.3">
      <c r="A11" s="60">
        <f t="shared" si="0"/>
        <v>0</v>
      </c>
      <c r="B11" s="84" t="b">
        <v>0</v>
      </c>
      <c r="C11" s="11"/>
      <c r="D11" s="11"/>
      <c r="E11" s="11"/>
      <c r="F11" s="95"/>
      <c r="G11" s="95"/>
      <c r="H11" s="11"/>
      <c r="I11" s="11"/>
      <c r="J11" s="11"/>
      <c r="K11" s="11"/>
      <c r="L11" s="11"/>
    </row>
    <row r="12" spans="1:12" ht="15.75" x14ac:dyDescent="0.3">
      <c r="A12" s="60">
        <f t="shared" si="0"/>
        <v>0</v>
      </c>
      <c r="B12" s="84" t="b">
        <v>0</v>
      </c>
      <c r="C12" s="11"/>
      <c r="D12" s="11"/>
      <c r="E12" s="11"/>
      <c r="F12" s="95"/>
      <c r="G12" s="95"/>
      <c r="H12" s="11"/>
      <c r="I12" s="11"/>
      <c r="J12" s="11"/>
      <c r="K12" s="11"/>
      <c r="L12" s="11"/>
    </row>
    <row r="13" spans="1:12" ht="15.75" x14ac:dyDescent="0.3">
      <c r="A13" s="60">
        <f t="shared" si="0"/>
        <v>0</v>
      </c>
      <c r="B13" s="84" t="b">
        <v>0</v>
      </c>
      <c r="C13" s="11"/>
      <c r="D13" s="11"/>
      <c r="E13" s="11"/>
      <c r="F13" s="95"/>
      <c r="G13" s="95"/>
      <c r="H13" s="11"/>
      <c r="I13" s="11"/>
      <c r="J13" s="11"/>
      <c r="K13" s="11"/>
      <c r="L13" s="11"/>
    </row>
    <row r="14" spans="1:12" ht="15.75" x14ac:dyDescent="0.3">
      <c r="A14" s="60">
        <f t="shared" si="0"/>
        <v>0</v>
      </c>
      <c r="B14" s="84" t="b">
        <v>0</v>
      </c>
      <c r="C14" s="11"/>
      <c r="D14" s="11"/>
      <c r="E14" s="11"/>
      <c r="F14" s="95"/>
      <c r="G14" s="95"/>
      <c r="H14" s="11"/>
      <c r="I14" s="11"/>
      <c r="J14" s="11"/>
      <c r="K14" s="11"/>
      <c r="L14" s="11"/>
    </row>
    <row r="15" spans="1:12" ht="15.75" x14ac:dyDescent="0.3">
      <c r="A15" s="60">
        <f t="shared" si="0"/>
        <v>0</v>
      </c>
      <c r="B15" s="84" t="b">
        <v>0</v>
      </c>
      <c r="C15" s="11"/>
      <c r="D15" s="11"/>
      <c r="E15" s="11"/>
      <c r="F15" s="95"/>
      <c r="G15" s="95"/>
      <c r="H15" s="11"/>
      <c r="I15" s="11"/>
      <c r="J15" s="11"/>
      <c r="K15" s="11"/>
      <c r="L15" s="11"/>
    </row>
    <row r="16" spans="1:12" ht="15.75" thickBot="1" x14ac:dyDescent="0.3">
      <c r="B16" s="148"/>
      <c r="C16" s="148"/>
      <c r="D16" s="148"/>
      <c r="E16" s="148"/>
      <c r="F16" s="148"/>
      <c r="G16" s="148"/>
      <c r="H16" s="148"/>
      <c r="I16" s="148"/>
      <c r="J16" s="65" t="s">
        <v>558</v>
      </c>
      <c r="K16" s="98">
        <f>SUM(K5:K15)</f>
        <v>0</v>
      </c>
      <c r="L16" s="98">
        <f>SUM(L5:L15)</f>
        <v>0</v>
      </c>
    </row>
    <row r="23" spans="2:12" ht="15.75" thickBot="1" x14ac:dyDescent="0.3">
      <c r="B23" s="99"/>
      <c r="C23" s="99"/>
      <c r="D23" s="99"/>
      <c r="E23" s="99"/>
      <c r="F23" s="99"/>
      <c r="H23" s="99"/>
    </row>
    <row r="24" spans="2:12" ht="45.75" thickBot="1" x14ac:dyDescent="0.3">
      <c r="B24" s="64" t="s">
        <v>581</v>
      </c>
      <c r="C24" s="64" t="s">
        <v>582</v>
      </c>
      <c r="D24" s="64" t="s">
        <v>583</v>
      </c>
      <c r="E24" s="64" t="s">
        <v>584</v>
      </c>
      <c r="F24" s="64" t="s">
        <v>367</v>
      </c>
      <c r="G24" s="64" t="s">
        <v>368</v>
      </c>
      <c r="H24" s="64" t="s">
        <v>585</v>
      </c>
      <c r="I24" s="64" t="s">
        <v>586</v>
      </c>
      <c r="J24" s="64" t="s">
        <v>587</v>
      </c>
    </row>
    <row r="25" spans="2:12" ht="15.75" x14ac:dyDescent="0.3">
      <c r="B25" s="11"/>
      <c r="C25" s="11"/>
      <c r="D25" s="95"/>
      <c r="E25" s="11"/>
      <c r="F25" s="11"/>
      <c r="G25" s="41" t="str">
        <f>IF(ISBLANK(F25),"",VLOOKUP(F25,VALO_PERSO!G:H,2,0))</f>
        <v/>
      </c>
      <c r="H25" s="11"/>
      <c r="I25" s="41" t="str">
        <f>IF(ISBLANK(F25),"",VLOOKUP(F25,VALO_PERSO!G:X,18,0))</f>
        <v/>
      </c>
      <c r="J25" s="11" t="str">
        <f>IF(ISBLANK(B25),"",IF(B25=parametrage!$G$3,'VALO-autres dépenses CIR'!H25*'VALO-autres dépenses CIR'!I25*0.65,'VALO-autres dépenses CIR'!H25*'VALO-autres dépenses CIR'!I25))</f>
        <v/>
      </c>
      <c r="L25" s="173"/>
    </row>
    <row r="26" spans="2:12" ht="15.75" x14ac:dyDescent="0.3">
      <c r="B26" s="11"/>
      <c r="C26" s="11"/>
      <c r="D26" s="95"/>
      <c r="E26" s="11"/>
      <c r="F26" s="11"/>
      <c r="G26" s="41" t="str">
        <f>IF(ISBLANK(F26),"",VLOOKUP(F26,VALO_PERSO!G:H,2,0))</f>
        <v/>
      </c>
      <c r="H26" s="11"/>
      <c r="I26" s="41"/>
      <c r="J26" s="11"/>
    </row>
    <row r="27" spans="2:12" ht="15.75" x14ac:dyDescent="0.3">
      <c r="B27" s="11"/>
      <c r="C27" s="11"/>
      <c r="D27" s="95"/>
      <c r="E27" s="11"/>
      <c r="F27" s="11"/>
      <c r="G27" s="41" t="str">
        <f>IF(ISBLANK(F27),"",VLOOKUP(F27,VALO_PERSO!G:H,2,0))</f>
        <v/>
      </c>
      <c r="H27" s="11"/>
      <c r="I27" s="41"/>
      <c r="J27" s="11"/>
    </row>
    <row r="28" spans="2:12" ht="15.75" x14ac:dyDescent="0.3">
      <c r="B28" s="11"/>
      <c r="C28" s="11"/>
      <c r="D28" s="95"/>
      <c r="E28" s="11"/>
      <c r="F28" s="11"/>
      <c r="G28" s="41" t="str">
        <f>IF(ISBLANK(F28),"",VLOOKUP(F28,VALO_PERSO!G:H,2,0))</f>
        <v/>
      </c>
      <c r="H28" s="11"/>
      <c r="I28" s="41"/>
      <c r="J28" s="11"/>
    </row>
    <row r="29" spans="2:12" ht="15.75" x14ac:dyDescent="0.3">
      <c r="B29" s="11"/>
      <c r="C29" s="11"/>
      <c r="D29" s="95"/>
      <c r="E29" s="11"/>
      <c r="F29" s="11"/>
      <c r="G29" s="41" t="str">
        <f>IF(ISBLANK(F29),"",VLOOKUP(F29,VALO_PERSO!G:H,2,0))</f>
        <v/>
      </c>
      <c r="H29" s="11"/>
      <c r="I29" s="41"/>
      <c r="J29" s="11"/>
    </row>
    <row r="30" spans="2:12" ht="15.75" x14ac:dyDescent="0.3">
      <c r="B30" s="11"/>
      <c r="C30" s="11"/>
      <c r="D30" s="95"/>
      <c r="E30" s="11"/>
      <c r="F30" s="11"/>
      <c r="G30" s="41" t="str">
        <f>IF(ISBLANK(F30),"",VLOOKUP(F30,VALO_PERSO!G:H,2,0))</f>
        <v/>
      </c>
      <c r="H30" s="11"/>
      <c r="I30" s="41"/>
      <c r="J30" s="11"/>
    </row>
    <row r="31" spans="2:12" ht="15.75" x14ac:dyDescent="0.3">
      <c r="B31" s="11"/>
      <c r="C31" s="11"/>
      <c r="D31" s="95"/>
      <c r="E31" s="11"/>
      <c r="F31" s="11"/>
      <c r="G31" s="41" t="str">
        <f>IF(ISBLANK(F31),"",VLOOKUP(F31,VALO_PERSO!G:H,2,0))</f>
        <v/>
      </c>
      <c r="H31" s="11"/>
      <c r="I31" s="41"/>
      <c r="J31" s="11"/>
    </row>
    <row r="32" spans="2:12" ht="15.75" x14ac:dyDescent="0.3">
      <c r="B32" s="11"/>
      <c r="C32" s="11"/>
      <c r="D32" s="95"/>
      <c r="E32" s="11"/>
      <c r="F32" s="11"/>
      <c r="G32" s="41" t="str">
        <f>IF(ISBLANK(F32),"",VLOOKUP(F32,VALO_PERSO!G:H,2,0))</f>
        <v/>
      </c>
      <c r="H32" s="11"/>
      <c r="I32" s="41"/>
      <c r="J32" s="11"/>
    </row>
    <row r="33" spans="2:10" ht="15.75" x14ac:dyDescent="0.3">
      <c r="B33" s="11"/>
      <c r="C33" s="11"/>
      <c r="D33" s="95"/>
      <c r="E33" s="11"/>
      <c r="F33" s="11"/>
      <c r="G33" s="41" t="str">
        <f>IF(ISBLANK(F33),"",VLOOKUP(F33,VALO_PERSO!G:H,2,0))</f>
        <v/>
      </c>
      <c r="H33" s="11"/>
      <c r="I33" s="41"/>
      <c r="J33" s="11"/>
    </row>
    <row r="34" spans="2:10" ht="15.75" x14ac:dyDescent="0.3">
      <c r="B34" s="11"/>
      <c r="C34" s="11"/>
      <c r="D34" s="95"/>
      <c r="E34" s="11"/>
      <c r="F34" s="11"/>
      <c r="G34" s="41" t="str">
        <f>IF(ISBLANK(F34),"",VLOOKUP(F34,VALO_PERSO!G:H,2,0))</f>
        <v/>
      </c>
      <c r="H34" s="11"/>
      <c r="I34" s="41"/>
      <c r="J34" s="11"/>
    </row>
    <row r="35" spans="2:10" ht="15.75" x14ac:dyDescent="0.3">
      <c r="B35" s="11"/>
      <c r="C35" s="11"/>
      <c r="D35" s="95"/>
      <c r="E35" s="11"/>
      <c r="F35" s="11"/>
      <c r="G35" s="41" t="str">
        <f>IF(ISBLANK(F35),"",VLOOKUP(F35,VALO_PERSO!G:H,2,0))</f>
        <v/>
      </c>
      <c r="H35" s="11"/>
      <c r="I35" s="41"/>
      <c r="J35" s="11"/>
    </row>
    <row r="36" spans="2:10" ht="15.75" thickBot="1" x14ac:dyDescent="0.3">
      <c r="B36" s="148"/>
      <c r="C36" s="148"/>
      <c r="D36" s="148"/>
      <c r="E36" s="148"/>
      <c r="F36" s="148"/>
      <c r="G36" s="148"/>
      <c r="H36" s="148"/>
      <c r="I36" s="65" t="s">
        <v>558</v>
      </c>
      <c r="J36" s="98">
        <f>SUM(J25:J35)</f>
        <v>0</v>
      </c>
    </row>
    <row r="38" spans="2:10" ht="15.75" thickBot="1" x14ac:dyDescent="0.3">
      <c r="F38" s="148"/>
      <c r="G38" s="148"/>
      <c r="H38" s="148"/>
      <c r="I38" s="148" t="s">
        <v>405</v>
      </c>
      <c r="J38" s="98">
        <f>SUMIF(B:B,parametrage!$G$3,'VALO-autres dépenses CIR'!J:J)</f>
        <v>0</v>
      </c>
    </row>
    <row r="39" spans="2:10" ht="15.75" thickBot="1" x14ac:dyDescent="0.3">
      <c r="F39" s="148"/>
      <c r="G39" s="148"/>
      <c r="H39" s="148"/>
      <c r="I39" s="148" t="s">
        <v>588</v>
      </c>
      <c r="J39" s="98">
        <f>SUMIF(B:B,parametrage!$G$4,'VALO-autres dépenses CIR'!J:J)</f>
        <v>0</v>
      </c>
    </row>
    <row r="40" spans="2:10" ht="15.75" thickBot="1" x14ac:dyDescent="0.3">
      <c r="F40" s="148"/>
      <c r="G40" s="148"/>
      <c r="H40" s="148"/>
      <c r="I40" s="148" t="s">
        <v>589</v>
      </c>
      <c r="J40" s="98">
        <f>L16+SUMIF(B:B,parametrage!$G$2,'VALO-autres dépenses CIR'!J:J)</f>
        <v>0</v>
      </c>
    </row>
    <row r="41" spans="2:10" ht="15.75" thickBot="1" x14ac:dyDescent="0.3">
      <c r="F41" s="148"/>
      <c r="G41" s="148"/>
      <c r="H41" s="148"/>
      <c r="I41" s="148" t="s">
        <v>590</v>
      </c>
      <c r="J41" s="98">
        <f>IF(J40&gt;60000,60000,J40)</f>
        <v>0</v>
      </c>
    </row>
  </sheetData>
  <conditionalFormatting sqref="D4">
    <cfRule type="duplicateValues" dxfId="13" priority="8"/>
  </conditionalFormatting>
  <conditionalFormatting sqref="C5:G5">
    <cfRule type="expression" dxfId="12" priority="7">
      <formula>$A5&gt;0</formula>
    </cfRule>
  </conditionalFormatting>
  <conditionalFormatting sqref="D5:D15">
    <cfRule type="duplicateValues" dxfId="11" priority="6"/>
  </conditionalFormatting>
  <conditionalFormatting sqref="C6:G15">
    <cfRule type="expression" dxfId="10" priority="5">
      <formula>$A6&gt;0</formula>
    </cfRule>
  </conditionalFormatting>
  <conditionalFormatting sqref="D3">
    <cfRule type="duplicateValues" dxfId="9" priority="4"/>
  </conditionalFormatting>
  <conditionalFormatting sqref="F25:G35">
    <cfRule type="expression" dxfId="8" priority="1">
      <formula>$A25&gt;0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1" r:id="rId3" name="Button 3">
              <controlPr defaultSize="0" print="0" autoFill="0" autoPict="0" macro="[0]!InsererLigneMultiple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3</xdr:col>
                    <xdr:colOff>38100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26DCA-D02C-46B7-98B9-4D8F2E14E221}">
          <x14:formula1>
            <xm:f>parametrage!$L$2:$L$5</xm:f>
          </x14:formula1>
          <xm:sqref>I5</xm:sqref>
        </x14:dataValidation>
        <x14:dataValidation type="list" allowBlank="1" showInputMessage="1" showErrorMessage="1" xr:uid="{56053EB1-538C-410B-BCBA-9F80F1987D11}">
          <x14:formula1>
            <xm:f>parametrage!$G$2:$G$4</xm:f>
          </x14:formula1>
          <xm:sqref>B25:B35</xm:sqref>
        </x14:dataValidation>
        <x14:dataValidation type="list" allowBlank="1" showInputMessage="1" showErrorMessage="1" xr:uid="{B958D38D-67A0-44BB-9D08-46F064EB4713}">
          <x14:formula1>
            <xm:f>VALO_PERSO!$G:$G</xm:f>
          </x14:formula1>
          <xm:sqref>F25:F35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8FBA-0371-4E51-ABA7-531B2629DEEF}">
  <sheetPr codeName="Feuil29">
    <tabColor rgb="FF2D44EA"/>
  </sheetPr>
  <dimension ref="B1:P18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2" max="2" width="13.5703125" customWidth="1"/>
    <col min="3" max="3" width="18" customWidth="1"/>
  </cols>
  <sheetData>
    <row r="1" spans="2:16" ht="45" x14ac:dyDescent="0.25">
      <c r="B1" s="454" t="s">
        <v>329</v>
      </c>
      <c r="C1" s="454" t="s">
        <v>579</v>
      </c>
      <c r="D1" s="454" t="s">
        <v>580</v>
      </c>
      <c r="E1" s="454" t="s">
        <v>555</v>
      </c>
      <c r="H1" s="454" t="s">
        <v>581</v>
      </c>
      <c r="I1" s="454" t="s">
        <v>582</v>
      </c>
      <c r="J1" s="454" t="s">
        <v>583</v>
      </c>
      <c r="K1" s="454" t="s">
        <v>584</v>
      </c>
      <c r="L1" s="454" t="s">
        <v>367</v>
      </c>
      <c r="M1" s="454" t="s">
        <v>368</v>
      </c>
      <c r="N1" s="454" t="s">
        <v>585</v>
      </c>
      <c r="O1" s="454" t="s">
        <v>586</v>
      </c>
      <c r="P1" s="454" t="s">
        <v>587</v>
      </c>
    </row>
    <row r="2" spans="2:16" ht="15.75" x14ac:dyDescent="0.3">
      <c r="B2" s="458">
        <f>'VALO-autres dépenses CIR'!H5</f>
        <v>0</v>
      </c>
      <c r="C2" s="458">
        <f>VALO_BREVET!K5</f>
        <v>0</v>
      </c>
      <c r="D2" s="458">
        <f>VALO_BREVET!L5</f>
        <v>0</v>
      </c>
      <c r="E2" s="458">
        <f>VALO_BREVET!O5</f>
        <v>0</v>
      </c>
      <c r="H2" s="456">
        <f>'VALO-autres dépenses CIR'!B25</f>
        <v>0</v>
      </c>
      <c r="I2" s="456">
        <f>'VALO-autres dépenses CIR'!C25</f>
        <v>0</v>
      </c>
      <c r="J2" s="456">
        <f>'VALO-autres dépenses CIR'!D25</f>
        <v>0</v>
      </c>
      <c r="K2" s="456">
        <f>'VALO-autres dépenses CIR'!E25</f>
        <v>0</v>
      </c>
      <c r="L2" s="456">
        <f>'VALO-autres dépenses CIR'!F25</f>
        <v>0</v>
      </c>
      <c r="M2" s="456" t="str">
        <f>'VALO-autres dépenses CIR'!G25</f>
        <v/>
      </c>
      <c r="N2" s="456">
        <f>'VALO-autres dépenses CIR'!H25</f>
        <v>0</v>
      </c>
      <c r="O2" s="456" t="str">
        <f>'VALO-autres dépenses CIR'!I25</f>
        <v/>
      </c>
      <c r="P2" s="456" t="str">
        <f>'VALO-autres dépenses CIR'!J25</f>
        <v/>
      </c>
    </row>
    <row r="3" spans="2:16" ht="15.75" x14ac:dyDescent="0.3">
      <c r="B3" s="458">
        <f>'VALO-autres dépenses CIR'!H6</f>
        <v>0</v>
      </c>
      <c r="C3" s="458">
        <f>VALO_BREVET!K6</f>
        <v>0</v>
      </c>
      <c r="D3" s="458">
        <f>VALO_BREVET!L6</f>
        <v>0</v>
      </c>
      <c r="E3" s="458">
        <f>VALO_BREVET!O6</f>
        <v>0</v>
      </c>
      <c r="H3" s="456">
        <f>'VALO-autres dépenses CIR'!B26</f>
        <v>0</v>
      </c>
      <c r="I3" s="456">
        <f>'VALO-autres dépenses CIR'!C26</f>
        <v>0</v>
      </c>
      <c r="J3" s="456">
        <f>'VALO-autres dépenses CIR'!D26</f>
        <v>0</v>
      </c>
      <c r="K3" s="456">
        <f>'VALO-autres dépenses CIR'!E26</f>
        <v>0</v>
      </c>
      <c r="L3" s="456">
        <f>'VALO-autres dépenses CIR'!F26</f>
        <v>0</v>
      </c>
      <c r="M3" s="456" t="str">
        <f>'VALO-autres dépenses CIR'!G26</f>
        <v/>
      </c>
      <c r="N3" s="456">
        <f>'VALO-autres dépenses CIR'!H26</f>
        <v>0</v>
      </c>
      <c r="O3" s="456">
        <f>'VALO-autres dépenses CIR'!I26</f>
        <v>0</v>
      </c>
      <c r="P3" s="456">
        <f>'VALO-autres dépenses CIR'!J26</f>
        <v>0</v>
      </c>
    </row>
    <row r="4" spans="2:16" ht="15.75" x14ac:dyDescent="0.3">
      <c r="B4" s="458">
        <f>'VALO-autres dépenses CIR'!H7</f>
        <v>0</v>
      </c>
      <c r="C4" s="458">
        <f>VALO_BREVET!K7</f>
        <v>0</v>
      </c>
      <c r="D4" s="458">
        <f>VALO_BREVET!L7</f>
        <v>0</v>
      </c>
      <c r="E4" s="458">
        <f>VALO_BREVET!O7</f>
        <v>0</v>
      </c>
      <c r="H4" s="456">
        <f>'VALO-autres dépenses CIR'!B27</f>
        <v>0</v>
      </c>
      <c r="I4" s="456">
        <f>'VALO-autres dépenses CIR'!C27</f>
        <v>0</v>
      </c>
      <c r="J4" s="456">
        <f>'VALO-autres dépenses CIR'!D27</f>
        <v>0</v>
      </c>
      <c r="K4" s="456">
        <f>'VALO-autres dépenses CIR'!E27</f>
        <v>0</v>
      </c>
      <c r="L4" s="456">
        <f>'VALO-autres dépenses CIR'!F27</f>
        <v>0</v>
      </c>
      <c r="M4" s="456" t="str">
        <f>'VALO-autres dépenses CIR'!G27</f>
        <v/>
      </c>
      <c r="N4" s="456">
        <f>'VALO-autres dépenses CIR'!H27</f>
        <v>0</v>
      </c>
      <c r="O4" s="456">
        <f>'VALO-autres dépenses CIR'!I27</f>
        <v>0</v>
      </c>
      <c r="P4" s="456">
        <f>'VALO-autres dépenses CIR'!J27</f>
        <v>0</v>
      </c>
    </row>
    <row r="5" spans="2:16" ht="15.75" x14ac:dyDescent="0.3">
      <c r="B5" s="458">
        <f>'VALO-autres dépenses CIR'!H8</f>
        <v>0</v>
      </c>
      <c r="C5" s="458">
        <f>VALO_BREVET!K8</f>
        <v>0</v>
      </c>
      <c r="D5" s="458">
        <f>VALO_BREVET!L8</f>
        <v>0</v>
      </c>
      <c r="E5" s="458">
        <f>VALO_BREVET!O8</f>
        <v>0</v>
      </c>
      <c r="H5" s="456">
        <f>'VALO-autres dépenses CIR'!B28</f>
        <v>0</v>
      </c>
      <c r="I5" s="456">
        <f>'VALO-autres dépenses CIR'!C28</f>
        <v>0</v>
      </c>
      <c r="J5" s="456">
        <f>'VALO-autres dépenses CIR'!D28</f>
        <v>0</v>
      </c>
      <c r="K5" s="456">
        <f>'VALO-autres dépenses CIR'!E28</f>
        <v>0</v>
      </c>
      <c r="L5" s="456">
        <f>'VALO-autres dépenses CIR'!F28</f>
        <v>0</v>
      </c>
      <c r="M5" s="456" t="str">
        <f>'VALO-autres dépenses CIR'!G28</f>
        <v/>
      </c>
      <c r="N5" s="456">
        <f>'VALO-autres dépenses CIR'!H28</f>
        <v>0</v>
      </c>
      <c r="O5" s="456">
        <f>'VALO-autres dépenses CIR'!I28</f>
        <v>0</v>
      </c>
      <c r="P5" s="456">
        <f>'VALO-autres dépenses CIR'!J28</f>
        <v>0</v>
      </c>
    </row>
    <row r="6" spans="2:16" ht="15.75" x14ac:dyDescent="0.3">
      <c r="B6" s="458">
        <f>'VALO-autres dépenses CIR'!H9</f>
        <v>0</v>
      </c>
      <c r="C6" s="458">
        <f>VALO_BREVET!K9</f>
        <v>0</v>
      </c>
      <c r="D6" s="458">
        <f>VALO_BREVET!L9</f>
        <v>0</v>
      </c>
      <c r="E6" s="458">
        <f>VALO_BREVET!O9</f>
        <v>0</v>
      </c>
      <c r="H6" s="456">
        <f>'VALO-autres dépenses CIR'!B29</f>
        <v>0</v>
      </c>
      <c r="I6" s="456">
        <f>'VALO-autres dépenses CIR'!C29</f>
        <v>0</v>
      </c>
      <c r="J6" s="456">
        <f>'VALO-autres dépenses CIR'!D29</f>
        <v>0</v>
      </c>
      <c r="K6" s="456">
        <f>'VALO-autres dépenses CIR'!E29</f>
        <v>0</v>
      </c>
      <c r="L6" s="456">
        <f>'VALO-autres dépenses CIR'!F29</f>
        <v>0</v>
      </c>
      <c r="M6" s="456" t="str">
        <f>'VALO-autres dépenses CIR'!G29</f>
        <v/>
      </c>
      <c r="N6" s="456">
        <f>'VALO-autres dépenses CIR'!H29</f>
        <v>0</v>
      </c>
      <c r="O6" s="456">
        <f>'VALO-autres dépenses CIR'!I29</f>
        <v>0</v>
      </c>
      <c r="P6" s="456">
        <f>'VALO-autres dépenses CIR'!J29</f>
        <v>0</v>
      </c>
    </row>
    <row r="7" spans="2:16" ht="15.75" x14ac:dyDescent="0.3">
      <c r="B7" s="458">
        <f>'VALO-autres dépenses CIR'!H10</f>
        <v>0</v>
      </c>
      <c r="C7" s="458">
        <f>VALO_BREVET!K10</f>
        <v>0</v>
      </c>
      <c r="D7" s="458">
        <f>VALO_BREVET!L10</f>
        <v>0</v>
      </c>
      <c r="E7" s="458">
        <f>VALO_BREVET!O10</f>
        <v>0</v>
      </c>
      <c r="H7" s="456">
        <f>'VALO-autres dépenses CIR'!B30</f>
        <v>0</v>
      </c>
      <c r="I7" s="456">
        <f>'VALO-autres dépenses CIR'!C30</f>
        <v>0</v>
      </c>
      <c r="J7" s="456">
        <f>'VALO-autres dépenses CIR'!D30</f>
        <v>0</v>
      </c>
      <c r="K7" s="456">
        <f>'VALO-autres dépenses CIR'!E30</f>
        <v>0</v>
      </c>
      <c r="L7" s="456">
        <f>'VALO-autres dépenses CIR'!F30</f>
        <v>0</v>
      </c>
      <c r="M7" s="456" t="str">
        <f>'VALO-autres dépenses CIR'!G30</f>
        <v/>
      </c>
      <c r="N7" s="456">
        <f>'VALO-autres dépenses CIR'!H30</f>
        <v>0</v>
      </c>
      <c r="O7" s="456">
        <f>'VALO-autres dépenses CIR'!I30</f>
        <v>0</v>
      </c>
      <c r="P7" s="456">
        <f>'VALO-autres dépenses CIR'!J30</f>
        <v>0</v>
      </c>
    </row>
    <row r="8" spans="2:16" ht="15.75" x14ac:dyDescent="0.3">
      <c r="B8" s="458">
        <f>'VALO-autres dépenses CIR'!H11</f>
        <v>0</v>
      </c>
      <c r="C8" s="458">
        <f>VALO_BREVET!K11</f>
        <v>0</v>
      </c>
      <c r="D8" s="458">
        <f>VALO_BREVET!L11</f>
        <v>0</v>
      </c>
      <c r="E8" s="458">
        <f>VALO_BREVET!O11</f>
        <v>0</v>
      </c>
      <c r="H8" s="456">
        <f>'VALO-autres dépenses CIR'!B31</f>
        <v>0</v>
      </c>
      <c r="I8" s="456">
        <f>'VALO-autres dépenses CIR'!C31</f>
        <v>0</v>
      </c>
      <c r="J8" s="456">
        <f>'VALO-autres dépenses CIR'!D31</f>
        <v>0</v>
      </c>
      <c r="K8" s="456">
        <f>'VALO-autres dépenses CIR'!E31</f>
        <v>0</v>
      </c>
      <c r="L8" s="456">
        <f>'VALO-autres dépenses CIR'!F31</f>
        <v>0</v>
      </c>
      <c r="M8" s="456" t="str">
        <f>'VALO-autres dépenses CIR'!G31</f>
        <v/>
      </c>
      <c r="N8" s="456">
        <f>'VALO-autres dépenses CIR'!H31</f>
        <v>0</v>
      </c>
      <c r="O8" s="456">
        <f>'VALO-autres dépenses CIR'!I31</f>
        <v>0</v>
      </c>
      <c r="P8" s="456">
        <f>'VALO-autres dépenses CIR'!J31</f>
        <v>0</v>
      </c>
    </row>
    <row r="9" spans="2:16" ht="15.75" x14ac:dyDescent="0.3">
      <c r="B9" s="458">
        <f>'VALO-autres dépenses CIR'!H12</f>
        <v>0</v>
      </c>
      <c r="C9" s="458">
        <f>VALO_BREVET!K12</f>
        <v>0</v>
      </c>
      <c r="D9" s="458">
        <f>VALO_BREVET!L12</f>
        <v>0</v>
      </c>
      <c r="E9" s="458">
        <f>VALO_BREVET!O12</f>
        <v>0</v>
      </c>
      <c r="H9" s="456">
        <f>'VALO-autres dépenses CIR'!B32</f>
        <v>0</v>
      </c>
      <c r="I9" s="456">
        <f>'VALO-autres dépenses CIR'!C32</f>
        <v>0</v>
      </c>
      <c r="J9" s="456">
        <f>'VALO-autres dépenses CIR'!D32</f>
        <v>0</v>
      </c>
      <c r="K9" s="456">
        <f>'VALO-autres dépenses CIR'!E32</f>
        <v>0</v>
      </c>
      <c r="L9" s="456">
        <f>'VALO-autres dépenses CIR'!F32</f>
        <v>0</v>
      </c>
      <c r="M9" s="456" t="str">
        <f>'VALO-autres dépenses CIR'!G32</f>
        <v/>
      </c>
      <c r="N9" s="456">
        <f>'VALO-autres dépenses CIR'!H32</f>
        <v>0</v>
      </c>
      <c r="O9" s="456">
        <f>'VALO-autres dépenses CIR'!I32</f>
        <v>0</v>
      </c>
      <c r="P9" s="456">
        <f>'VALO-autres dépenses CIR'!J32</f>
        <v>0</v>
      </c>
    </row>
    <row r="10" spans="2:16" ht="15.75" x14ac:dyDescent="0.3">
      <c r="B10" s="458">
        <f>'VALO-autres dépenses CIR'!H13</f>
        <v>0</v>
      </c>
      <c r="C10" s="458">
        <f>VALO_BREVET!K13</f>
        <v>0</v>
      </c>
      <c r="D10" s="458">
        <f>VALO_BREVET!L13</f>
        <v>0</v>
      </c>
      <c r="E10" s="458">
        <f>VALO_BREVET!O13</f>
        <v>0</v>
      </c>
      <c r="H10" s="456">
        <f>'VALO-autres dépenses CIR'!B33</f>
        <v>0</v>
      </c>
      <c r="I10" s="456">
        <f>'VALO-autres dépenses CIR'!C33</f>
        <v>0</v>
      </c>
      <c r="J10" s="456">
        <f>'VALO-autres dépenses CIR'!D33</f>
        <v>0</v>
      </c>
      <c r="K10" s="456">
        <f>'VALO-autres dépenses CIR'!E33</f>
        <v>0</v>
      </c>
      <c r="L10" s="456">
        <f>'VALO-autres dépenses CIR'!F33</f>
        <v>0</v>
      </c>
      <c r="M10" s="456" t="str">
        <f>'VALO-autres dépenses CIR'!G33</f>
        <v/>
      </c>
      <c r="N10" s="456">
        <f>'VALO-autres dépenses CIR'!H33</f>
        <v>0</v>
      </c>
      <c r="O10" s="456">
        <f>'VALO-autres dépenses CIR'!I33</f>
        <v>0</v>
      </c>
      <c r="P10" s="456">
        <f>'VALO-autres dépenses CIR'!J33</f>
        <v>0</v>
      </c>
    </row>
    <row r="11" spans="2:16" ht="15.75" x14ac:dyDescent="0.3">
      <c r="B11" s="458">
        <f>'VALO-autres dépenses CIR'!H14</f>
        <v>0</v>
      </c>
      <c r="C11" s="458">
        <f>VALO_BREVET!K14</f>
        <v>0</v>
      </c>
      <c r="D11" s="458">
        <f>VALO_BREVET!L14</f>
        <v>0</v>
      </c>
      <c r="E11" s="458">
        <f>VALO_BREVET!O14</f>
        <v>0</v>
      </c>
      <c r="H11" s="456">
        <f>'VALO-autres dépenses CIR'!B34</f>
        <v>0</v>
      </c>
      <c r="I11" s="456">
        <f>'VALO-autres dépenses CIR'!C34</f>
        <v>0</v>
      </c>
      <c r="J11" s="456">
        <f>'VALO-autres dépenses CIR'!D34</f>
        <v>0</v>
      </c>
      <c r="K11" s="456">
        <f>'VALO-autres dépenses CIR'!E34</f>
        <v>0</v>
      </c>
      <c r="L11" s="456">
        <f>'VALO-autres dépenses CIR'!F34</f>
        <v>0</v>
      </c>
      <c r="M11" s="456" t="str">
        <f>'VALO-autres dépenses CIR'!G34</f>
        <v/>
      </c>
      <c r="N11" s="456">
        <f>'VALO-autres dépenses CIR'!H34</f>
        <v>0</v>
      </c>
      <c r="O11" s="456">
        <f>'VALO-autres dépenses CIR'!I34</f>
        <v>0</v>
      </c>
      <c r="P11" s="456">
        <f>'VALO-autres dépenses CIR'!J34</f>
        <v>0</v>
      </c>
    </row>
    <row r="12" spans="2:16" ht="15.75" x14ac:dyDescent="0.3">
      <c r="B12" s="458">
        <f>'VALO-autres dépenses CIR'!H15</f>
        <v>0</v>
      </c>
      <c r="C12" s="458">
        <f>VALO_BREVET!K15</f>
        <v>0</v>
      </c>
      <c r="D12" s="458">
        <f>VALO_BREVET!L15</f>
        <v>0</v>
      </c>
      <c r="E12" s="458">
        <f>VALO_BREVET!O15</f>
        <v>0</v>
      </c>
      <c r="H12" s="456">
        <f>'VALO-autres dépenses CIR'!B35</f>
        <v>0</v>
      </c>
      <c r="I12" s="456">
        <f>'VALO-autres dépenses CIR'!C35</f>
        <v>0</v>
      </c>
      <c r="J12" s="456">
        <f>'VALO-autres dépenses CIR'!D35</f>
        <v>0</v>
      </c>
      <c r="K12" s="456">
        <f>'VALO-autres dépenses CIR'!E35</f>
        <v>0</v>
      </c>
      <c r="L12" s="456">
        <f>'VALO-autres dépenses CIR'!F35</f>
        <v>0</v>
      </c>
      <c r="M12" s="456" t="str">
        <f>'VALO-autres dépenses CIR'!G35</f>
        <v/>
      </c>
      <c r="N12" s="456">
        <f>'VALO-autres dépenses CIR'!H35</f>
        <v>0</v>
      </c>
      <c r="O12" s="456">
        <f>'VALO-autres dépenses CIR'!I35</f>
        <v>0</v>
      </c>
      <c r="P12" s="456">
        <f>'VALO-autres dépenses CIR'!J35</f>
        <v>0</v>
      </c>
    </row>
    <row r="13" spans="2:16" ht="15.75" thickBot="1" x14ac:dyDescent="0.3">
      <c r="B13" s="455" t="s">
        <v>558</v>
      </c>
      <c r="C13" s="455"/>
      <c r="D13" s="455"/>
      <c r="E13" s="457">
        <f>SUM(E2:E12)</f>
        <v>0</v>
      </c>
      <c r="H13" s="506" t="s">
        <v>558</v>
      </c>
      <c r="I13" s="506"/>
      <c r="J13" s="506"/>
      <c r="K13" s="506"/>
      <c r="L13" s="506"/>
      <c r="M13" s="506"/>
      <c r="N13" s="506"/>
      <c r="O13" s="506"/>
      <c r="P13" s="455">
        <v>0</v>
      </c>
    </row>
    <row r="15" spans="2:16" ht="15.75" thickBot="1" x14ac:dyDescent="0.3">
      <c r="B15" s="148"/>
      <c r="C15" s="148"/>
      <c r="D15" s="148"/>
      <c r="E15" s="148" t="s">
        <v>405</v>
      </c>
      <c r="F15" s="98">
        <f>'VALO-autres dépenses CIR'!J38</f>
        <v>0</v>
      </c>
    </row>
    <row r="16" spans="2:16" ht="15.75" thickBot="1" x14ac:dyDescent="0.3">
      <c r="B16" s="148"/>
      <c r="C16" s="148"/>
      <c r="D16" s="148"/>
      <c r="E16" s="148" t="s">
        <v>588</v>
      </c>
      <c r="F16" s="98">
        <f>'VALO-autres dépenses CIR'!J39</f>
        <v>0</v>
      </c>
    </row>
    <row r="17" spans="2:6" ht="15.75" thickBot="1" x14ac:dyDescent="0.3">
      <c r="B17" s="148"/>
      <c r="C17" s="148"/>
      <c r="D17" s="148"/>
      <c r="E17" s="148" t="s">
        <v>589</v>
      </c>
      <c r="F17" s="98">
        <f>'VALO-autres dépenses CIR'!J40</f>
        <v>0</v>
      </c>
    </row>
    <row r="18" spans="2:6" ht="15.75" thickBot="1" x14ac:dyDescent="0.3">
      <c r="B18" s="148"/>
      <c r="C18" s="148"/>
      <c r="D18" s="148"/>
      <c r="E18" s="148" t="s">
        <v>590</v>
      </c>
      <c r="F18" s="98">
        <f>'VALO-autres dépenses CIR'!J41</f>
        <v>0</v>
      </c>
    </row>
  </sheetData>
  <mergeCells count="1">
    <mergeCell ref="H13:O1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D22-050F-4261-8A45-8571193A3399}">
  <sheetPr codeName="Feuil17"/>
  <dimension ref="B3"/>
  <sheetViews>
    <sheetView showGridLines="0" workbookViewId="0">
      <selection activeCell="E19" sqref="E19"/>
    </sheetView>
  </sheetViews>
  <sheetFormatPr baseColWidth="10" defaultColWidth="11.42578125" defaultRowHeight="15" x14ac:dyDescent="0.25"/>
  <sheetData>
    <row r="3" spans="2:2" ht="21" x14ac:dyDescent="0.35">
      <c r="B3" s="210" t="s">
        <v>591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295D-262C-4169-AD01-B131D27F775E}">
  <sheetPr codeName="Feuil18"/>
  <dimension ref="A1:GY570"/>
  <sheetViews>
    <sheetView showGridLines="0" zoomScale="70" zoomScaleNormal="70" workbookViewId="0">
      <selection activeCell="O37" sqref="O37"/>
    </sheetView>
  </sheetViews>
  <sheetFormatPr baseColWidth="10" defaultColWidth="11.42578125" defaultRowHeight="15" x14ac:dyDescent="0.25"/>
  <cols>
    <col min="1" max="1" width="11.42578125" style="112"/>
    <col min="2" max="2" width="32.42578125" style="112" bestFit="1" customWidth="1"/>
    <col min="3" max="3" width="11.42578125" style="112"/>
    <col min="4" max="5" width="15.140625" style="112" customWidth="1"/>
    <col min="6" max="6" width="11.42578125" style="112"/>
    <col min="7" max="7" width="32.42578125" style="112" bestFit="1" customWidth="1"/>
    <col min="8" max="8" width="17.140625" style="112" customWidth="1"/>
    <col min="9" max="9" width="17.7109375" style="112" customWidth="1"/>
    <col min="10" max="15" width="11.42578125" style="112"/>
    <col min="16" max="16" width="1.28515625" style="312" customWidth="1"/>
    <col min="17" max="17" width="16" customWidth="1"/>
    <col min="20" max="20" width="14.28515625" customWidth="1"/>
    <col min="21" max="22" width="16.85546875" customWidth="1"/>
    <col min="23" max="23" width="20.42578125" customWidth="1"/>
    <col min="31" max="31" width="17.5703125" customWidth="1"/>
    <col min="32" max="32" width="12" bestFit="1" customWidth="1"/>
    <col min="33" max="33" width="19.5703125" customWidth="1"/>
    <col min="35" max="35" width="21" customWidth="1"/>
    <col min="36" max="36" width="14.42578125" customWidth="1"/>
    <col min="37" max="37" width="14.42578125" style="112" customWidth="1"/>
    <col min="38" max="38" width="1.28515625" style="312" customWidth="1"/>
    <col min="39" max="39" width="14.42578125" style="112" customWidth="1"/>
    <col min="40" max="40" width="28.85546875" bestFit="1" customWidth="1"/>
    <col min="41" max="41" width="13.140625" bestFit="1" customWidth="1"/>
    <col min="42" max="42" width="21.5703125" bestFit="1" customWidth="1"/>
    <col min="43" max="43" width="29.140625" bestFit="1" customWidth="1"/>
    <col min="44" max="44" width="18.28515625" bestFit="1" customWidth="1"/>
    <col min="45" max="45" width="21.28515625" bestFit="1" customWidth="1"/>
    <col min="46" max="46" width="25.85546875" bestFit="1" customWidth="1"/>
    <col min="47" max="47" width="20.5703125" bestFit="1" customWidth="1"/>
    <col min="48" max="48" width="25.28515625" bestFit="1" customWidth="1"/>
    <col min="50" max="50" width="0.85546875" style="312" customWidth="1"/>
    <col min="53" max="53" width="20.7109375" bestFit="1" customWidth="1"/>
    <col min="54" max="54" width="20.85546875" bestFit="1" customWidth="1"/>
    <col min="55" max="55" width="17.28515625" bestFit="1" customWidth="1"/>
    <col min="56" max="56" width="14.140625" bestFit="1" customWidth="1"/>
    <col min="57" max="57" width="13" bestFit="1" customWidth="1"/>
    <col min="58" max="58" width="12.42578125" bestFit="1" customWidth="1"/>
    <col min="60" max="60" width="0.85546875" style="312" customWidth="1"/>
    <col min="61" max="61" width="14.85546875" bestFit="1" customWidth="1"/>
    <col min="62" max="62" width="24.28515625" bestFit="1" customWidth="1"/>
    <col min="63" max="63" width="31.7109375" bestFit="1" customWidth="1"/>
    <col min="64" max="64" width="20.28515625" bestFit="1" customWidth="1"/>
    <col min="65" max="65" width="23.85546875" style="112" bestFit="1" customWidth="1"/>
    <col min="66" max="66" width="29.140625" style="112" bestFit="1" customWidth="1"/>
    <col min="67" max="67" width="22.85546875" style="112" bestFit="1" customWidth="1"/>
    <col min="68" max="68" width="28.140625" style="112" bestFit="1" customWidth="1"/>
    <col min="69" max="71" width="11.42578125" style="112"/>
    <col min="72" max="72" width="12.85546875" style="112" bestFit="1" customWidth="1"/>
    <col min="73" max="73" width="22.42578125" style="112" bestFit="1" customWidth="1"/>
    <col min="74" max="74" width="22.5703125" style="112" bestFit="1" customWidth="1"/>
    <col min="75" max="75" width="18.28515625" style="112" bestFit="1" customWidth="1"/>
    <col min="76" max="76" width="15.42578125" style="112" bestFit="1" customWidth="1"/>
    <col min="77" max="77" width="15" style="112" bestFit="1" customWidth="1"/>
    <col min="78" max="78" width="14" style="112" bestFit="1" customWidth="1"/>
    <col min="79" max="207" width="11.42578125" style="112"/>
  </cols>
  <sheetData>
    <row r="1" spans="1:78" s="112" customFormat="1" x14ac:dyDescent="0.25">
      <c r="P1" s="312"/>
      <c r="V1" s="112" t="s">
        <v>13</v>
      </c>
      <c r="X1" s="112" t="s">
        <v>27</v>
      </c>
      <c r="AF1" s="112" t="s">
        <v>13</v>
      </c>
      <c r="AH1" s="112" t="s">
        <v>27</v>
      </c>
      <c r="AL1" s="312"/>
      <c r="AX1" s="312"/>
      <c r="BH1" s="312"/>
    </row>
    <row r="2" spans="1:78" ht="48" customHeight="1" x14ac:dyDescent="0.7">
      <c r="A2" s="508" t="s">
        <v>592</v>
      </c>
      <c r="B2" s="508"/>
      <c r="C2" s="508"/>
      <c r="D2" s="508"/>
      <c r="E2" s="508"/>
      <c r="F2" s="508"/>
      <c r="G2" s="508"/>
      <c r="H2" s="508"/>
      <c r="I2" s="508"/>
      <c r="J2" s="508"/>
      <c r="K2" s="508"/>
      <c r="L2" s="508"/>
      <c r="M2" s="508"/>
      <c r="N2" s="508"/>
      <c r="O2" s="316"/>
      <c r="P2" s="317"/>
      <c r="Q2" s="508" t="s">
        <v>593</v>
      </c>
      <c r="R2" s="508"/>
      <c r="S2" s="508"/>
      <c r="T2" s="508"/>
      <c r="U2" s="508"/>
      <c r="V2" s="508"/>
      <c r="W2" s="508"/>
      <c r="X2" s="508"/>
      <c r="Y2" s="508"/>
      <c r="Z2" s="508"/>
      <c r="AA2" s="508"/>
      <c r="AB2" s="508"/>
      <c r="AC2" s="508"/>
      <c r="AD2" s="508"/>
      <c r="AE2" s="508"/>
      <c r="AF2" s="508"/>
      <c r="AG2" s="508"/>
      <c r="AH2" s="508"/>
      <c r="AI2" s="508"/>
      <c r="AJ2" s="508"/>
      <c r="AK2" s="309"/>
      <c r="AL2" s="318"/>
      <c r="AM2" s="309"/>
      <c r="AN2" s="509" t="s">
        <v>594</v>
      </c>
      <c r="AO2" s="509"/>
      <c r="AP2" s="509"/>
      <c r="AQ2" s="509"/>
      <c r="AR2" s="509"/>
      <c r="AS2" s="509"/>
      <c r="AT2" s="509"/>
      <c r="AU2" s="509"/>
      <c r="AV2" s="509"/>
      <c r="AW2" s="112"/>
      <c r="AY2" s="112"/>
      <c r="AZ2" s="509" t="s">
        <v>595</v>
      </c>
      <c r="BA2" s="509"/>
      <c r="BB2" s="509"/>
      <c r="BC2" s="509"/>
      <c r="BD2" s="509"/>
      <c r="BE2" s="509"/>
      <c r="BF2" s="509"/>
      <c r="BG2" s="112"/>
      <c r="BI2" s="112"/>
      <c r="BJ2" s="112"/>
      <c r="BK2" s="112"/>
      <c r="BL2" s="112"/>
    </row>
    <row r="3" spans="1:78" x14ac:dyDescent="0.25"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N3" s="112"/>
      <c r="AO3" s="112"/>
      <c r="AP3" s="112"/>
      <c r="AQ3" s="112"/>
      <c r="AR3" s="112"/>
      <c r="AS3" s="112"/>
      <c r="AT3" s="112"/>
      <c r="AU3" s="112"/>
      <c r="AV3" s="112"/>
      <c r="AW3" s="112"/>
      <c r="AY3" s="112"/>
      <c r="AZ3" s="112"/>
      <c r="BA3" s="112"/>
      <c r="BB3" s="112"/>
      <c r="BC3" s="112"/>
      <c r="BD3" s="112"/>
      <c r="BE3" s="112"/>
      <c r="BF3" s="112"/>
      <c r="BG3" s="112"/>
      <c r="BI3" s="112"/>
      <c r="BJ3" s="112"/>
      <c r="BK3" s="112"/>
      <c r="BL3" s="112"/>
    </row>
    <row r="4" spans="1:78" ht="15.75" x14ac:dyDescent="0.3">
      <c r="A4" s="257"/>
      <c r="Q4" s="112"/>
      <c r="R4" s="510" t="s">
        <v>596</v>
      </c>
      <c r="S4" s="510"/>
      <c r="T4" s="510"/>
      <c r="U4" s="510"/>
      <c r="V4" s="510"/>
      <c r="W4" s="510"/>
      <c r="X4" s="510"/>
      <c r="Y4" s="510"/>
      <c r="Z4" s="510"/>
      <c r="AA4" s="510"/>
      <c r="AB4" s="112"/>
      <c r="AC4" s="510" t="s">
        <v>597</v>
      </c>
      <c r="AD4" s="510"/>
      <c r="AE4" s="510"/>
      <c r="AF4" s="510"/>
      <c r="AG4" s="510"/>
      <c r="AH4" s="510"/>
      <c r="AI4" s="510"/>
      <c r="AJ4" s="510"/>
      <c r="AK4" s="302"/>
      <c r="AL4" s="319"/>
      <c r="AM4" s="302"/>
      <c r="AN4" s="305" t="s">
        <v>383</v>
      </c>
      <c r="AO4" s="305" t="s">
        <v>384</v>
      </c>
      <c r="AP4" s="305" t="s">
        <v>385</v>
      </c>
      <c r="AQ4" s="305" t="s">
        <v>386</v>
      </c>
      <c r="AR4" s="305" t="s">
        <v>456</v>
      </c>
      <c r="AS4" s="305" t="s">
        <v>458</v>
      </c>
      <c r="AT4" s="305" t="s">
        <v>460</v>
      </c>
      <c r="AU4" s="305" t="s">
        <v>461</v>
      </c>
      <c r="AV4" s="305" t="s">
        <v>462</v>
      </c>
      <c r="AW4" s="112"/>
      <c r="AY4" s="112"/>
      <c r="AZ4" s="304" t="s">
        <v>329</v>
      </c>
      <c r="BA4" s="304" t="s">
        <v>562</v>
      </c>
      <c r="BB4" s="304" t="s">
        <v>563</v>
      </c>
      <c r="BC4" s="304" t="s">
        <v>567</v>
      </c>
      <c r="BD4" s="304" t="s">
        <v>568</v>
      </c>
      <c r="BE4" s="304" t="s">
        <v>570</v>
      </c>
      <c r="BF4" s="304" t="s">
        <v>572</v>
      </c>
      <c r="BG4" s="112"/>
      <c r="BH4" s="426" t="s">
        <v>383</v>
      </c>
      <c r="BI4" s="426" t="s">
        <v>384</v>
      </c>
      <c r="BJ4" s="426" t="s">
        <v>385</v>
      </c>
      <c r="BK4" s="426" t="s">
        <v>386</v>
      </c>
      <c r="BL4" s="426" t="s">
        <v>456</v>
      </c>
      <c r="BM4" s="426" t="s">
        <v>458</v>
      </c>
      <c r="BN4" s="426" t="s">
        <v>460</v>
      </c>
      <c r="BO4" s="426" t="s">
        <v>461</v>
      </c>
      <c r="BP4" s="426" t="s">
        <v>462</v>
      </c>
      <c r="BT4" s="427" t="s">
        <v>329</v>
      </c>
      <c r="BU4" s="427" t="s">
        <v>562</v>
      </c>
      <c r="BV4" s="427" t="s">
        <v>563</v>
      </c>
      <c r="BW4" s="427" t="s">
        <v>567</v>
      </c>
      <c r="BX4" s="427" t="s">
        <v>568</v>
      </c>
      <c r="BY4" s="427" t="s">
        <v>570</v>
      </c>
      <c r="BZ4" s="427" t="s">
        <v>572</v>
      </c>
    </row>
    <row r="5" spans="1:78" x14ac:dyDescent="0.25">
      <c r="A5" s="257"/>
      <c r="Q5" s="112"/>
      <c r="R5" s="112"/>
      <c r="S5" s="112"/>
      <c r="T5" s="112"/>
      <c r="U5" s="112"/>
      <c r="V5" s="280" t="s">
        <v>13</v>
      </c>
      <c r="W5" s="280"/>
      <c r="X5" s="257" t="s">
        <v>27</v>
      </c>
      <c r="Y5" s="112"/>
      <c r="Z5" s="112"/>
      <c r="AA5" s="112"/>
      <c r="AB5" s="112"/>
      <c r="AC5" s="112"/>
      <c r="AD5" s="112"/>
      <c r="AE5" s="112"/>
      <c r="AF5" s="280" t="s">
        <v>13</v>
      </c>
      <c r="AG5" s="280"/>
      <c r="AH5" s="280" t="s">
        <v>27</v>
      </c>
      <c r="AI5" s="280"/>
      <c r="AJ5" s="112"/>
      <c r="AN5" s="291" t="s">
        <v>598</v>
      </c>
      <c r="AO5" s="292">
        <v>45422</v>
      </c>
      <c r="AP5" s="293">
        <v>300</v>
      </c>
      <c r="AQ5" s="291">
        <v>25</v>
      </c>
      <c r="AR5" s="293">
        <v>100</v>
      </c>
      <c r="AS5" s="294">
        <v>0.25</v>
      </c>
      <c r="AT5" s="293">
        <v>25</v>
      </c>
      <c r="AU5" s="294" t="s">
        <v>60</v>
      </c>
      <c r="AV5" s="293">
        <v>0</v>
      </c>
      <c r="AW5" s="112"/>
      <c r="AY5" s="112"/>
      <c r="AZ5" s="291" t="s">
        <v>599</v>
      </c>
      <c r="BA5" s="291" t="s">
        <v>600</v>
      </c>
      <c r="BB5" s="291"/>
      <c r="BC5" s="292">
        <v>12</v>
      </c>
      <c r="BD5" s="292">
        <v>15</v>
      </c>
      <c r="BE5" s="295">
        <v>1000</v>
      </c>
      <c r="BF5" s="295">
        <v>0</v>
      </c>
      <c r="BG5" s="112"/>
      <c r="BI5" s="112"/>
      <c r="BJ5" s="112"/>
      <c r="BK5" s="112"/>
      <c r="BL5" s="112"/>
    </row>
    <row r="6" spans="1:78" ht="49.5" x14ac:dyDescent="0.25">
      <c r="A6" s="257"/>
      <c r="Q6" s="112"/>
      <c r="R6" s="313" t="s">
        <v>367</v>
      </c>
      <c r="S6" s="237" t="s">
        <v>368</v>
      </c>
      <c r="T6" s="237" t="s">
        <v>369</v>
      </c>
      <c r="U6" s="238" t="s">
        <v>489</v>
      </c>
      <c r="V6" s="238" t="str">
        <f>'REP cout'!B4</f>
        <v>Opération 1</v>
      </c>
      <c r="W6" s="238" t="str">
        <f>VALO_PERSO!AA4</f>
        <v>Heures éligibles au CIR</v>
      </c>
      <c r="X6" s="238" t="str">
        <f>VALO_PERSO!AD4</f>
        <v>Projet 1</v>
      </c>
      <c r="Y6" s="238" t="str">
        <f>VALO_PERSO!AF4</f>
        <v>Heures éligibles au CII</v>
      </c>
      <c r="Z6" s="238" t="s">
        <v>601</v>
      </c>
      <c r="AA6" s="238" t="s">
        <v>472</v>
      </c>
      <c r="AB6" s="112"/>
      <c r="AC6" s="237" t="s">
        <v>367</v>
      </c>
      <c r="AD6" s="237" t="s">
        <v>368</v>
      </c>
      <c r="AE6" s="237" t="s">
        <v>369</v>
      </c>
      <c r="AF6" s="237" t="str">
        <f>'REP cout'!B4</f>
        <v>Opération 1</v>
      </c>
      <c r="AG6" s="237" t="str">
        <f>VALO_PERSO!AP4</f>
        <v>Dépenses éligibles au CIR</v>
      </c>
      <c r="AH6" s="244" t="str">
        <f>VALO_PERSO!AR4</f>
        <v>Projet 1</v>
      </c>
      <c r="AI6" s="244" t="str">
        <f>VALO_PERSO!AT4</f>
        <v>Dépenses éligibles au CII</v>
      </c>
      <c r="AJ6" s="238" t="s">
        <v>602</v>
      </c>
      <c r="AK6" s="310"/>
      <c r="AL6" s="307"/>
      <c r="AM6" s="310"/>
      <c r="AN6" s="112"/>
      <c r="AO6" s="112"/>
      <c r="AP6" s="112"/>
      <c r="AQ6" s="112"/>
      <c r="AR6" s="112"/>
      <c r="AS6" s="112"/>
      <c r="AT6" s="112"/>
      <c r="AU6" s="112"/>
      <c r="AV6" s="112"/>
      <c r="AW6" s="112"/>
      <c r="AY6" s="112"/>
      <c r="AZ6" s="112"/>
      <c r="BA6" s="112"/>
      <c r="BB6" s="112"/>
      <c r="BC6" s="112"/>
      <c r="BD6" s="112"/>
      <c r="BE6" s="112"/>
      <c r="BF6" s="112"/>
      <c r="BG6" s="112"/>
      <c r="BI6" s="112"/>
      <c r="BJ6" s="112"/>
      <c r="BK6" s="112"/>
      <c r="BL6" s="112"/>
    </row>
    <row r="7" spans="1:78" x14ac:dyDescent="0.25">
      <c r="Q7" s="112" t="s">
        <v>816</v>
      </c>
      <c r="R7" s="314" t="str">
        <f>VALO_PERSO!G5</f>
        <v>PY</v>
      </c>
      <c r="S7" s="239" t="str">
        <f>VALO_PERSO!H5</f>
        <v>Elodie</v>
      </c>
      <c r="T7" s="239" t="str">
        <f>VALO_PERSO!I5</f>
        <v>UX DESIGNER</v>
      </c>
      <c r="U7" s="240">
        <f>VALO_PERSO!W5</f>
        <v>1680</v>
      </c>
      <c r="V7" s="240">
        <f>VALO_PERSO!Y5</f>
        <v>0</v>
      </c>
      <c r="W7" s="240">
        <f>VALO_PERSO!AA5</f>
        <v>0</v>
      </c>
      <c r="X7" s="240">
        <f>VALO_PERSO!AD5</f>
        <v>1131</v>
      </c>
      <c r="Y7" s="240">
        <f>VALO_PERSO!AF5</f>
        <v>1131</v>
      </c>
      <c r="Z7" s="240">
        <f t="shared" ref="Z7:Z24" si="0">W7+Y7</f>
        <v>1131</v>
      </c>
      <c r="AA7" s="254" t="e">
        <f t="shared" ref="AA7:AA24" si="1">W7/$W$25</f>
        <v>#REF!</v>
      </c>
      <c r="AB7" s="112"/>
      <c r="AC7" s="239" t="str">
        <f>VALO_PERSO!G5</f>
        <v>PY</v>
      </c>
      <c r="AD7" s="239" t="str">
        <f>VALO_PERSO!H5</f>
        <v>Elodie</v>
      </c>
      <c r="AE7" s="239" t="str">
        <f>VALO_PERSO!I5</f>
        <v>UX DESIGNER</v>
      </c>
      <c r="AF7" s="240">
        <f>VALO_PERSO!AN5</f>
        <v>0</v>
      </c>
      <c r="AG7" s="240">
        <f>VALO_PERSO!AP5</f>
        <v>0</v>
      </c>
      <c r="AH7" s="243">
        <f>VALO_PERSO!AR5</f>
        <v>55565.087500000001</v>
      </c>
      <c r="AI7" s="243">
        <f>VALO_PERSO!AT5</f>
        <v>55565.087500000001</v>
      </c>
      <c r="AJ7" s="240">
        <f>AG7+AI7</f>
        <v>55565.087500000001</v>
      </c>
      <c r="AK7" s="242"/>
      <c r="AL7" s="320"/>
      <c r="AM7" s="24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Y7" s="112"/>
      <c r="AZ7" s="112"/>
      <c r="BA7" s="112"/>
      <c r="BB7" s="112"/>
      <c r="BC7" s="112"/>
      <c r="BD7" s="112"/>
      <c r="BE7" s="112"/>
      <c r="BF7" s="112"/>
      <c r="BG7" s="112"/>
      <c r="BI7" s="112"/>
      <c r="BJ7" s="112"/>
      <c r="BK7" s="112"/>
      <c r="BL7" s="112"/>
    </row>
    <row r="8" spans="1:78" x14ac:dyDescent="0.25">
      <c r="Q8" s="112"/>
      <c r="R8" s="314" t="str">
        <f>VALO_PERSO!G6</f>
        <v>GASPERIN</v>
      </c>
      <c r="S8" s="239" t="str">
        <f>VALO_PERSO!H6</f>
        <v>Anthony</v>
      </c>
      <c r="T8" s="239" t="str">
        <f>VALO_PERSO!I6</f>
        <v>Lead Developer</v>
      </c>
      <c r="U8" s="240">
        <f>VALO_PERSO!W6</f>
        <v>1728</v>
      </c>
      <c r="V8" s="240">
        <f>VALO_PERSO!Y6</f>
        <v>0</v>
      </c>
      <c r="W8" s="240">
        <f>VALO_PERSO!AA6</f>
        <v>0</v>
      </c>
      <c r="X8" s="240">
        <f>VALO_PERSO!AD6</f>
        <v>693</v>
      </c>
      <c r="Y8" s="240">
        <f>VALO_PERSO!AF6</f>
        <v>693</v>
      </c>
      <c r="Z8" s="240">
        <f t="shared" si="0"/>
        <v>693</v>
      </c>
      <c r="AA8" s="254" t="e">
        <f t="shared" si="1"/>
        <v>#REF!</v>
      </c>
      <c r="AB8" s="112"/>
      <c r="AC8" s="239" t="str">
        <f>VALO_PERSO!G6</f>
        <v>GASPERIN</v>
      </c>
      <c r="AD8" s="239" t="str">
        <f>VALO_PERSO!H6</f>
        <v>Anthony</v>
      </c>
      <c r="AE8" s="239" t="str">
        <f>VALO_PERSO!I6</f>
        <v>Lead Developer</v>
      </c>
      <c r="AF8" s="240">
        <f>VALO_PERSO!AN6</f>
        <v>0</v>
      </c>
      <c r="AG8" s="240">
        <f>VALO_PERSO!AP6</f>
        <v>0</v>
      </c>
      <c r="AH8" s="243">
        <f>VALO_PERSO!AR6</f>
        <v>39889.585312499999</v>
      </c>
      <c r="AI8" s="243">
        <f>VALO_PERSO!AT6</f>
        <v>39889.585312499999</v>
      </c>
      <c r="AJ8" s="240">
        <f t="shared" ref="AJ8:AJ24" si="2">AG8+AI8</f>
        <v>39889.585312499999</v>
      </c>
      <c r="AK8" s="242"/>
      <c r="AL8" s="320"/>
      <c r="AM8" s="242"/>
      <c r="AN8" s="112"/>
      <c r="AO8" s="112"/>
      <c r="AP8" s="112"/>
      <c r="AQ8" s="112"/>
      <c r="AR8" s="112"/>
      <c r="AS8" s="112"/>
      <c r="AT8" s="112"/>
      <c r="AU8" s="112"/>
      <c r="AV8" s="112"/>
      <c r="AW8" s="112"/>
      <c r="AY8" s="112"/>
      <c r="AZ8" s="112"/>
      <c r="BA8" s="112"/>
      <c r="BB8" s="112"/>
      <c r="BC8" s="112"/>
      <c r="BD8" s="112"/>
      <c r="BE8" s="112"/>
      <c r="BF8" s="112"/>
      <c r="BG8" s="112"/>
      <c r="BI8" s="112"/>
      <c r="BJ8" s="112"/>
      <c r="BK8" s="112"/>
      <c r="BL8" s="112"/>
    </row>
    <row r="9" spans="1:78" x14ac:dyDescent="0.25">
      <c r="Q9" s="112"/>
      <c r="R9" s="314" t="str">
        <f>VALO_PERSO!G7</f>
        <v>LA CORTE</v>
      </c>
      <c r="S9" s="239" t="str">
        <f>VALO_PERSO!H7</f>
        <v>Matias</v>
      </c>
      <c r="T9" s="239" t="str">
        <f>VALO_PERSO!I7</f>
        <v>Apprenti</v>
      </c>
      <c r="U9" s="240">
        <f>VALO_PERSO!W7</f>
        <v>1040.69</v>
      </c>
      <c r="V9" s="240">
        <f>VALO_PERSO!Y7</f>
        <v>0</v>
      </c>
      <c r="W9" s="240">
        <f>VALO_PERSO!AA7</f>
        <v>0</v>
      </c>
      <c r="X9" s="240">
        <f>VALO_PERSO!AD7</f>
        <v>221</v>
      </c>
      <c r="Y9" s="240">
        <f>VALO_PERSO!AF7</f>
        <v>221</v>
      </c>
      <c r="Z9" s="240">
        <f t="shared" si="0"/>
        <v>221</v>
      </c>
      <c r="AA9" s="254" t="e">
        <f t="shared" si="1"/>
        <v>#REF!</v>
      </c>
      <c r="AB9" s="112"/>
      <c r="AC9" s="239" t="str">
        <f>VALO_PERSO!G7</f>
        <v>LA CORTE</v>
      </c>
      <c r="AD9" s="239" t="str">
        <f>VALO_PERSO!H7</f>
        <v>Matias</v>
      </c>
      <c r="AE9" s="239" t="str">
        <f>VALO_PERSO!I7</f>
        <v>Apprenti</v>
      </c>
      <c r="AF9" s="240">
        <f>VALO_PERSO!AN7</f>
        <v>0</v>
      </c>
      <c r="AG9" s="240">
        <f>VALO_PERSO!AP7</f>
        <v>0</v>
      </c>
      <c r="AH9" s="243">
        <f>VALO_PERSO!AR7</f>
        <v>2604.9603340091667</v>
      </c>
      <c r="AI9" s="243">
        <f>VALO_PERSO!AT7</f>
        <v>2604.9603340091667</v>
      </c>
      <c r="AJ9" s="240">
        <f t="shared" si="2"/>
        <v>2604.9603340091667</v>
      </c>
      <c r="AK9" s="242"/>
      <c r="AL9" s="320"/>
      <c r="AM9" s="24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Y9" s="112"/>
      <c r="AZ9" s="112"/>
      <c r="BA9" s="112"/>
      <c r="BB9" s="112"/>
      <c r="BC9" s="112"/>
      <c r="BD9" s="112"/>
      <c r="BE9" s="112"/>
      <c r="BF9" s="112"/>
      <c r="BG9" s="112"/>
      <c r="BI9" s="112"/>
      <c r="BJ9" s="112"/>
      <c r="BK9" s="112"/>
      <c r="BL9" s="112"/>
    </row>
    <row r="10" spans="1:78" x14ac:dyDescent="0.25">
      <c r="Q10" s="112"/>
      <c r="R10" s="314" t="str">
        <f>VALO_PERSO!G8</f>
        <v>WIRTH</v>
      </c>
      <c r="S10" s="239" t="str">
        <f>VALO_PERSO!H8</f>
        <v>Romain</v>
      </c>
      <c r="T10" s="239" t="str">
        <f>VALO_PERSO!I8</f>
        <v>Développeur Full Stack</v>
      </c>
      <c r="U10" s="240">
        <f>VALO_PERSO!W8</f>
        <v>1704</v>
      </c>
      <c r="V10" s="240">
        <f>VALO_PERSO!Y8</f>
        <v>0</v>
      </c>
      <c r="W10" s="240">
        <f>VALO_PERSO!AA8</f>
        <v>0</v>
      </c>
      <c r="X10" s="240">
        <f>VALO_PERSO!AD8</f>
        <v>853</v>
      </c>
      <c r="Y10" s="240">
        <f>VALO_PERSO!AF8</f>
        <v>853</v>
      </c>
      <c r="Z10" s="240">
        <f t="shared" si="0"/>
        <v>853</v>
      </c>
      <c r="AA10" s="254" t="e">
        <f t="shared" si="1"/>
        <v>#REF!</v>
      </c>
      <c r="AB10" s="112"/>
      <c r="AC10" s="239" t="str">
        <f>VALO_PERSO!G8</f>
        <v>WIRTH</v>
      </c>
      <c r="AD10" s="239" t="str">
        <f>VALO_PERSO!H8</f>
        <v>Romain</v>
      </c>
      <c r="AE10" s="239" t="str">
        <f>VALO_PERSO!I8</f>
        <v>Développeur Full Stack</v>
      </c>
      <c r="AF10" s="240">
        <f>VALO_PERSO!AN8</f>
        <v>0</v>
      </c>
      <c r="AG10" s="240">
        <f>VALO_PERSO!AP8</f>
        <v>0</v>
      </c>
      <c r="AH10" s="243">
        <f>VALO_PERSO!AR8</f>
        <v>24951.65164319249</v>
      </c>
      <c r="AI10" s="243">
        <f>VALO_PERSO!AT8</f>
        <v>24951.65164319249</v>
      </c>
      <c r="AJ10" s="240">
        <f t="shared" si="2"/>
        <v>24951.65164319249</v>
      </c>
      <c r="AK10" s="242"/>
      <c r="AL10" s="320"/>
      <c r="AM10" s="242"/>
      <c r="AN10" s="112"/>
      <c r="AO10" s="112"/>
      <c r="AP10" s="112"/>
      <c r="AQ10" s="112"/>
      <c r="AR10" s="112"/>
      <c r="AS10" s="112"/>
      <c r="AT10" s="112"/>
      <c r="AU10" s="112"/>
      <c r="AV10" s="112"/>
      <c r="AW10" s="112"/>
      <c r="AY10" s="112"/>
      <c r="AZ10" s="112"/>
      <c r="BA10" s="112"/>
      <c r="BB10" s="112"/>
      <c r="BC10" s="112"/>
      <c r="BD10" s="112"/>
      <c r="BE10" s="112"/>
      <c r="BF10" s="112"/>
      <c r="BG10" s="112"/>
      <c r="BI10" s="112"/>
      <c r="BJ10" s="112"/>
      <c r="BK10" s="112"/>
      <c r="BL10" s="112"/>
    </row>
    <row r="11" spans="1:78" x14ac:dyDescent="0.25">
      <c r="Q11" s="112"/>
      <c r="R11" s="314" t="str">
        <f>VALO_PERSO!G9</f>
        <v>CILES</v>
      </c>
      <c r="S11" s="239" t="str">
        <f>VALO_PERSO!H9</f>
        <v>Grégoire</v>
      </c>
      <c r="T11" s="239" t="str">
        <f>VALO_PERSO!I9</f>
        <v>Développeur Full Stack</v>
      </c>
      <c r="U11" s="240">
        <f>VALO_PERSO!W9</f>
        <v>1824</v>
      </c>
      <c r="V11" s="240">
        <f>VALO_PERSO!Y9</f>
        <v>0</v>
      </c>
      <c r="W11" s="240">
        <f>VALO_PERSO!AA9</f>
        <v>0</v>
      </c>
      <c r="X11" s="240">
        <f>VALO_PERSO!AD9</f>
        <v>868</v>
      </c>
      <c r="Y11" s="240">
        <f>VALO_PERSO!AF9</f>
        <v>868</v>
      </c>
      <c r="Z11" s="240">
        <f t="shared" si="0"/>
        <v>868</v>
      </c>
      <c r="AA11" s="254" t="e">
        <f t="shared" si="1"/>
        <v>#REF!</v>
      </c>
      <c r="AB11" s="112"/>
      <c r="AC11" s="239" t="str">
        <f>VALO_PERSO!G9</f>
        <v>CILES</v>
      </c>
      <c r="AD11" s="239" t="str">
        <f>VALO_PERSO!H9</f>
        <v>Grégoire</v>
      </c>
      <c r="AE11" s="239" t="str">
        <f>VALO_PERSO!I9</f>
        <v>Développeur Full Stack</v>
      </c>
      <c r="AF11" s="240">
        <f>VALO_PERSO!AN9</f>
        <v>0</v>
      </c>
      <c r="AG11" s="240">
        <f>VALO_PERSO!AP9</f>
        <v>0</v>
      </c>
      <c r="AH11" s="243">
        <f>VALO_PERSO!AR9</f>
        <v>26567.709736842102</v>
      </c>
      <c r="AI11" s="243">
        <f>VALO_PERSO!AT9</f>
        <v>26567.709736842102</v>
      </c>
      <c r="AJ11" s="240">
        <f t="shared" si="2"/>
        <v>26567.709736842102</v>
      </c>
      <c r="AK11" s="242"/>
      <c r="AL11" s="320"/>
      <c r="AM11" s="242"/>
      <c r="AN11" s="112"/>
      <c r="AO11" s="112"/>
      <c r="AP11" s="112"/>
      <c r="AQ11" s="112"/>
      <c r="AR11" s="112"/>
      <c r="AS11" s="112"/>
      <c r="AT11" s="112"/>
      <c r="AU11" s="112"/>
      <c r="AV11" s="112"/>
      <c r="AW11" s="112"/>
      <c r="AY11" s="112"/>
      <c r="AZ11" s="112"/>
      <c r="BA11" s="112"/>
      <c r="BB11" s="112"/>
      <c r="BC11" s="112"/>
      <c r="BD11" s="112"/>
      <c r="BE11" s="112"/>
      <c r="BF11" s="112"/>
      <c r="BG11" s="112"/>
      <c r="BI11" s="112"/>
      <c r="BJ11" s="112"/>
      <c r="BK11" s="112"/>
      <c r="BL11" s="112"/>
    </row>
    <row r="12" spans="1:78" x14ac:dyDescent="0.25">
      <c r="Q12" s="112"/>
      <c r="R12" s="314" t="str">
        <f>VALO_PERSO!G10</f>
        <v>RALANTOARISON</v>
      </c>
      <c r="S12" s="239" t="str">
        <f>VALO_PERSO!H10</f>
        <v>Osée</v>
      </c>
      <c r="T12" s="239" t="str">
        <f>VALO_PERSO!I10</f>
        <v>Développeur Full Stack</v>
      </c>
      <c r="U12" s="240">
        <f>VALO_PERSO!W10</f>
        <v>1776</v>
      </c>
      <c r="V12" s="240">
        <f>VALO_PERSO!Y10</f>
        <v>0</v>
      </c>
      <c r="W12" s="240">
        <f>VALO_PERSO!AA10</f>
        <v>0</v>
      </c>
      <c r="X12" s="240">
        <f>VALO_PERSO!AD10</f>
        <v>145</v>
      </c>
      <c r="Y12" s="240">
        <f>VALO_PERSO!AF10</f>
        <v>145</v>
      </c>
      <c r="Z12" s="240">
        <f t="shared" si="0"/>
        <v>145</v>
      </c>
      <c r="AA12" s="254" t="e">
        <f t="shared" si="1"/>
        <v>#REF!</v>
      </c>
      <c r="AB12" s="112"/>
      <c r="AC12" s="239" t="str">
        <f>VALO_PERSO!G10</f>
        <v>RALANTOARISON</v>
      </c>
      <c r="AD12" s="239" t="str">
        <f>VALO_PERSO!H10</f>
        <v>Osée</v>
      </c>
      <c r="AE12" s="239" t="str">
        <f>VALO_PERSO!I10</f>
        <v>Développeur Full Stack</v>
      </c>
      <c r="AF12" s="240">
        <f>VALO_PERSO!AN10</f>
        <v>0</v>
      </c>
      <c r="AG12" s="240">
        <f>VALO_PERSO!AP10</f>
        <v>0</v>
      </c>
      <c r="AH12" s="243">
        <f>VALO_PERSO!AR10</f>
        <v>4522.805546171171</v>
      </c>
      <c r="AI12" s="243">
        <f>VALO_PERSO!AT10</f>
        <v>4522.805546171171</v>
      </c>
      <c r="AJ12" s="240">
        <f t="shared" si="2"/>
        <v>4522.805546171171</v>
      </c>
      <c r="AK12" s="242"/>
      <c r="AL12" s="320"/>
      <c r="AM12" s="24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Y12" s="112"/>
      <c r="AZ12" s="112"/>
      <c r="BA12" s="112"/>
      <c r="BB12" s="112"/>
      <c r="BC12" s="112"/>
      <c r="BD12" s="112"/>
      <c r="BE12" s="112"/>
      <c r="BF12" s="112"/>
      <c r="BG12" s="112"/>
      <c r="BI12" s="112"/>
      <c r="BJ12" s="112"/>
      <c r="BK12" s="112"/>
      <c r="BL12" s="112"/>
    </row>
    <row r="13" spans="1:78" x14ac:dyDescent="0.25">
      <c r="Q13" s="112"/>
      <c r="R13" s="314" t="str">
        <f>VALO_PERSO!G11</f>
        <v>KANDIAH</v>
      </c>
      <c r="S13" s="239" t="str">
        <f>VALO_PERSO!H11</f>
        <v>Corrège</v>
      </c>
      <c r="T13" s="239" t="str">
        <f>VALO_PERSO!I11</f>
        <v>Apprenti</v>
      </c>
      <c r="U13" s="240">
        <f>VALO_PERSO!W11</f>
        <v>546.01</v>
      </c>
      <c r="V13" s="240">
        <f>VALO_PERSO!Y11</f>
        <v>0</v>
      </c>
      <c r="W13" s="240">
        <f>VALO_PERSO!AA11</f>
        <v>0</v>
      </c>
      <c r="X13" s="240">
        <f>VALO_PERSO!AD11</f>
        <v>434</v>
      </c>
      <c r="Y13" s="240">
        <f>VALO_PERSO!AF11</f>
        <v>434</v>
      </c>
      <c r="Z13" s="240">
        <f t="shared" si="0"/>
        <v>434</v>
      </c>
      <c r="AA13" s="254" t="e">
        <f t="shared" si="1"/>
        <v>#REF!</v>
      </c>
      <c r="AB13" s="112"/>
      <c r="AC13" s="239" t="str">
        <f>VALO_PERSO!G11</f>
        <v>KANDIAH</v>
      </c>
      <c r="AD13" s="239" t="str">
        <f>VALO_PERSO!H11</f>
        <v>Corrège</v>
      </c>
      <c r="AE13" s="239" t="str">
        <f>VALO_PERSO!I11</f>
        <v>Apprenti</v>
      </c>
      <c r="AF13" s="240">
        <f>VALO_PERSO!AN11</f>
        <v>0</v>
      </c>
      <c r="AG13" s="240">
        <f>VALO_PERSO!AP11</f>
        <v>0</v>
      </c>
      <c r="AH13" s="243">
        <f>VALO_PERSO!AR11</f>
        <v>3028.8670903463308</v>
      </c>
      <c r="AI13" s="243">
        <f>VALO_PERSO!AT11</f>
        <v>3028.8670903463308</v>
      </c>
      <c r="AJ13" s="240">
        <f t="shared" si="2"/>
        <v>3028.8670903463308</v>
      </c>
      <c r="AK13" s="242"/>
      <c r="AL13" s="320"/>
      <c r="AM13" s="242"/>
      <c r="AN13" s="112"/>
      <c r="AO13" s="112"/>
      <c r="AP13" s="112"/>
      <c r="AQ13" s="112"/>
      <c r="AR13" s="112"/>
      <c r="AS13" s="112"/>
      <c r="AT13" s="112"/>
      <c r="AU13" s="112"/>
      <c r="AV13" s="112"/>
      <c r="AW13" s="112"/>
      <c r="AY13" s="112"/>
      <c r="AZ13" s="112"/>
      <c r="BA13" s="112"/>
      <c r="BB13" s="112"/>
      <c r="BC13" s="112"/>
      <c r="BD13" s="112"/>
      <c r="BE13" s="112"/>
      <c r="BF13" s="112"/>
      <c r="BG13" s="112"/>
      <c r="BI13" s="112"/>
      <c r="BJ13" s="112"/>
      <c r="BK13" s="112"/>
      <c r="BL13" s="112"/>
    </row>
    <row r="14" spans="1:78" x14ac:dyDescent="0.25">
      <c r="R14" s="314" t="e">
        <f>VALO_PERSO!#REF!</f>
        <v>#REF!</v>
      </c>
      <c r="S14" s="239" t="e">
        <f>VALO_PERSO!#REF!</f>
        <v>#REF!</v>
      </c>
      <c r="T14" s="239" t="e">
        <f>VALO_PERSO!#REF!</f>
        <v>#REF!</v>
      </c>
      <c r="U14" s="240" t="e">
        <f>VALO_PERSO!#REF!</f>
        <v>#REF!</v>
      </c>
      <c r="V14" s="240" t="e">
        <f>VALO_PERSO!#REF!</f>
        <v>#REF!</v>
      </c>
      <c r="W14" s="240" t="e">
        <f>VALO_PERSO!#REF!</f>
        <v>#REF!</v>
      </c>
      <c r="X14" s="240" t="e">
        <f>VALO_PERSO!#REF!</f>
        <v>#REF!</v>
      </c>
      <c r="Y14" s="240" t="e">
        <f>VALO_PERSO!#REF!</f>
        <v>#REF!</v>
      </c>
      <c r="Z14" s="240" t="e">
        <f t="shared" si="0"/>
        <v>#REF!</v>
      </c>
      <c r="AA14" s="254" t="e">
        <f t="shared" si="1"/>
        <v>#REF!</v>
      </c>
      <c r="AB14" s="112"/>
      <c r="AC14" s="239" t="e">
        <f>VALO_PERSO!#REF!</f>
        <v>#REF!</v>
      </c>
      <c r="AD14" s="239" t="e">
        <f>VALO_PERSO!#REF!</f>
        <v>#REF!</v>
      </c>
      <c r="AE14" s="239" t="e">
        <f>VALO_PERSO!#REF!</f>
        <v>#REF!</v>
      </c>
      <c r="AF14" s="240" t="e">
        <f>VALO_PERSO!#REF!</f>
        <v>#REF!</v>
      </c>
      <c r="AG14" s="240" t="e">
        <f>VALO_PERSO!#REF!</f>
        <v>#REF!</v>
      </c>
      <c r="AH14" s="243" t="e">
        <f>VALO_PERSO!#REF!</f>
        <v>#REF!</v>
      </c>
      <c r="AI14" s="243" t="e">
        <f>VALO_PERSO!#REF!</f>
        <v>#REF!</v>
      </c>
      <c r="AJ14" s="240" t="e">
        <f t="shared" si="2"/>
        <v>#REF!</v>
      </c>
      <c r="AK14" s="242"/>
      <c r="AL14" s="320"/>
      <c r="AM14" s="242"/>
      <c r="AN14" s="112"/>
      <c r="AO14" s="112"/>
      <c r="AP14" s="112"/>
      <c r="AQ14" s="112"/>
      <c r="AR14" s="112"/>
      <c r="AS14" s="112"/>
      <c r="AT14" s="112"/>
      <c r="AU14" s="112"/>
      <c r="AV14" s="112"/>
      <c r="AW14" s="112"/>
      <c r="AY14" s="112"/>
      <c r="AZ14" s="112"/>
      <c r="BA14" s="112"/>
      <c r="BB14" s="112"/>
      <c r="BC14" s="112"/>
      <c r="BD14" s="112"/>
      <c r="BE14" s="112"/>
      <c r="BF14" s="112"/>
      <c r="BG14" s="112"/>
      <c r="BI14" s="112"/>
      <c r="BJ14" s="112"/>
      <c r="BK14" s="112"/>
      <c r="BL14" s="112"/>
    </row>
    <row r="15" spans="1:78" x14ac:dyDescent="0.25">
      <c r="Q15" s="112"/>
      <c r="R15" s="314" t="e">
        <f>VALO_PERSO!#REF!</f>
        <v>#REF!</v>
      </c>
      <c r="S15" s="239" t="e">
        <f>VALO_PERSO!#REF!</f>
        <v>#REF!</v>
      </c>
      <c r="T15" s="239" t="e">
        <f>VALO_PERSO!#REF!</f>
        <v>#REF!</v>
      </c>
      <c r="U15" s="240" t="e">
        <f>VALO_PERSO!#REF!</f>
        <v>#REF!</v>
      </c>
      <c r="V15" s="240" t="e">
        <f>VALO_PERSO!#REF!</f>
        <v>#REF!</v>
      </c>
      <c r="W15" s="240" t="e">
        <f>VALO_PERSO!#REF!</f>
        <v>#REF!</v>
      </c>
      <c r="X15" s="240" t="e">
        <f>VALO_PERSO!#REF!</f>
        <v>#REF!</v>
      </c>
      <c r="Y15" s="240" t="e">
        <f>VALO_PERSO!#REF!</f>
        <v>#REF!</v>
      </c>
      <c r="Z15" s="240" t="e">
        <f t="shared" si="0"/>
        <v>#REF!</v>
      </c>
      <c r="AA15" s="254" t="e">
        <f t="shared" si="1"/>
        <v>#REF!</v>
      </c>
      <c r="AB15" s="112"/>
      <c r="AC15" s="239" t="e">
        <f>VALO_PERSO!#REF!</f>
        <v>#REF!</v>
      </c>
      <c r="AD15" s="239" t="e">
        <f>VALO_PERSO!#REF!</f>
        <v>#REF!</v>
      </c>
      <c r="AE15" s="239" t="e">
        <f>VALO_PERSO!#REF!</f>
        <v>#REF!</v>
      </c>
      <c r="AF15" s="240" t="e">
        <f>VALO_PERSO!#REF!</f>
        <v>#REF!</v>
      </c>
      <c r="AG15" s="240" t="e">
        <f>VALO_PERSO!#REF!</f>
        <v>#REF!</v>
      </c>
      <c r="AH15" s="243" t="e">
        <f>VALO_PERSO!#REF!</f>
        <v>#REF!</v>
      </c>
      <c r="AI15" s="243" t="e">
        <f>VALO_PERSO!#REF!</f>
        <v>#REF!</v>
      </c>
      <c r="AJ15" s="240" t="e">
        <f t="shared" si="2"/>
        <v>#REF!</v>
      </c>
      <c r="AK15" s="242"/>
      <c r="AL15" s="320"/>
      <c r="AM15" s="242"/>
      <c r="AN15" s="112"/>
      <c r="AO15" s="112"/>
      <c r="AP15" s="112"/>
      <c r="AQ15" s="112"/>
      <c r="AR15" s="112"/>
      <c r="AS15" s="112"/>
      <c r="AT15" s="112"/>
      <c r="AU15" s="112"/>
      <c r="AV15" s="112"/>
      <c r="AW15" s="112"/>
      <c r="AY15" s="112"/>
      <c r="AZ15" s="112"/>
      <c r="BA15" s="112"/>
      <c r="BB15" s="112"/>
      <c r="BC15" s="112"/>
      <c r="BD15" s="112"/>
      <c r="BE15" s="112"/>
      <c r="BF15" s="112"/>
      <c r="BG15" s="112"/>
      <c r="BI15" s="112"/>
      <c r="BJ15" s="112"/>
      <c r="BK15" s="112"/>
      <c r="BL15" s="112"/>
    </row>
    <row r="16" spans="1:78" x14ac:dyDescent="0.25">
      <c r="Q16" s="112"/>
      <c r="R16" s="314" t="e">
        <f>VALO_PERSO!#REF!</f>
        <v>#REF!</v>
      </c>
      <c r="S16" s="239" t="e">
        <f>VALO_PERSO!#REF!</f>
        <v>#REF!</v>
      </c>
      <c r="T16" s="239" t="e">
        <f>VALO_PERSO!#REF!</f>
        <v>#REF!</v>
      </c>
      <c r="U16" s="240" t="e">
        <f>VALO_PERSO!#REF!</f>
        <v>#REF!</v>
      </c>
      <c r="V16" s="240" t="e">
        <f>VALO_PERSO!#REF!</f>
        <v>#REF!</v>
      </c>
      <c r="W16" s="240" t="e">
        <f>VALO_PERSO!#REF!</f>
        <v>#REF!</v>
      </c>
      <c r="X16" s="240" t="e">
        <f>VALO_PERSO!#REF!</f>
        <v>#REF!</v>
      </c>
      <c r="Y16" s="240" t="e">
        <f>VALO_PERSO!#REF!</f>
        <v>#REF!</v>
      </c>
      <c r="Z16" s="240" t="e">
        <f t="shared" si="0"/>
        <v>#REF!</v>
      </c>
      <c r="AA16" s="254" t="e">
        <f t="shared" si="1"/>
        <v>#REF!</v>
      </c>
      <c r="AB16" s="112"/>
      <c r="AC16" s="239" t="e">
        <f>VALO_PERSO!#REF!</f>
        <v>#REF!</v>
      </c>
      <c r="AD16" s="239" t="e">
        <f>VALO_PERSO!#REF!</f>
        <v>#REF!</v>
      </c>
      <c r="AE16" s="239" t="e">
        <f>VALO_PERSO!#REF!</f>
        <v>#REF!</v>
      </c>
      <c r="AF16" s="240" t="e">
        <f>VALO_PERSO!#REF!</f>
        <v>#REF!</v>
      </c>
      <c r="AG16" s="240" t="e">
        <f>VALO_PERSO!#REF!</f>
        <v>#REF!</v>
      </c>
      <c r="AH16" s="243" t="e">
        <f>VALO_PERSO!#REF!</f>
        <v>#REF!</v>
      </c>
      <c r="AI16" s="243" t="e">
        <f>VALO_PERSO!#REF!</f>
        <v>#REF!</v>
      </c>
      <c r="AJ16" s="240" t="e">
        <f t="shared" si="2"/>
        <v>#REF!</v>
      </c>
      <c r="AK16" s="242"/>
      <c r="AL16" s="320"/>
      <c r="AM16" s="242"/>
      <c r="AN16" s="112"/>
      <c r="AO16" s="112"/>
      <c r="AP16" s="112"/>
      <c r="AQ16" s="112"/>
      <c r="AR16" s="112"/>
      <c r="AS16" s="112"/>
      <c r="AT16" s="112"/>
      <c r="AU16" s="112"/>
      <c r="AV16" s="112"/>
      <c r="AW16" s="112"/>
      <c r="AY16" s="112"/>
      <c r="AZ16" s="112"/>
      <c r="BA16" s="112"/>
      <c r="BB16" s="112"/>
      <c r="BC16" s="112"/>
      <c r="BD16" s="112"/>
      <c r="BE16" s="112"/>
      <c r="BF16" s="112"/>
      <c r="BG16" s="112"/>
      <c r="BI16" s="112"/>
      <c r="BJ16" s="112"/>
      <c r="BK16" s="112"/>
      <c r="BL16" s="112"/>
    </row>
    <row r="17" spans="1:64" x14ac:dyDescent="0.25">
      <c r="Q17" s="112"/>
      <c r="R17" s="314" t="e">
        <f>VALO_PERSO!#REF!</f>
        <v>#REF!</v>
      </c>
      <c r="S17" s="239" t="e">
        <f>VALO_PERSO!#REF!</f>
        <v>#REF!</v>
      </c>
      <c r="T17" s="239" t="e">
        <f>VALO_PERSO!#REF!</f>
        <v>#REF!</v>
      </c>
      <c r="U17" s="240" t="e">
        <f>VALO_PERSO!#REF!</f>
        <v>#REF!</v>
      </c>
      <c r="V17" s="240" t="e">
        <f>VALO_PERSO!#REF!</f>
        <v>#REF!</v>
      </c>
      <c r="W17" s="240" t="e">
        <f>VALO_PERSO!#REF!</f>
        <v>#REF!</v>
      </c>
      <c r="X17" s="240" t="e">
        <f>VALO_PERSO!#REF!</f>
        <v>#REF!</v>
      </c>
      <c r="Y17" s="240" t="e">
        <f>VALO_PERSO!#REF!</f>
        <v>#REF!</v>
      </c>
      <c r="Z17" s="240" t="e">
        <f t="shared" si="0"/>
        <v>#REF!</v>
      </c>
      <c r="AA17" s="254" t="e">
        <f t="shared" si="1"/>
        <v>#REF!</v>
      </c>
      <c r="AB17" s="112"/>
      <c r="AC17" s="239" t="e">
        <f>VALO_PERSO!#REF!</f>
        <v>#REF!</v>
      </c>
      <c r="AD17" s="239" t="e">
        <f>VALO_PERSO!#REF!</f>
        <v>#REF!</v>
      </c>
      <c r="AE17" s="239" t="e">
        <f>VALO_PERSO!#REF!</f>
        <v>#REF!</v>
      </c>
      <c r="AF17" s="240" t="e">
        <f>VALO_PERSO!#REF!</f>
        <v>#REF!</v>
      </c>
      <c r="AG17" s="240" t="e">
        <f>VALO_PERSO!#REF!</f>
        <v>#REF!</v>
      </c>
      <c r="AH17" s="243" t="e">
        <f>VALO_PERSO!#REF!</f>
        <v>#REF!</v>
      </c>
      <c r="AI17" s="243" t="e">
        <f>VALO_PERSO!#REF!</f>
        <v>#REF!</v>
      </c>
      <c r="AJ17" s="240" t="e">
        <f t="shared" si="2"/>
        <v>#REF!</v>
      </c>
      <c r="AK17" s="242"/>
      <c r="AL17" s="320"/>
      <c r="AM17" s="24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Y17" s="112"/>
      <c r="AZ17" s="112"/>
      <c r="BA17" s="112"/>
      <c r="BB17" s="112"/>
      <c r="BC17" s="112"/>
      <c r="BD17" s="112"/>
      <c r="BE17" s="112"/>
      <c r="BF17" s="112"/>
      <c r="BG17" s="112"/>
      <c r="BI17" s="112"/>
      <c r="BJ17" s="112"/>
      <c r="BK17" s="112"/>
      <c r="BL17" s="112"/>
    </row>
    <row r="18" spans="1:64" x14ac:dyDescent="0.25">
      <c r="Q18" s="112"/>
      <c r="R18" s="314" t="e">
        <f>VALO_PERSO!#REF!</f>
        <v>#REF!</v>
      </c>
      <c r="S18" s="239" t="e">
        <f>VALO_PERSO!#REF!</f>
        <v>#REF!</v>
      </c>
      <c r="T18" s="239" t="e">
        <f>VALO_PERSO!#REF!</f>
        <v>#REF!</v>
      </c>
      <c r="U18" s="240" t="e">
        <f>VALO_PERSO!#REF!</f>
        <v>#REF!</v>
      </c>
      <c r="V18" s="240" t="e">
        <f>VALO_PERSO!#REF!</f>
        <v>#REF!</v>
      </c>
      <c r="W18" s="240" t="e">
        <f>VALO_PERSO!#REF!</f>
        <v>#REF!</v>
      </c>
      <c r="X18" s="240" t="e">
        <f>VALO_PERSO!#REF!</f>
        <v>#REF!</v>
      </c>
      <c r="Y18" s="240" t="e">
        <f>VALO_PERSO!#REF!</f>
        <v>#REF!</v>
      </c>
      <c r="Z18" s="240" t="e">
        <f t="shared" si="0"/>
        <v>#REF!</v>
      </c>
      <c r="AA18" s="254" t="e">
        <f t="shared" si="1"/>
        <v>#REF!</v>
      </c>
      <c r="AB18" s="112"/>
      <c r="AC18" s="239" t="e">
        <f>VALO_PERSO!#REF!</f>
        <v>#REF!</v>
      </c>
      <c r="AD18" s="239" t="e">
        <f>VALO_PERSO!#REF!</f>
        <v>#REF!</v>
      </c>
      <c r="AE18" s="239" t="e">
        <f>VALO_PERSO!#REF!</f>
        <v>#REF!</v>
      </c>
      <c r="AF18" s="240" t="e">
        <f>VALO_PERSO!#REF!</f>
        <v>#REF!</v>
      </c>
      <c r="AG18" s="240" t="e">
        <f>VALO_PERSO!#REF!</f>
        <v>#REF!</v>
      </c>
      <c r="AH18" s="243" t="e">
        <f>VALO_PERSO!#REF!</f>
        <v>#REF!</v>
      </c>
      <c r="AI18" s="243" t="e">
        <f>VALO_PERSO!#REF!</f>
        <v>#REF!</v>
      </c>
      <c r="AJ18" s="240" t="e">
        <f t="shared" si="2"/>
        <v>#REF!</v>
      </c>
      <c r="AK18" s="242"/>
      <c r="AL18" s="320"/>
      <c r="AM18" s="24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Y18" s="112"/>
      <c r="AZ18" s="112"/>
      <c r="BA18" s="112"/>
      <c r="BB18" s="112"/>
      <c r="BC18" s="112"/>
      <c r="BD18" s="112"/>
      <c r="BE18" s="112"/>
      <c r="BF18" s="112"/>
      <c r="BG18" s="112"/>
      <c r="BI18" s="112"/>
      <c r="BJ18" s="112"/>
      <c r="BK18" s="112"/>
      <c r="BL18" s="112"/>
    </row>
    <row r="19" spans="1:64" x14ac:dyDescent="0.25">
      <c r="Q19" s="112"/>
      <c r="R19" s="314" t="e">
        <f>VALO_PERSO!#REF!</f>
        <v>#REF!</v>
      </c>
      <c r="S19" s="239" t="e">
        <f>VALO_PERSO!#REF!</f>
        <v>#REF!</v>
      </c>
      <c r="T19" s="239" t="e">
        <f>VALO_PERSO!#REF!</f>
        <v>#REF!</v>
      </c>
      <c r="U19" s="240" t="e">
        <f>VALO_PERSO!#REF!</f>
        <v>#REF!</v>
      </c>
      <c r="V19" s="240" t="e">
        <f>VALO_PERSO!#REF!</f>
        <v>#REF!</v>
      </c>
      <c r="W19" s="240" t="e">
        <f>VALO_PERSO!#REF!</f>
        <v>#REF!</v>
      </c>
      <c r="X19" s="240" t="e">
        <f>VALO_PERSO!#REF!</f>
        <v>#REF!</v>
      </c>
      <c r="Y19" s="240" t="e">
        <f>VALO_PERSO!#REF!</f>
        <v>#REF!</v>
      </c>
      <c r="Z19" s="240" t="e">
        <f t="shared" si="0"/>
        <v>#REF!</v>
      </c>
      <c r="AA19" s="254" t="e">
        <f t="shared" si="1"/>
        <v>#REF!</v>
      </c>
      <c r="AB19" s="112"/>
      <c r="AC19" s="239" t="e">
        <f>VALO_PERSO!#REF!</f>
        <v>#REF!</v>
      </c>
      <c r="AD19" s="239" t="e">
        <f>VALO_PERSO!#REF!</f>
        <v>#REF!</v>
      </c>
      <c r="AE19" s="239" t="e">
        <f>VALO_PERSO!#REF!</f>
        <v>#REF!</v>
      </c>
      <c r="AF19" s="240" t="e">
        <f>VALO_PERSO!#REF!</f>
        <v>#REF!</v>
      </c>
      <c r="AG19" s="240" t="e">
        <f>VALO_PERSO!#REF!</f>
        <v>#REF!</v>
      </c>
      <c r="AH19" s="243" t="e">
        <f>VALO_PERSO!#REF!</f>
        <v>#REF!</v>
      </c>
      <c r="AI19" s="243" t="e">
        <f>VALO_PERSO!#REF!</f>
        <v>#REF!</v>
      </c>
      <c r="AJ19" s="240" t="e">
        <f t="shared" si="2"/>
        <v>#REF!</v>
      </c>
      <c r="AK19" s="242"/>
      <c r="AL19" s="320"/>
      <c r="AM19" s="24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Y19" s="112"/>
      <c r="AZ19" s="112"/>
      <c r="BA19" s="112"/>
      <c r="BB19" s="112"/>
      <c r="BC19" s="112"/>
      <c r="BD19" s="112"/>
      <c r="BE19" s="112"/>
      <c r="BF19" s="112"/>
      <c r="BG19" s="112"/>
      <c r="BI19" s="112"/>
      <c r="BJ19" s="112"/>
      <c r="BK19" s="112"/>
      <c r="BL19" s="112"/>
    </row>
    <row r="20" spans="1:64" x14ac:dyDescent="0.25">
      <c r="Q20" s="112"/>
      <c r="R20" s="314" t="e">
        <f>VALO_PERSO!#REF!</f>
        <v>#REF!</v>
      </c>
      <c r="S20" s="239" t="e">
        <f>VALO_PERSO!#REF!</f>
        <v>#REF!</v>
      </c>
      <c r="T20" s="239" t="e">
        <f>VALO_PERSO!#REF!</f>
        <v>#REF!</v>
      </c>
      <c r="U20" s="240" t="e">
        <f>VALO_PERSO!#REF!</f>
        <v>#REF!</v>
      </c>
      <c r="V20" s="240" t="e">
        <f>VALO_PERSO!#REF!</f>
        <v>#REF!</v>
      </c>
      <c r="W20" s="240" t="e">
        <f>VALO_PERSO!#REF!</f>
        <v>#REF!</v>
      </c>
      <c r="X20" s="240" t="e">
        <f>VALO_PERSO!#REF!</f>
        <v>#REF!</v>
      </c>
      <c r="Y20" s="240" t="e">
        <f>VALO_PERSO!#REF!</f>
        <v>#REF!</v>
      </c>
      <c r="Z20" s="240" t="e">
        <f t="shared" si="0"/>
        <v>#REF!</v>
      </c>
      <c r="AA20" s="254" t="e">
        <f t="shared" si="1"/>
        <v>#REF!</v>
      </c>
      <c r="AB20" s="112"/>
      <c r="AC20" s="239" t="e">
        <f>VALO_PERSO!#REF!</f>
        <v>#REF!</v>
      </c>
      <c r="AD20" s="239" t="e">
        <f>VALO_PERSO!#REF!</f>
        <v>#REF!</v>
      </c>
      <c r="AE20" s="239" t="e">
        <f>VALO_PERSO!#REF!</f>
        <v>#REF!</v>
      </c>
      <c r="AF20" s="240" t="e">
        <f>VALO_PERSO!#REF!</f>
        <v>#REF!</v>
      </c>
      <c r="AG20" s="240" t="e">
        <f>VALO_PERSO!#REF!</f>
        <v>#REF!</v>
      </c>
      <c r="AH20" s="243" t="e">
        <f>VALO_PERSO!#REF!</f>
        <v>#REF!</v>
      </c>
      <c r="AI20" s="243" t="e">
        <f>VALO_PERSO!#REF!</f>
        <v>#REF!</v>
      </c>
      <c r="AJ20" s="240" t="e">
        <f t="shared" si="2"/>
        <v>#REF!</v>
      </c>
      <c r="AK20" s="242"/>
      <c r="AL20" s="320"/>
      <c r="AM20" s="24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Y20" s="112"/>
      <c r="AZ20" s="112"/>
      <c r="BA20" s="112"/>
      <c r="BB20" s="112"/>
      <c r="BC20" s="112"/>
      <c r="BD20" s="112"/>
      <c r="BE20" s="112"/>
      <c r="BF20" s="112"/>
      <c r="BG20" s="112"/>
      <c r="BI20" s="112"/>
      <c r="BJ20" s="112"/>
      <c r="BK20" s="112"/>
      <c r="BL20" s="112"/>
    </row>
    <row r="21" spans="1:64" x14ac:dyDescent="0.25">
      <c r="Q21" s="112"/>
      <c r="R21" s="314">
        <f>VALO_PERSO!G12</f>
        <v>0</v>
      </c>
      <c r="S21" s="239">
        <f>VALO_PERSO!H12</f>
        <v>0</v>
      </c>
      <c r="T21" s="239">
        <f>VALO_PERSO!I12</f>
        <v>0</v>
      </c>
      <c r="U21" s="240">
        <f>VALO_PERSO!W12</f>
        <v>0</v>
      </c>
      <c r="V21" s="240">
        <f>VALO_PERSO!Y12</f>
        <v>0</v>
      </c>
      <c r="W21" s="240">
        <f>VALO_PERSO!AA12</f>
        <v>0</v>
      </c>
      <c r="X21" s="240">
        <f>VALO_PERSO!AD12</f>
        <v>4345</v>
      </c>
      <c r="Y21" s="240">
        <f>VALO_PERSO!AF12</f>
        <v>4345</v>
      </c>
      <c r="Z21" s="240">
        <f t="shared" si="0"/>
        <v>4345</v>
      </c>
      <c r="AA21" s="254" t="e">
        <f t="shared" si="1"/>
        <v>#REF!</v>
      </c>
      <c r="AB21" s="112"/>
      <c r="AC21" s="239">
        <f>VALO_PERSO!G12</f>
        <v>0</v>
      </c>
      <c r="AD21" s="239">
        <f>VALO_PERSO!H12</f>
        <v>0</v>
      </c>
      <c r="AE21" s="239">
        <f>VALO_PERSO!I12</f>
        <v>0</v>
      </c>
      <c r="AF21" s="240">
        <f>VALO_PERSO!AN12</f>
        <v>0</v>
      </c>
      <c r="AG21" s="240">
        <f>VALO_PERSO!AP12</f>
        <v>0</v>
      </c>
      <c r="AH21" s="243">
        <f>VALO_PERSO!AR12</f>
        <v>157130.66716306127</v>
      </c>
      <c r="AI21" s="243">
        <f>VALO_PERSO!AT12</f>
        <v>157130.66716306127</v>
      </c>
      <c r="AJ21" s="240">
        <f t="shared" si="2"/>
        <v>157130.66716306127</v>
      </c>
      <c r="AK21" s="242"/>
      <c r="AL21" s="320"/>
      <c r="AM21" s="24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Y21" s="112"/>
      <c r="AZ21" s="112"/>
      <c r="BA21" s="112"/>
      <c r="BB21" s="112"/>
      <c r="BC21" s="112"/>
      <c r="BD21" s="112"/>
      <c r="BE21" s="112"/>
      <c r="BF21" s="112"/>
      <c r="BG21" s="112"/>
      <c r="BI21" s="112"/>
      <c r="BJ21" s="112"/>
      <c r="BK21" s="112"/>
      <c r="BL21" s="112"/>
    </row>
    <row r="22" spans="1:64" x14ac:dyDescent="0.25">
      <c r="Q22" s="112"/>
      <c r="R22" s="314">
        <f>VALO_PERSO!G13</f>
        <v>0</v>
      </c>
      <c r="S22" s="239">
        <f>VALO_PERSO!H13</f>
        <v>0</v>
      </c>
      <c r="T22" s="239">
        <f>VALO_PERSO!I13</f>
        <v>0</v>
      </c>
      <c r="U22" s="240">
        <f>VALO_PERSO!W13</f>
        <v>0</v>
      </c>
      <c r="V22" s="240">
        <f>VALO_PERSO!Y13</f>
        <v>0</v>
      </c>
      <c r="W22" s="240">
        <f>VALO_PERSO!AA13</f>
        <v>0</v>
      </c>
      <c r="X22" s="240">
        <f>VALO_PERSO!AD13</f>
        <v>0</v>
      </c>
      <c r="Y22" s="240">
        <f>VALO_PERSO!AF13</f>
        <v>0</v>
      </c>
      <c r="Z22" s="240">
        <f t="shared" si="0"/>
        <v>0</v>
      </c>
      <c r="AA22" s="254" t="e">
        <f t="shared" si="1"/>
        <v>#REF!</v>
      </c>
      <c r="AB22" s="112"/>
      <c r="AC22" s="239">
        <f>VALO_PERSO!G13</f>
        <v>0</v>
      </c>
      <c r="AD22" s="239">
        <f>VALO_PERSO!H13</f>
        <v>0</v>
      </c>
      <c r="AE22" s="239">
        <f>VALO_PERSO!I13</f>
        <v>0</v>
      </c>
      <c r="AF22" s="240">
        <f>VALO_PERSO!AN13</f>
        <v>0</v>
      </c>
      <c r="AG22" s="240">
        <f>VALO_PERSO!AP13</f>
        <v>0</v>
      </c>
      <c r="AH22" s="243">
        <f>VALO_PERSO!AR13</f>
        <v>0</v>
      </c>
      <c r="AI22" s="243">
        <f>VALO_PERSO!AT13</f>
        <v>0</v>
      </c>
      <c r="AJ22" s="240">
        <f t="shared" si="2"/>
        <v>0</v>
      </c>
      <c r="AK22" s="242"/>
      <c r="AL22" s="320"/>
      <c r="AM22" s="24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Y22" s="112"/>
      <c r="AZ22" s="112"/>
      <c r="BA22" s="112"/>
      <c r="BB22" s="112"/>
      <c r="BC22" s="112"/>
      <c r="BD22" s="112"/>
      <c r="BE22" s="112"/>
      <c r="BF22" s="112"/>
      <c r="BG22" s="112"/>
      <c r="BI22" s="112"/>
      <c r="BJ22" s="112"/>
      <c r="BK22" s="112"/>
      <c r="BL22" s="112"/>
    </row>
    <row r="23" spans="1:64" x14ac:dyDescent="0.25">
      <c r="Q23" s="112"/>
      <c r="R23" s="314">
        <f>VALO_PERSO!G14</f>
        <v>0</v>
      </c>
      <c r="S23" s="239">
        <f>VALO_PERSO!H14</f>
        <v>0</v>
      </c>
      <c r="T23" s="239">
        <f>VALO_PERSO!I14</f>
        <v>0</v>
      </c>
      <c r="U23" s="240">
        <f>VALO_PERSO!W14</f>
        <v>0</v>
      </c>
      <c r="V23" s="240">
        <f>VALO_PERSO!Y14</f>
        <v>0</v>
      </c>
      <c r="W23" s="240">
        <f>VALO_PERSO!AA14</f>
        <v>0</v>
      </c>
      <c r="X23" s="240">
        <f>VALO_PERSO!AD14</f>
        <v>0</v>
      </c>
      <c r="Y23" s="240">
        <f>VALO_PERSO!AF14</f>
        <v>0</v>
      </c>
      <c r="Z23" s="240">
        <f t="shared" si="0"/>
        <v>0</v>
      </c>
      <c r="AA23" s="254" t="e">
        <f t="shared" si="1"/>
        <v>#REF!</v>
      </c>
      <c r="AB23" s="112"/>
      <c r="AC23" s="239">
        <f>VALO_PERSO!G14</f>
        <v>0</v>
      </c>
      <c r="AD23" s="239">
        <f>VALO_PERSO!H14</f>
        <v>0</v>
      </c>
      <c r="AE23" s="239">
        <f>VALO_PERSO!I14</f>
        <v>0</v>
      </c>
      <c r="AF23" s="240">
        <f>VALO_PERSO!AN14</f>
        <v>0</v>
      </c>
      <c r="AG23" s="240">
        <f>VALO_PERSO!AP14</f>
        <v>0</v>
      </c>
      <c r="AH23" s="243">
        <f>VALO_PERSO!AR14</f>
        <v>0</v>
      </c>
      <c r="AI23" s="243">
        <f>VALO_PERSO!AT14</f>
        <v>0</v>
      </c>
      <c r="AJ23" s="240">
        <f t="shared" si="2"/>
        <v>0</v>
      </c>
      <c r="AK23" s="242"/>
      <c r="AL23" s="320"/>
      <c r="AM23" s="242"/>
      <c r="AN23" s="112"/>
      <c r="AO23" s="112"/>
      <c r="AP23" s="112"/>
      <c r="AQ23" s="112"/>
      <c r="AR23" s="112"/>
      <c r="AS23" s="112"/>
      <c r="AT23" s="112"/>
      <c r="AU23" s="112"/>
      <c r="AV23" s="112"/>
      <c r="AW23" s="112"/>
      <c r="AY23" s="112"/>
      <c r="AZ23" s="112"/>
      <c r="BA23" s="112"/>
      <c r="BB23" s="112"/>
      <c r="BC23" s="112"/>
      <c r="BD23" s="112"/>
      <c r="BE23" s="112"/>
      <c r="BF23" s="112"/>
      <c r="BG23" s="112"/>
      <c r="BI23" s="112"/>
      <c r="BJ23" s="112"/>
      <c r="BK23" s="112"/>
      <c r="BL23" s="112"/>
    </row>
    <row r="24" spans="1:64" x14ac:dyDescent="0.25">
      <c r="Q24" s="112"/>
      <c r="R24" s="314">
        <f>VALO_PERSO!G15</f>
        <v>0</v>
      </c>
      <c r="S24" s="239">
        <f>VALO_PERSO!H15</f>
        <v>0</v>
      </c>
      <c r="T24" s="239">
        <f>VALO_PERSO!I15</f>
        <v>0</v>
      </c>
      <c r="U24" s="240">
        <f>VALO_PERSO!W15</f>
        <v>0</v>
      </c>
      <c r="V24" s="240">
        <f>VALO_PERSO!Y15</f>
        <v>0</v>
      </c>
      <c r="W24" s="240">
        <f>VALO_PERSO!AA15</f>
        <v>0</v>
      </c>
      <c r="X24" s="240">
        <f>VALO_PERSO!AD15</f>
        <v>0</v>
      </c>
      <c r="Y24" s="240">
        <f>VALO_PERSO!AF15</f>
        <v>0</v>
      </c>
      <c r="Z24" s="240">
        <f t="shared" si="0"/>
        <v>0</v>
      </c>
      <c r="AA24" s="254" t="e">
        <f t="shared" si="1"/>
        <v>#REF!</v>
      </c>
      <c r="AB24" s="112"/>
      <c r="AC24" s="239">
        <f>VALO_PERSO!G15</f>
        <v>0</v>
      </c>
      <c r="AD24" s="239">
        <f>VALO_PERSO!H15</f>
        <v>0</v>
      </c>
      <c r="AE24" s="239">
        <f>VALO_PERSO!I15</f>
        <v>0</v>
      </c>
      <c r="AF24" s="240">
        <f>VALO_PERSO!AN15</f>
        <v>0</v>
      </c>
      <c r="AG24" s="240">
        <f>VALO_PERSO!AP15</f>
        <v>0</v>
      </c>
      <c r="AH24" s="243">
        <f>VALO_PERSO!AR15</f>
        <v>0</v>
      </c>
      <c r="AI24" s="243">
        <f>VALO_PERSO!AT15</f>
        <v>0</v>
      </c>
      <c r="AJ24" s="240">
        <f t="shared" si="2"/>
        <v>0</v>
      </c>
      <c r="AK24" s="242"/>
      <c r="AL24" s="320"/>
      <c r="AM24" s="24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Y24" s="112"/>
      <c r="AZ24" s="112"/>
      <c r="BA24" s="112"/>
      <c r="BB24" s="112"/>
      <c r="BC24" s="112"/>
      <c r="BD24" s="112"/>
      <c r="BE24" s="112"/>
      <c r="BF24" s="112"/>
      <c r="BG24" s="112"/>
      <c r="BI24" s="112"/>
      <c r="BJ24" s="112"/>
      <c r="BK24" s="112"/>
      <c r="BL24" s="112"/>
    </row>
    <row r="25" spans="1:64" x14ac:dyDescent="0.25">
      <c r="Q25" s="112"/>
      <c r="R25" s="315" t="s">
        <v>558</v>
      </c>
      <c r="S25" s="301"/>
      <c r="T25" s="301"/>
      <c r="U25" s="241" t="e">
        <f>SUM(U7:U24)</f>
        <v>#REF!</v>
      </c>
      <c r="V25" s="241"/>
      <c r="W25" s="241" t="e">
        <f>SUM(W7:W24)</f>
        <v>#REF!</v>
      </c>
      <c r="X25" s="241" t="e">
        <f t="shared" ref="X25:Z25" si="3">SUM(X7:X24)</f>
        <v>#REF!</v>
      </c>
      <c r="Y25" s="241" t="e">
        <f t="shared" si="3"/>
        <v>#REF!</v>
      </c>
      <c r="Z25" s="241" t="e">
        <f t="shared" si="3"/>
        <v>#REF!</v>
      </c>
      <c r="AA25" s="241" t="e">
        <f>SUM(AA7:AA24)</f>
        <v>#REF!</v>
      </c>
      <c r="AB25" s="242"/>
      <c r="AC25" s="301" t="s">
        <v>558</v>
      </c>
      <c r="AD25" s="301"/>
      <c r="AE25" s="301"/>
      <c r="AF25" s="241" t="e">
        <f>SUM(AF7:AF24)</f>
        <v>#REF!</v>
      </c>
      <c r="AG25" s="241" t="e">
        <f t="shared" ref="AG25:AJ25" si="4">SUM(AG7:AG24)</f>
        <v>#REF!</v>
      </c>
      <c r="AH25" s="245" t="e">
        <f t="shared" si="4"/>
        <v>#REF!</v>
      </c>
      <c r="AI25" s="245" t="e">
        <f t="shared" si="4"/>
        <v>#REF!</v>
      </c>
      <c r="AJ25" s="241" t="e">
        <f t="shared" si="4"/>
        <v>#REF!</v>
      </c>
      <c r="AK25" s="311"/>
      <c r="AL25" s="321"/>
      <c r="AM25" s="311"/>
      <c r="AN25" s="112"/>
      <c r="AO25" s="112"/>
      <c r="AP25" s="112"/>
      <c r="AQ25" s="112"/>
      <c r="AR25" s="112"/>
      <c r="AS25" s="112"/>
      <c r="AT25" s="112"/>
      <c r="AU25" s="112"/>
      <c r="AV25" s="112"/>
      <c r="AW25" s="112"/>
      <c r="AY25" s="112"/>
      <c r="AZ25" s="112"/>
      <c r="BA25" s="112"/>
      <c r="BB25" s="112"/>
      <c r="BC25" s="112"/>
      <c r="BD25" s="112"/>
      <c r="BE25" s="112"/>
      <c r="BF25" s="112"/>
      <c r="BG25" s="112"/>
      <c r="BI25" s="112"/>
      <c r="BJ25" s="112"/>
      <c r="BK25" s="112"/>
      <c r="BL25" s="112"/>
    </row>
    <row r="26" spans="1:64" x14ac:dyDescent="0.25"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Y26" s="112"/>
      <c r="AZ26" s="112"/>
      <c r="BA26" s="112"/>
      <c r="BB26" s="112"/>
      <c r="BC26" s="112"/>
      <c r="BD26" s="112"/>
      <c r="BE26" s="112"/>
      <c r="BF26" s="112"/>
      <c r="BG26" s="112"/>
      <c r="BI26" s="112"/>
      <c r="BJ26" s="112"/>
      <c r="BK26" s="112"/>
      <c r="BL26" s="112"/>
    </row>
    <row r="27" spans="1:64" x14ac:dyDescent="0.25"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2"/>
      <c r="AY27" s="112"/>
      <c r="AZ27" s="112"/>
      <c r="BA27" s="112"/>
      <c r="BB27" s="112"/>
      <c r="BC27" s="112"/>
      <c r="BD27" s="112"/>
      <c r="BE27" s="112"/>
      <c r="BF27" s="112"/>
      <c r="BG27" s="112"/>
      <c r="BI27" s="112"/>
      <c r="BJ27" s="112"/>
      <c r="BK27" s="112"/>
      <c r="BL27" s="112"/>
    </row>
    <row r="28" spans="1:64" x14ac:dyDescent="0.25">
      <c r="Q28" s="112"/>
      <c r="R28" s="507" t="s">
        <v>13</v>
      </c>
      <c r="S28" s="507"/>
      <c r="T28" s="507"/>
      <c r="U28" s="507"/>
      <c r="V28" s="112"/>
      <c r="W28" s="112"/>
      <c r="X28" s="112"/>
      <c r="Y28" s="112"/>
      <c r="Z28" s="112"/>
      <c r="AA28" s="112"/>
      <c r="AB28" s="112"/>
      <c r="AC28" s="280" t="s">
        <v>27</v>
      </c>
      <c r="AD28" s="280"/>
      <c r="AE28" s="280"/>
      <c r="AF28" s="112"/>
      <c r="AH28" s="112"/>
      <c r="AI28" s="112"/>
      <c r="AJ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Y28" s="112"/>
      <c r="AZ28" s="112"/>
      <c r="BA28" s="112"/>
      <c r="BB28" s="112"/>
      <c r="BC28" s="112"/>
      <c r="BD28" s="112"/>
      <c r="BE28" s="112"/>
      <c r="BF28" s="112"/>
      <c r="BG28" s="112"/>
      <c r="BI28" s="112"/>
      <c r="BJ28" s="112"/>
      <c r="BK28" s="112"/>
      <c r="BL28" s="112"/>
    </row>
    <row r="29" spans="1:64" ht="33" x14ac:dyDescent="0.25">
      <c r="A29" s="257"/>
      <c r="Q29" s="112"/>
      <c r="R29" s="313" t="s">
        <v>478</v>
      </c>
      <c r="S29" s="237" t="s">
        <v>603</v>
      </c>
      <c r="T29" s="237" t="s">
        <v>604</v>
      </c>
      <c r="U29" s="237" t="s">
        <v>605</v>
      </c>
      <c r="V29" s="112"/>
      <c r="W29" s="112"/>
      <c r="X29" s="112"/>
      <c r="Y29" s="112"/>
      <c r="Z29" s="112"/>
      <c r="AA29" s="112"/>
      <c r="AB29" s="112"/>
      <c r="AC29" s="237" t="s">
        <v>478</v>
      </c>
      <c r="AD29" s="237" t="s">
        <v>606</v>
      </c>
      <c r="AE29" s="237" t="s">
        <v>604</v>
      </c>
      <c r="AF29" s="237" t="s">
        <v>605</v>
      </c>
      <c r="AG29" s="112"/>
      <c r="AH29" s="112"/>
      <c r="AI29" s="112"/>
      <c r="AJ29" s="112"/>
      <c r="AN29" s="112"/>
      <c r="AO29" s="112"/>
      <c r="AP29" s="112"/>
      <c r="AQ29" s="112"/>
      <c r="AR29" s="112"/>
      <c r="AS29" s="112"/>
      <c r="AT29" s="112"/>
      <c r="AU29" s="112"/>
      <c r="AV29" s="112"/>
      <c r="AW29" s="112"/>
      <c r="AY29" s="112"/>
      <c r="AZ29" s="112"/>
      <c r="BA29" s="112"/>
      <c r="BB29" s="112"/>
      <c r="BC29" s="112"/>
      <c r="BD29" s="112"/>
      <c r="BE29" s="112"/>
      <c r="BF29" s="112"/>
      <c r="BG29" s="112"/>
      <c r="BI29" s="112"/>
      <c r="BJ29" s="112"/>
      <c r="BK29" s="112"/>
      <c r="BL29" s="112"/>
    </row>
    <row r="30" spans="1:64" x14ac:dyDescent="0.25">
      <c r="Q30" s="112"/>
      <c r="R30" s="112" t="s">
        <v>22</v>
      </c>
      <c r="S30" s="296">
        <f>SUMIF(VALO_PERSO!L5:L11,"chercheur",VALO_PERSO!Y5:Y11)</f>
        <v>0</v>
      </c>
      <c r="T30" s="296">
        <f>SUMIF(VALO_PERSO!L5:L11,"chercheur",VALO_PERSO!AN5:AN11)</f>
        <v>0</v>
      </c>
      <c r="U30" s="308" t="e">
        <f t="shared" ref="U30:U38" si="5">S30/$S$39</f>
        <v>#DIV/0!</v>
      </c>
      <c r="V30" s="112"/>
      <c r="W30" s="112"/>
      <c r="X30" s="112"/>
      <c r="Y30" s="112"/>
      <c r="Z30" s="112"/>
      <c r="AA30" s="112"/>
      <c r="AB30" s="112"/>
      <c r="AC30" s="112" t="s">
        <v>22</v>
      </c>
      <c r="AD30" s="296">
        <f>SUMIF(VALO_PERSO!L5:L11,"chercheur",VALO_PERSO!AD5:AD11)</f>
        <v>0</v>
      </c>
      <c r="AE30" s="296">
        <f>SUMIF(VALO_PERSO!L5:L11,"chercheur",VALO_PERSO!AR5:AR11)</f>
        <v>0</v>
      </c>
      <c r="AF30" s="308">
        <f t="shared" ref="AF30:AF38" si="6">AD30/$AD$39</f>
        <v>0</v>
      </c>
      <c r="AG30" s="112"/>
      <c r="AH30" s="112"/>
      <c r="AI30" s="112"/>
      <c r="AJ30" s="112"/>
      <c r="AN30" s="112"/>
      <c r="AO30" s="112"/>
      <c r="AP30" s="112"/>
      <c r="AQ30" s="112"/>
      <c r="AR30" s="112"/>
      <c r="AS30" s="112"/>
      <c r="AT30" s="112"/>
      <c r="AU30" s="112"/>
      <c r="AV30" s="112"/>
      <c r="AW30" s="112"/>
      <c r="AY30" s="112"/>
      <c r="AZ30" s="112"/>
      <c r="BA30" s="112"/>
      <c r="BB30" s="112"/>
      <c r="BC30" s="112"/>
      <c r="BD30" s="112"/>
      <c r="BE30" s="112"/>
      <c r="BF30" s="112"/>
      <c r="BG30" s="112"/>
      <c r="BI30" s="112"/>
      <c r="BJ30" s="112"/>
      <c r="BK30" s="112"/>
      <c r="BL30" s="112"/>
    </row>
    <row r="31" spans="1:64" x14ac:dyDescent="0.25">
      <c r="A31" s="257"/>
      <c r="Q31" s="112"/>
      <c r="R31" s="112" t="s">
        <v>35</v>
      </c>
      <c r="S31" s="296">
        <f>SUMIF(VALO_PERSO!L5:L11,"Technicien",VALO_PERSO!Y5:Y11)</f>
        <v>0</v>
      </c>
      <c r="T31" s="296">
        <f>SUMIF(VALO_PERSO!L5:L11,"Technicien",VALO_PERSO!AN5:AN11)</f>
        <v>0</v>
      </c>
      <c r="U31" s="308" t="e">
        <f t="shared" si="5"/>
        <v>#DIV/0!</v>
      </c>
      <c r="V31" s="112"/>
      <c r="W31" s="112"/>
      <c r="X31" s="112"/>
      <c r="Y31" s="112"/>
      <c r="Z31" s="112"/>
      <c r="AA31" s="112"/>
      <c r="AB31" s="112"/>
      <c r="AC31" s="112" t="s">
        <v>35</v>
      </c>
      <c r="AD31" s="296">
        <f>SUMIF(VALO_PERSO!L5:L11,"Technicien",VALO_PERSO!AD5:AD11)</f>
        <v>3690</v>
      </c>
      <c r="AE31" s="296">
        <f>SUMIF(VALO_PERSO!L5:L11,"Technicien",VALO_PERSO!AR5:AR11)</f>
        <v>151496.83973870578</v>
      </c>
      <c r="AF31" s="308">
        <f t="shared" si="6"/>
        <v>0.84925201380897586</v>
      </c>
      <c r="AG31" s="112"/>
      <c r="AH31" s="112"/>
      <c r="AI31" s="112"/>
      <c r="AJ31" s="112"/>
      <c r="AN31" s="112"/>
      <c r="AO31" s="112"/>
      <c r="AP31" s="112"/>
      <c r="AQ31" s="112"/>
      <c r="AR31" s="112"/>
      <c r="AS31" s="112"/>
      <c r="AT31" s="112"/>
      <c r="AU31" s="112"/>
      <c r="AV31" s="112"/>
      <c r="AW31" s="112"/>
      <c r="AY31" s="112"/>
      <c r="AZ31" s="112"/>
      <c r="BA31" s="112"/>
      <c r="BB31" s="112"/>
      <c r="BC31" s="112"/>
      <c r="BD31" s="112"/>
      <c r="BE31" s="112"/>
      <c r="BF31" s="112"/>
      <c r="BG31" s="112"/>
      <c r="BI31" s="112"/>
      <c r="BJ31" s="112"/>
      <c r="BK31" s="112"/>
      <c r="BL31" s="112"/>
    </row>
    <row r="32" spans="1:64" x14ac:dyDescent="0.25">
      <c r="Q32" s="112"/>
      <c r="R32" s="112" t="s">
        <v>48</v>
      </c>
      <c r="S32" s="296">
        <f>SUMIF(VALO_PERSO!L5:L11,"Jeune docteur",VALO_PERSO!Y5:Y11)</f>
        <v>0</v>
      </c>
      <c r="T32" s="296">
        <f>SUMIF(VALO_PERSO!L5:L11,"Jeune docteur",VALO_PERSO!AN5:AN11)</f>
        <v>0</v>
      </c>
      <c r="U32" s="308" t="e">
        <f t="shared" si="5"/>
        <v>#DIV/0!</v>
      </c>
      <c r="V32" s="112"/>
      <c r="W32" s="112"/>
      <c r="X32" s="112"/>
      <c r="Y32" s="112"/>
      <c r="Z32" s="112"/>
      <c r="AA32" s="112"/>
      <c r="AB32" s="112"/>
      <c r="AC32" s="112" t="s">
        <v>48</v>
      </c>
      <c r="AD32" s="296">
        <f>SUMIF(VALO_PERSO!L5:L11,"Jeune docteur",VALO_PERSO!AD5:AD11)</f>
        <v>0</v>
      </c>
      <c r="AE32" s="296">
        <f>SUMIF(VALO_PERSO!L5:L11,"Jeune docteur",VALO_PERSO!AR5:AR11)</f>
        <v>0</v>
      </c>
      <c r="AF32" s="308">
        <f t="shared" si="6"/>
        <v>0</v>
      </c>
      <c r="AG32" s="112"/>
      <c r="AH32" s="112"/>
      <c r="AI32" s="112"/>
      <c r="AJ32" s="112"/>
      <c r="AN32" s="112"/>
      <c r="AO32" s="112"/>
      <c r="AP32" s="112"/>
      <c r="AQ32" s="112"/>
      <c r="AR32" s="112"/>
      <c r="AS32" s="112"/>
      <c r="AT32" s="112"/>
      <c r="AU32" s="112"/>
      <c r="AV32" s="112"/>
      <c r="AW32" s="112"/>
      <c r="AY32" s="112"/>
      <c r="AZ32" s="112"/>
      <c r="BA32" s="112"/>
      <c r="BB32" s="112"/>
      <c r="BC32" s="112"/>
      <c r="BD32" s="112"/>
      <c r="BE32" s="112"/>
      <c r="BF32" s="112"/>
      <c r="BG32" s="112"/>
      <c r="BI32" s="112"/>
      <c r="BJ32" s="112"/>
      <c r="BK32" s="112"/>
      <c r="BL32" s="112"/>
    </row>
    <row r="33" spans="17:64" x14ac:dyDescent="0.25">
      <c r="Q33" s="112"/>
      <c r="R33" s="112" t="s">
        <v>54</v>
      </c>
      <c r="S33" s="296">
        <f>SUMIF(VALO_PERSO!L5:L11,"Dirigeant",VALO_PERSO!Y5:Y11)</f>
        <v>0</v>
      </c>
      <c r="T33" s="296">
        <f>SUMIF(VALO_PERSO!L5:L11,"Dirigeant",VALO_PERSO!AN5:AN11)</f>
        <v>0</v>
      </c>
      <c r="U33" s="308" t="e">
        <f t="shared" si="5"/>
        <v>#DIV/0!</v>
      </c>
      <c r="V33" s="112"/>
      <c r="W33" s="112"/>
      <c r="X33" s="112"/>
      <c r="Y33" s="112"/>
      <c r="Z33" s="112"/>
      <c r="AA33" s="112"/>
      <c r="AB33" s="112"/>
      <c r="AC33" s="112" t="s">
        <v>54</v>
      </c>
      <c r="AD33" s="296">
        <f>SUMIF(VALO_PERSO!L5:L11,"Dirigeant",VALO_PERSO!AD5:AD11)</f>
        <v>0</v>
      </c>
      <c r="AE33" s="296">
        <f>SUMIF(VALO_PERSO!L5:L11,"Dirigeant",VALO_PERSO!AR5:AR11)</f>
        <v>0</v>
      </c>
      <c r="AF33" s="308">
        <f t="shared" si="6"/>
        <v>0</v>
      </c>
      <c r="AG33" s="112"/>
      <c r="AH33" s="112"/>
      <c r="AI33" s="112"/>
      <c r="AJ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Y33" s="112"/>
      <c r="AZ33" s="112"/>
      <c r="BA33" s="112"/>
      <c r="BB33" s="112"/>
      <c r="BC33" s="112"/>
      <c r="BD33" s="112"/>
      <c r="BE33" s="112"/>
      <c r="BF33" s="112"/>
      <c r="BG33" s="112"/>
      <c r="BI33" s="112"/>
      <c r="BJ33" s="112"/>
      <c r="BK33" s="112"/>
      <c r="BL33" s="112"/>
    </row>
    <row r="34" spans="17:64" x14ac:dyDescent="0.25">
      <c r="Q34" s="112"/>
      <c r="R34" s="112" t="s">
        <v>58</v>
      </c>
      <c r="S34" s="296">
        <f>SUMIF(VALO_PERSO!L5:L11,"Contrat MAD / intérim",VALO_PERSO!Y5:Y11)</f>
        <v>0</v>
      </c>
      <c r="T34" s="296">
        <f>SUMIF(VALO_PERSO!L5:L11,"Contrat MAD / intérim",VALO_PERSO!AN5:AN11)</f>
        <v>0</v>
      </c>
      <c r="U34" s="308" t="e">
        <f t="shared" si="5"/>
        <v>#DIV/0!</v>
      </c>
      <c r="V34" s="112"/>
      <c r="W34" s="112"/>
      <c r="X34" s="112"/>
      <c r="Y34" s="112"/>
      <c r="Z34" s="112"/>
      <c r="AA34" s="112"/>
      <c r="AB34" s="112"/>
      <c r="AC34" s="112" t="s">
        <v>58</v>
      </c>
      <c r="AD34" s="296">
        <f>SUMIF(VALO_PERSO!L5:L11,"Contrat MAD / intérim",VALO_PERSO!AD5:AD11)</f>
        <v>0</v>
      </c>
      <c r="AE34" s="296">
        <f>SUMIF(VALO_PERSO!L5:L11,"Contrat MAD / intérim",VALO_PERSO!AR5:AR11)</f>
        <v>0</v>
      </c>
      <c r="AF34" s="308">
        <f t="shared" si="6"/>
        <v>0</v>
      </c>
      <c r="AG34" s="112"/>
      <c r="AH34" s="112"/>
      <c r="AI34" s="112"/>
      <c r="AJ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Y34" s="112"/>
      <c r="AZ34" s="112"/>
      <c r="BA34" s="112"/>
      <c r="BB34" s="112"/>
      <c r="BC34" s="112"/>
      <c r="BD34" s="112"/>
      <c r="BE34" s="112"/>
      <c r="BF34" s="112"/>
      <c r="BG34" s="112"/>
      <c r="BI34" s="112"/>
      <c r="BJ34" s="112"/>
      <c r="BK34" s="112"/>
      <c r="BL34" s="112"/>
    </row>
    <row r="35" spans="17:64" x14ac:dyDescent="0.25">
      <c r="Q35" s="112"/>
      <c r="R35" s="112" t="s">
        <v>61</v>
      </c>
      <c r="S35" s="296">
        <f>SUMIF(VALO_PERSO!L5:L11,"Thésard",VALO_PERSO!Y5:Y11)</f>
        <v>0</v>
      </c>
      <c r="T35" s="296">
        <f>SUMIF(VALO_PERSO!L5:L11,"Thésard",VALO_PERSO!AN5:AN11)</f>
        <v>0</v>
      </c>
      <c r="U35" s="308" t="e">
        <f t="shared" si="5"/>
        <v>#DIV/0!</v>
      </c>
      <c r="V35" s="112"/>
      <c r="W35" s="112"/>
      <c r="X35" s="112"/>
      <c r="Y35" s="112"/>
      <c r="Z35" s="112"/>
      <c r="AA35" s="112"/>
      <c r="AB35" s="112"/>
      <c r="AC35" s="112" t="s">
        <v>61</v>
      </c>
      <c r="AD35" s="296">
        <f>SUMIF(VALO_PERSO!L5:L11,"Thésard",VALO_PERSO!AD5:AD11)</f>
        <v>0</v>
      </c>
      <c r="AE35" s="296">
        <f>SUMIF(VALO_PERSO!L5:L11,"Thésard",VALO_PERSO!AR5:AR11)</f>
        <v>0</v>
      </c>
      <c r="AF35" s="308">
        <f t="shared" si="6"/>
        <v>0</v>
      </c>
      <c r="AG35" s="112"/>
      <c r="AH35" s="112"/>
      <c r="AI35" s="112"/>
      <c r="AJ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Y35" s="112"/>
      <c r="AZ35" s="112"/>
      <c r="BA35" s="112"/>
      <c r="BB35" s="112"/>
      <c r="BC35" s="112"/>
      <c r="BD35" s="112"/>
      <c r="BE35" s="112"/>
      <c r="BF35" s="112"/>
      <c r="BG35" s="112"/>
      <c r="BI35" s="112"/>
      <c r="BJ35" s="112"/>
      <c r="BK35" s="112"/>
      <c r="BL35" s="112"/>
    </row>
    <row r="36" spans="17:64" x14ac:dyDescent="0.25">
      <c r="Q36" s="112"/>
      <c r="R36" s="112" t="s">
        <v>63</v>
      </c>
      <c r="S36" s="296">
        <f>SUMIF(VALO_PERSO!L5:L11,"Stagiaire/apprenti",VALO_PERSO!Y5:Y11)</f>
        <v>0</v>
      </c>
      <c r="T36" s="296">
        <f>SUMIF(VALO_PERSO!L5:L11,"Stagiaire/apprenti",VALO_PERSO!AN5:AN11)</f>
        <v>0</v>
      </c>
      <c r="U36" s="308" t="e">
        <f t="shared" si="5"/>
        <v>#DIV/0!</v>
      </c>
      <c r="V36" s="112"/>
      <c r="W36" s="112"/>
      <c r="X36" s="112"/>
      <c r="Y36" s="112"/>
      <c r="Z36" s="112"/>
      <c r="AA36" s="112"/>
      <c r="AB36" s="112"/>
      <c r="AC36" s="112" t="s">
        <v>63</v>
      </c>
      <c r="AD36" s="296">
        <f>SUMIF(VALO_PERSO!L5:L11,"Stagiaire/apprenti",VALO_PERSO!AD5:AD11)</f>
        <v>655</v>
      </c>
      <c r="AE36" s="296">
        <f>SUMIF(VALO_PERSO!L5:L11,"Stagiaire/apprenti",VALO_PERSO!AR5:AR11)</f>
        <v>5633.827424355497</v>
      </c>
      <c r="AF36" s="308">
        <f t="shared" si="6"/>
        <v>0.15074798619102417</v>
      </c>
      <c r="AG36" s="112"/>
      <c r="AH36" s="112"/>
      <c r="AI36" s="112"/>
      <c r="AJ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Y36" s="112"/>
      <c r="AZ36" s="112"/>
      <c r="BA36" s="112"/>
      <c r="BB36" s="112"/>
      <c r="BC36" s="112"/>
      <c r="BD36" s="112"/>
      <c r="BE36" s="112"/>
      <c r="BF36" s="112"/>
      <c r="BG36" s="112"/>
      <c r="BI36" s="112"/>
      <c r="BJ36" s="112"/>
      <c r="BK36" s="112"/>
      <c r="BL36" s="112"/>
    </row>
    <row r="37" spans="17:64" x14ac:dyDescent="0.25">
      <c r="Q37" s="112"/>
      <c r="R37" s="112" t="s">
        <v>64</v>
      </c>
      <c r="S37" s="296">
        <f>SUMIF(VALO_PERSO!L5:L11,"Profil à risque (acheteur, qualité)",VALO_PERSO!Y5:Y11)</f>
        <v>0</v>
      </c>
      <c r="T37" s="296">
        <f>SUMIF(VALO_PERSO!L5:L11,"Profil à risque (acheteur, qualité)",VALO_PERSO!AN5:AN11)</f>
        <v>0</v>
      </c>
      <c r="U37" s="308" t="e">
        <f t="shared" si="5"/>
        <v>#DIV/0!</v>
      </c>
      <c r="V37" s="112"/>
      <c r="W37" s="112"/>
      <c r="X37" s="112"/>
      <c r="Y37" s="112"/>
      <c r="Z37" s="112"/>
      <c r="AA37" s="112"/>
      <c r="AB37" s="112"/>
      <c r="AC37" s="112" t="s">
        <v>64</v>
      </c>
      <c r="AD37" s="296">
        <f>SUMIF(VALO_PERSO!L5:L11,"Profil à risque (acheteur, qualité)",VALO_PERSO!AD5:AD11)</f>
        <v>0</v>
      </c>
      <c r="AE37" s="296">
        <f>SUMIF(VALO_PERSO!L5:L11,"Profil à risque (acheteur, qualité)",VALO_PERSO!AR5:AR11)</f>
        <v>0</v>
      </c>
      <c r="AF37" s="308">
        <f t="shared" si="6"/>
        <v>0</v>
      </c>
      <c r="AG37" s="112"/>
      <c r="AH37" s="112"/>
      <c r="AI37" s="112"/>
      <c r="AJ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Y37" s="112"/>
      <c r="AZ37" s="112"/>
      <c r="BA37" s="112"/>
      <c r="BB37" s="112"/>
      <c r="BC37" s="112"/>
      <c r="BD37" s="112"/>
      <c r="BE37" s="112"/>
      <c r="BF37" s="112"/>
      <c r="BG37" s="112"/>
      <c r="BI37" s="112"/>
      <c r="BJ37" s="112"/>
      <c r="BK37" s="112"/>
      <c r="BL37" s="112"/>
    </row>
    <row r="38" spans="17:64" x14ac:dyDescent="0.25">
      <c r="Q38" s="112"/>
      <c r="R38" s="112" t="s">
        <v>65</v>
      </c>
      <c r="S38" s="296">
        <f>SUMIF(VALO_PERSO!L5:L11,"Profil très risqué (admin, financier)",VALO_PERSO!Y5:Y11)</f>
        <v>0</v>
      </c>
      <c r="T38" s="296">
        <f>SUMIF(VALO_PERSO!L5:L11,"Profil très risqué (admin, financier)",VALO_PERSO!AN5:AN11)</f>
        <v>0</v>
      </c>
      <c r="U38" s="308" t="e">
        <f t="shared" si="5"/>
        <v>#DIV/0!</v>
      </c>
      <c r="V38" s="112"/>
      <c r="W38" s="112"/>
      <c r="X38" s="112"/>
      <c r="Y38" s="112"/>
      <c r="Z38" s="112"/>
      <c r="AA38" s="112"/>
      <c r="AB38" s="112"/>
      <c r="AC38" s="112" t="s">
        <v>65</v>
      </c>
      <c r="AD38" s="296">
        <f>SUMIF(VALO_PERSO!L5:L11,"Profil très risqué (admin, financier)",VALO_PERSO!AD5:AD11)</f>
        <v>0</v>
      </c>
      <c r="AE38" s="296">
        <f>SUMIF(VALO_PERSO!L5:L11,"Profil très risqué (admin, financier)",VALO_PERSO!AR5:AR11)</f>
        <v>0</v>
      </c>
      <c r="AF38" s="308">
        <f t="shared" si="6"/>
        <v>0</v>
      </c>
      <c r="AG38" s="112"/>
      <c r="AH38" s="112"/>
      <c r="AI38" s="112"/>
      <c r="AJ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Y38" s="112"/>
      <c r="AZ38" s="112"/>
      <c r="BA38" s="112"/>
      <c r="BB38" s="112"/>
      <c r="BC38" s="112"/>
      <c r="BD38" s="112"/>
      <c r="BE38" s="112"/>
      <c r="BF38" s="112"/>
      <c r="BG38" s="112"/>
      <c r="BI38" s="112"/>
      <c r="BJ38" s="112"/>
      <c r="BK38" s="112"/>
      <c r="BL38" s="112"/>
    </row>
    <row r="39" spans="17:64" x14ac:dyDescent="0.25">
      <c r="Q39" s="112"/>
      <c r="R39" s="298" t="s">
        <v>558</v>
      </c>
      <c r="S39" s="297">
        <f>SUM(S30:S38)</f>
        <v>0</v>
      </c>
      <c r="T39" s="297">
        <f>SUM(T30:T38)</f>
        <v>0</v>
      </c>
      <c r="U39" s="297"/>
      <c r="V39" s="112"/>
      <c r="W39" s="112"/>
      <c r="X39" s="112"/>
      <c r="Y39" s="112"/>
      <c r="Z39" s="112"/>
      <c r="AA39" s="112"/>
      <c r="AB39" s="112"/>
      <c r="AC39" s="298" t="s">
        <v>558</v>
      </c>
      <c r="AD39" s="297">
        <f>SUM(AD30:AD38)</f>
        <v>4345</v>
      </c>
      <c r="AE39" s="297">
        <f>SUM(AE30:AE38)</f>
        <v>157130.66716306127</v>
      </c>
      <c r="AF39" s="297"/>
      <c r="AG39" s="112"/>
      <c r="AH39" s="112"/>
      <c r="AI39" s="112"/>
      <c r="AJ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Y39" s="112"/>
      <c r="AZ39" s="112"/>
      <c r="BA39" s="112"/>
      <c r="BB39" s="112"/>
      <c r="BC39" s="112"/>
      <c r="BD39" s="112"/>
      <c r="BE39" s="112"/>
      <c r="BF39" s="112"/>
      <c r="BG39" s="112"/>
      <c r="BI39" s="112"/>
      <c r="BJ39" s="112"/>
      <c r="BK39" s="112"/>
      <c r="BL39" s="112"/>
    </row>
    <row r="40" spans="17:64" x14ac:dyDescent="0.25">
      <c r="Q40" s="112"/>
      <c r="R40" s="112"/>
      <c r="S40" s="112"/>
      <c r="T40" s="296"/>
      <c r="U40" s="296"/>
      <c r="V40" s="296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Y40" s="112"/>
      <c r="AZ40" s="112"/>
      <c r="BA40" s="112"/>
      <c r="BB40" s="112"/>
      <c r="BC40" s="112"/>
      <c r="BD40" s="112"/>
      <c r="BE40" s="112"/>
      <c r="BF40" s="112"/>
      <c r="BG40" s="112"/>
      <c r="BI40" s="112"/>
      <c r="BJ40" s="112"/>
      <c r="BK40" s="112"/>
      <c r="BL40" s="112"/>
    </row>
    <row r="41" spans="17:64" x14ac:dyDescent="0.25"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Y41" s="112"/>
      <c r="AZ41" s="112"/>
      <c r="BA41" s="112"/>
      <c r="BB41" s="112"/>
      <c r="BC41" s="112"/>
      <c r="BD41" s="112"/>
      <c r="BE41" s="112"/>
      <c r="BF41" s="112"/>
      <c r="BG41" s="112"/>
      <c r="BI41" s="112"/>
      <c r="BJ41" s="112"/>
      <c r="BK41" s="112"/>
      <c r="BL41" s="112"/>
    </row>
    <row r="42" spans="17:64" x14ac:dyDescent="0.25"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Y42" s="112"/>
      <c r="AZ42" s="112"/>
      <c r="BA42" s="112"/>
      <c r="BB42" s="112"/>
      <c r="BC42" s="112"/>
      <c r="BD42" s="112"/>
      <c r="BE42" s="112"/>
      <c r="BF42" s="112"/>
      <c r="BG42" s="112"/>
      <c r="BI42" s="112"/>
      <c r="BJ42" s="112"/>
      <c r="BK42" s="112"/>
      <c r="BL42" s="112"/>
    </row>
    <row r="43" spans="17:64" x14ac:dyDescent="0.25"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Y43" s="112"/>
      <c r="AZ43" s="112"/>
      <c r="BA43" s="112"/>
      <c r="BB43" s="112"/>
      <c r="BC43" s="112"/>
      <c r="BD43" s="112"/>
      <c r="BE43" s="112"/>
      <c r="BF43" s="112"/>
      <c r="BG43" s="112"/>
      <c r="BI43" s="112"/>
      <c r="BJ43" s="112"/>
      <c r="BK43" s="112"/>
      <c r="BL43" s="112"/>
    </row>
    <row r="44" spans="17:64" x14ac:dyDescent="0.25"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Y44" s="112"/>
      <c r="AZ44" s="112"/>
      <c r="BA44" s="112"/>
      <c r="BB44" s="112"/>
      <c r="BC44" s="112"/>
      <c r="BD44" s="112"/>
      <c r="BE44" s="112"/>
      <c r="BF44" s="112"/>
      <c r="BG44" s="112"/>
      <c r="BI44" s="112"/>
      <c r="BJ44" s="112"/>
      <c r="BK44" s="112"/>
      <c r="BL44" s="112"/>
    </row>
    <row r="45" spans="17:64" x14ac:dyDescent="0.25"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Y45" s="112"/>
      <c r="AZ45" s="112"/>
      <c r="BA45" s="112"/>
      <c r="BB45" s="112"/>
      <c r="BC45" s="112"/>
      <c r="BD45" s="112"/>
      <c r="BE45" s="112"/>
      <c r="BF45" s="112"/>
      <c r="BG45" s="112"/>
      <c r="BI45" s="112"/>
      <c r="BJ45" s="112"/>
      <c r="BK45" s="112"/>
      <c r="BL45" s="112"/>
    </row>
    <row r="46" spans="17:64" x14ac:dyDescent="0.25"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Y46" s="112"/>
      <c r="AZ46" s="112"/>
      <c r="BA46" s="112"/>
      <c r="BB46" s="112"/>
      <c r="BC46" s="112"/>
      <c r="BD46" s="112"/>
      <c r="BE46" s="112"/>
      <c r="BF46" s="112"/>
      <c r="BG46" s="112"/>
      <c r="BI46" s="112"/>
      <c r="BJ46" s="112"/>
      <c r="BK46" s="112"/>
      <c r="BL46" s="112"/>
    </row>
    <row r="47" spans="17:64" x14ac:dyDescent="0.25"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Y47" s="112"/>
      <c r="AZ47" s="112"/>
      <c r="BA47" s="112"/>
      <c r="BB47" s="112"/>
      <c r="BC47" s="112"/>
      <c r="BD47" s="112"/>
      <c r="BE47" s="112"/>
      <c r="BF47" s="112"/>
      <c r="BG47" s="112"/>
      <c r="BI47" s="112"/>
      <c r="BJ47" s="112"/>
      <c r="BK47" s="112"/>
      <c r="BL47" s="112"/>
    </row>
    <row r="48" spans="17:64" x14ac:dyDescent="0.25"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Y48" s="112"/>
      <c r="AZ48" s="112"/>
      <c r="BA48" s="112"/>
      <c r="BB48" s="112"/>
      <c r="BC48" s="112"/>
      <c r="BD48" s="112"/>
      <c r="BE48" s="112"/>
      <c r="BF48" s="112"/>
      <c r="BG48" s="112"/>
      <c r="BI48" s="112"/>
      <c r="BJ48" s="112"/>
      <c r="BK48" s="112"/>
      <c r="BL48" s="112"/>
    </row>
    <row r="49" spans="17:64" x14ac:dyDescent="0.25"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Y49" s="112"/>
      <c r="AZ49" s="112"/>
      <c r="BA49" s="112"/>
      <c r="BB49" s="112"/>
      <c r="BC49" s="112"/>
      <c r="BD49" s="112"/>
      <c r="BE49" s="112"/>
      <c r="BF49" s="112"/>
      <c r="BG49" s="112"/>
      <c r="BI49" s="112"/>
      <c r="BJ49" s="112"/>
      <c r="BK49" s="112"/>
      <c r="BL49" s="112"/>
    </row>
    <row r="50" spans="17:64" x14ac:dyDescent="0.25"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Y50" s="112"/>
      <c r="AZ50" s="112"/>
      <c r="BA50" s="112"/>
      <c r="BB50" s="112"/>
      <c r="BC50" s="112"/>
      <c r="BD50" s="112"/>
      <c r="BE50" s="112"/>
      <c r="BF50" s="112"/>
      <c r="BG50" s="112"/>
      <c r="BI50" s="112"/>
      <c r="BJ50" s="112"/>
      <c r="BK50" s="112"/>
      <c r="BL50" s="112"/>
    </row>
    <row r="51" spans="17:64" x14ac:dyDescent="0.25"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Y51" s="112"/>
      <c r="AZ51" s="112"/>
      <c r="BA51" s="112"/>
      <c r="BB51" s="112"/>
      <c r="BC51" s="112"/>
      <c r="BD51" s="112"/>
      <c r="BE51" s="112"/>
      <c r="BF51" s="112"/>
      <c r="BG51" s="112"/>
      <c r="BI51" s="112"/>
      <c r="BJ51" s="112"/>
      <c r="BK51" s="112"/>
      <c r="BL51" s="112"/>
    </row>
    <row r="52" spans="17:64" x14ac:dyDescent="0.25"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Y52" s="112"/>
      <c r="AZ52" s="112"/>
      <c r="BA52" s="112"/>
      <c r="BB52" s="112"/>
      <c r="BC52" s="112"/>
      <c r="BD52" s="112"/>
      <c r="BE52" s="112"/>
      <c r="BF52" s="112"/>
      <c r="BG52" s="112"/>
      <c r="BI52" s="112"/>
      <c r="BJ52" s="112"/>
      <c r="BK52" s="112"/>
      <c r="BL52" s="112"/>
    </row>
    <row r="53" spans="17:64" x14ac:dyDescent="0.25"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Y53" s="112"/>
      <c r="AZ53" s="112"/>
      <c r="BA53" s="112"/>
      <c r="BB53" s="112"/>
      <c r="BC53" s="112"/>
      <c r="BD53" s="112"/>
      <c r="BE53" s="112"/>
      <c r="BF53" s="112"/>
      <c r="BG53" s="112"/>
      <c r="BI53" s="112"/>
      <c r="BJ53" s="112"/>
      <c r="BK53" s="112"/>
      <c r="BL53" s="112"/>
    </row>
    <row r="54" spans="17:64" x14ac:dyDescent="0.25"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Y54" s="112"/>
      <c r="AZ54" s="112"/>
      <c r="BA54" s="112"/>
      <c r="BB54" s="112"/>
      <c r="BC54" s="112"/>
      <c r="BD54" s="112"/>
      <c r="BE54" s="112"/>
      <c r="BF54" s="112"/>
      <c r="BG54" s="112"/>
      <c r="BI54" s="112"/>
      <c r="BJ54" s="112"/>
      <c r="BK54" s="112"/>
      <c r="BL54" s="112"/>
    </row>
    <row r="55" spans="17:64" x14ac:dyDescent="0.25"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Y55" s="112"/>
      <c r="AZ55" s="112"/>
      <c r="BA55" s="112"/>
      <c r="BB55" s="112"/>
      <c r="BC55" s="112"/>
      <c r="BD55" s="112"/>
      <c r="BE55" s="112"/>
      <c r="BF55" s="112"/>
      <c r="BG55" s="112"/>
      <c r="BI55" s="112"/>
      <c r="BJ55" s="112"/>
      <c r="BK55" s="112"/>
      <c r="BL55" s="112"/>
    </row>
    <row r="56" spans="17:64" x14ac:dyDescent="0.25"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Y56" s="112"/>
      <c r="AZ56" s="112"/>
      <c r="BA56" s="112"/>
      <c r="BB56" s="112"/>
      <c r="BC56" s="112"/>
      <c r="BD56" s="112"/>
      <c r="BE56" s="112"/>
      <c r="BF56" s="112"/>
      <c r="BG56" s="112"/>
      <c r="BI56" s="112"/>
      <c r="BJ56" s="112"/>
      <c r="BK56" s="112"/>
      <c r="BL56" s="112"/>
    </row>
    <row r="57" spans="17:64" x14ac:dyDescent="0.25"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Y57" s="112"/>
      <c r="AZ57" s="112"/>
      <c r="BA57" s="112"/>
      <c r="BB57" s="112"/>
      <c r="BC57" s="112"/>
      <c r="BD57" s="112"/>
      <c r="BE57" s="112"/>
      <c r="BF57" s="112"/>
      <c r="BG57" s="112"/>
      <c r="BI57" s="112"/>
      <c r="BJ57" s="112"/>
      <c r="BK57" s="112"/>
      <c r="BL57" s="112"/>
    </row>
    <row r="58" spans="17:64" x14ac:dyDescent="0.25"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N58" s="112"/>
      <c r="AO58" s="112"/>
      <c r="AP58" s="112"/>
      <c r="AQ58" s="112"/>
      <c r="AR58" s="112"/>
      <c r="AS58" s="112"/>
      <c r="AT58" s="112"/>
      <c r="AU58" s="112"/>
      <c r="AV58" s="112"/>
      <c r="AW58" s="112"/>
      <c r="AY58" s="112"/>
      <c r="AZ58" s="112"/>
      <c r="BA58" s="112"/>
      <c r="BB58" s="112"/>
      <c r="BC58" s="112"/>
      <c r="BD58" s="112"/>
      <c r="BE58" s="112"/>
      <c r="BF58" s="112"/>
      <c r="BG58" s="112"/>
      <c r="BI58" s="112"/>
      <c r="BJ58" s="112"/>
      <c r="BK58" s="112"/>
      <c r="BL58" s="112"/>
    </row>
    <row r="59" spans="17:64" x14ac:dyDescent="0.25"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N59" s="112"/>
      <c r="AO59" s="112"/>
      <c r="AP59" s="112"/>
      <c r="AQ59" s="112"/>
      <c r="AR59" s="112"/>
      <c r="AS59" s="112"/>
      <c r="AT59" s="112"/>
      <c r="AU59" s="112"/>
      <c r="AV59" s="112"/>
      <c r="AW59" s="112"/>
      <c r="AY59" s="112"/>
      <c r="AZ59" s="112"/>
      <c r="BA59" s="112"/>
      <c r="BB59" s="112"/>
      <c r="BC59" s="112"/>
      <c r="BD59" s="112"/>
      <c r="BE59" s="112"/>
      <c r="BF59" s="112"/>
      <c r="BG59" s="112"/>
      <c r="BI59" s="112"/>
      <c r="BJ59" s="112"/>
      <c r="BK59" s="112"/>
      <c r="BL59" s="112"/>
    </row>
    <row r="60" spans="17:64" x14ac:dyDescent="0.25"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2"/>
      <c r="AY60" s="112"/>
      <c r="AZ60" s="112"/>
      <c r="BA60" s="112"/>
      <c r="BB60" s="112"/>
      <c r="BC60" s="112"/>
      <c r="BD60" s="112"/>
      <c r="BE60" s="112"/>
      <c r="BF60" s="112"/>
      <c r="BG60" s="112"/>
      <c r="BI60" s="112"/>
      <c r="BJ60" s="112"/>
      <c r="BK60" s="112"/>
      <c r="BL60" s="112"/>
    </row>
    <row r="61" spans="17:64" x14ac:dyDescent="0.25"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N61" s="112"/>
      <c r="AO61" s="112"/>
      <c r="AP61" s="112"/>
      <c r="AQ61" s="112"/>
      <c r="AR61" s="112"/>
      <c r="AS61" s="112"/>
      <c r="AT61" s="112"/>
      <c r="AU61" s="112"/>
      <c r="AV61" s="112"/>
      <c r="AW61" s="112"/>
      <c r="AY61" s="112"/>
      <c r="AZ61" s="112"/>
      <c r="BA61" s="112"/>
      <c r="BB61" s="112"/>
      <c r="BC61" s="112"/>
      <c r="BD61" s="112"/>
      <c r="BE61" s="112"/>
      <c r="BF61" s="112"/>
      <c r="BG61" s="112"/>
      <c r="BI61" s="112"/>
      <c r="BJ61" s="112"/>
      <c r="BK61" s="112"/>
      <c r="BL61" s="112"/>
    </row>
    <row r="62" spans="17:64" x14ac:dyDescent="0.25"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N62" s="112"/>
      <c r="AO62" s="112"/>
      <c r="AP62" s="112"/>
      <c r="AQ62" s="112"/>
      <c r="AR62" s="112"/>
      <c r="AS62" s="112"/>
      <c r="AT62" s="112"/>
      <c r="AU62" s="112"/>
      <c r="AV62" s="112"/>
      <c r="AW62" s="112"/>
      <c r="AY62" s="112"/>
      <c r="AZ62" s="112"/>
      <c r="BA62" s="112"/>
      <c r="BB62" s="112"/>
      <c r="BC62" s="112"/>
      <c r="BD62" s="112"/>
      <c r="BE62" s="112"/>
      <c r="BF62" s="112"/>
      <c r="BG62" s="112"/>
      <c r="BI62" s="112"/>
      <c r="BJ62" s="112"/>
      <c r="BK62" s="112"/>
      <c r="BL62" s="112"/>
    </row>
    <row r="63" spans="17:64" x14ac:dyDescent="0.25"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N63" s="112"/>
      <c r="AO63" s="112"/>
      <c r="AP63" s="112"/>
      <c r="AQ63" s="112"/>
      <c r="AR63" s="112"/>
      <c r="AS63" s="112"/>
      <c r="AT63" s="112"/>
      <c r="AU63" s="112"/>
      <c r="AV63" s="112"/>
      <c r="AW63" s="112"/>
      <c r="AY63" s="112"/>
      <c r="AZ63" s="112"/>
      <c r="BA63" s="112"/>
      <c r="BB63" s="112"/>
      <c r="BC63" s="112"/>
      <c r="BD63" s="112"/>
      <c r="BE63" s="112"/>
      <c r="BF63" s="112"/>
      <c r="BG63" s="112"/>
      <c r="BI63" s="112"/>
      <c r="BJ63" s="112"/>
      <c r="BK63" s="112"/>
      <c r="BL63" s="112"/>
    </row>
    <row r="64" spans="17:64" x14ac:dyDescent="0.25"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N64" s="112"/>
      <c r="AO64" s="112"/>
      <c r="AP64" s="112"/>
      <c r="AQ64" s="112"/>
      <c r="AR64" s="112"/>
      <c r="AS64" s="112"/>
      <c r="AT64" s="112"/>
      <c r="AU64" s="112"/>
      <c r="AV64" s="112"/>
      <c r="AW64" s="112"/>
      <c r="AY64" s="112"/>
      <c r="AZ64" s="112"/>
      <c r="BA64" s="112"/>
      <c r="BB64" s="112"/>
      <c r="BC64" s="112"/>
      <c r="BD64" s="112"/>
      <c r="BE64" s="112"/>
      <c r="BF64" s="112"/>
      <c r="BG64" s="112"/>
      <c r="BI64" s="112"/>
      <c r="BJ64" s="112"/>
      <c r="BK64" s="112"/>
      <c r="BL64" s="112"/>
    </row>
    <row r="65" spans="17:64" x14ac:dyDescent="0.25"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N65" s="112"/>
      <c r="AO65" s="112"/>
      <c r="AP65" s="112"/>
      <c r="AQ65" s="112"/>
      <c r="AR65" s="112"/>
      <c r="AS65" s="112"/>
      <c r="AT65" s="112"/>
      <c r="AU65" s="112"/>
      <c r="AV65" s="112"/>
      <c r="AW65" s="112"/>
      <c r="AY65" s="112"/>
      <c r="AZ65" s="112"/>
      <c r="BA65" s="112"/>
      <c r="BB65" s="112"/>
      <c r="BC65" s="112"/>
      <c r="BD65" s="112"/>
      <c r="BE65" s="112"/>
      <c r="BF65" s="112"/>
      <c r="BG65" s="112"/>
      <c r="BI65" s="112"/>
      <c r="BJ65" s="112"/>
      <c r="BK65" s="112"/>
      <c r="BL65" s="112"/>
    </row>
    <row r="66" spans="17:64" x14ac:dyDescent="0.25"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N66" s="112"/>
      <c r="AO66" s="112"/>
      <c r="AP66" s="112"/>
      <c r="AQ66" s="112"/>
      <c r="AR66" s="112"/>
      <c r="AS66" s="112"/>
      <c r="AT66" s="112"/>
      <c r="AU66" s="112"/>
      <c r="AV66" s="112"/>
      <c r="AW66" s="112"/>
      <c r="AY66" s="112"/>
      <c r="AZ66" s="112"/>
      <c r="BA66" s="112"/>
      <c r="BB66" s="112"/>
      <c r="BC66" s="112"/>
      <c r="BD66" s="112"/>
      <c r="BE66" s="112"/>
      <c r="BF66" s="112"/>
      <c r="BG66" s="112"/>
      <c r="BI66" s="112"/>
      <c r="BJ66" s="112"/>
      <c r="BK66" s="112"/>
      <c r="BL66" s="112"/>
    </row>
    <row r="67" spans="17:64" x14ac:dyDescent="0.25"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N67" s="112"/>
      <c r="AO67" s="112"/>
      <c r="AP67" s="112"/>
      <c r="AQ67" s="112"/>
      <c r="AR67" s="112"/>
      <c r="AS67" s="112"/>
      <c r="AT67" s="112"/>
      <c r="AU67" s="112"/>
      <c r="AV67" s="112"/>
      <c r="AW67" s="112"/>
      <c r="AY67" s="112"/>
      <c r="AZ67" s="112"/>
      <c r="BA67" s="112"/>
      <c r="BB67" s="112"/>
      <c r="BC67" s="112"/>
      <c r="BD67" s="112"/>
      <c r="BE67" s="112"/>
      <c r="BF67" s="112"/>
      <c r="BG67" s="112"/>
      <c r="BI67" s="112"/>
      <c r="BJ67" s="112"/>
      <c r="BK67" s="112"/>
      <c r="BL67" s="112"/>
    </row>
    <row r="68" spans="17:64" x14ac:dyDescent="0.25"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N68" s="112"/>
      <c r="AO68" s="112"/>
      <c r="AP68" s="112"/>
      <c r="AQ68" s="112"/>
      <c r="AR68" s="112"/>
      <c r="AS68" s="112"/>
      <c r="AT68" s="112"/>
      <c r="AU68" s="112"/>
      <c r="AV68" s="112"/>
      <c r="AW68" s="112"/>
      <c r="AY68" s="112"/>
      <c r="AZ68" s="112"/>
      <c r="BA68" s="112"/>
      <c r="BB68" s="112"/>
      <c r="BC68" s="112"/>
      <c r="BD68" s="112"/>
      <c r="BE68" s="112"/>
      <c r="BF68" s="112"/>
      <c r="BG68" s="112"/>
      <c r="BI68" s="112"/>
      <c r="BJ68" s="112"/>
      <c r="BK68" s="112"/>
      <c r="BL68" s="112"/>
    </row>
    <row r="69" spans="17:64" x14ac:dyDescent="0.25"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N69" s="112"/>
      <c r="AO69" s="112"/>
      <c r="AP69" s="112"/>
      <c r="AQ69" s="112"/>
      <c r="AR69" s="112"/>
      <c r="AS69" s="112"/>
      <c r="AT69" s="112"/>
      <c r="AU69" s="112"/>
      <c r="AV69" s="112"/>
      <c r="AW69" s="112"/>
      <c r="AY69" s="112"/>
      <c r="AZ69" s="112"/>
      <c r="BA69" s="112"/>
      <c r="BB69" s="112"/>
      <c r="BC69" s="112"/>
      <c r="BD69" s="112"/>
      <c r="BE69" s="112"/>
      <c r="BF69" s="112"/>
      <c r="BG69" s="112"/>
      <c r="BI69" s="112"/>
      <c r="BJ69" s="112"/>
      <c r="BK69" s="112"/>
      <c r="BL69" s="112"/>
    </row>
    <row r="70" spans="17:64" x14ac:dyDescent="0.25"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N70" s="112"/>
      <c r="AO70" s="112"/>
      <c r="AP70" s="112"/>
      <c r="AQ70" s="112"/>
      <c r="AR70" s="112"/>
      <c r="AS70" s="112"/>
      <c r="AT70" s="112"/>
      <c r="AU70" s="112"/>
      <c r="AV70" s="112"/>
      <c r="AW70" s="112"/>
      <c r="AY70" s="112"/>
      <c r="AZ70" s="112"/>
      <c r="BA70" s="112"/>
      <c r="BB70" s="112"/>
      <c r="BC70" s="112"/>
      <c r="BD70" s="112"/>
      <c r="BE70" s="112"/>
      <c r="BF70" s="112"/>
      <c r="BG70" s="112"/>
      <c r="BI70" s="112"/>
      <c r="BJ70" s="112"/>
      <c r="BK70" s="112"/>
      <c r="BL70" s="112"/>
    </row>
    <row r="71" spans="17:64" x14ac:dyDescent="0.25"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N71" s="112"/>
      <c r="AO71" s="112"/>
      <c r="AP71" s="112"/>
      <c r="AQ71" s="112"/>
      <c r="AR71" s="112"/>
      <c r="AS71" s="112"/>
      <c r="AT71" s="112"/>
      <c r="AU71" s="112"/>
      <c r="AV71" s="112"/>
      <c r="AW71" s="112"/>
      <c r="AY71" s="112"/>
      <c r="AZ71" s="112"/>
      <c r="BA71" s="112"/>
      <c r="BB71" s="112"/>
      <c r="BC71" s="112"/>
      <c r="BD71" s="112"/>
      <c r="BE71" s="112"/>
      <c r="BF71" s="112"/>
      <c r="BG71" s="112"/>
      <c r="BI71" s="112"/>
      <c r="BJ71" s="112"/>
      <c r="BK71" s="112"/>
      <c r="BL71" s="112"/>
    </row>
    <row r="72" spans="17:64" x14ac:dyDescent="0.25"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N72" s="112"/>
      <c r="AO72" s="112"/>
      <c r="AP72" s="112"/>
      <c r="AQ72" s="112"/>
      <c r="AR72" s="112"/>
      <c r="AS72" s="112"/>
      <c r="AT72" s="112"/>
      <c r="AU72" s="112"/>
      <c r="AV72" s="112"/>
      <c r="AW72" s="112"/>
      <c r="AY72" s="112"/>
      <c r="AZ72" s="112"/>
      <c r="BA72" s="112"/>
      <c r="BB72" s="112"/>
      <c r="BC72" s="112"/>
      <c r="BD72" s="112"/>
      <c r="BE72" s="112"/>
      <c r="BF72" s="112"/>
      <c r="BG72" s="112"/>
      <c r="BI72" s="112"/>
      <c r="BJ72" s="112"/>
      <c r="BK72" s="112"/>
      <c r="BL72" s="112"/>
    </row>
    <row r="73" spans="17:64" x14ac:dyDescent="0.25"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N73" s="112"/>
      <c r="AO73" s="112"/>
      <c r="AP73" s="112"/>
      <c r="AQ73" s="112"/>
      <c r="AR73" s="112"/>
      <c r="AS73" s="112"/>
      <c r="AT73" s="112"/>
      <c r="AU73" s="112"/>
      <c r="AV73" s="112"/>
      <c r="AW73" s="112"/>
      <c r="AY73" s="112"/>
      <c r="AZ73" s="112"/>
      <c r="BA73" s="112"/>
      <c r="BB73" s="112"/>
      <c r="BC73" s="112"/>
      <c r="BD73" s="112"/>
      <c r="BE73" s="112"/>
      <c r="BF73" s="112"/>
      <c r="BG73" s="112"/>
      <c r="BI73" s="112"/>
      <c r="BJ73" s="112"/>
      <c r="BK73" s="112"/>
      <c r="BL73" s="112"/>
    </row>
    <row r="74" spans="17:64" x14ac:dyDescent="0.25"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N74" s="112"/>
      <c r="AO74" s="112"/>
      <c r="AP74" s="112"/>
      <c r="AQ74" s="112"/>
      <c r="AR74" s="112"/>
      <c r="AS74" s="112"/>
      <c r="AT74" s="112"/>
      <c r="AU74" s="112"/>
      <c r="AV74" s="112"/>
      <c r="AW74" s="112"/>
      <c r="AY74" s="112"/>
      <c r="AZ74" s="112"/>
      <c r="BA74" s="112"/>
      <c r="BB74" s="112"/>
      <c r="BC74" s="112"/>
      <c r="BD74" s="112"/>
      <c r="BE74" s="112"/>
      <c r="BF74" s="112"/>
      <c r="BG74" s="112"/>
      <c r="BI74" s="112"/>
      <c r="BJ74" s="112"/>
      <c r="BK74" s="112"/>
      <c r="BL74" s="112"/>
    </row>
    <row r="75" spans="17:64" x14ac:dyDescent="0.25"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N75" s="112"/>
      <c r="AO75" s="112"/>
      <c r="AP75" s="112"/>
      <c r="AQ75" s="112"/>
      <c r="AR75" s="112"/>
      <c r="AS75" s="112"/>
      <c r="AT75" s="112"/>
      <c r="AU75" s="112"/>
      <c r="AV75" s="112"/>
      <c r="AW75" s="112"/>
      <c r="AY75" s="112"/>
      <c r="AZ75" s="112"/>
      <c r="BA75" s="112"/>
      <c r="BB75" s="112"/>
      <c r="BC75" s="112"/>
      <c r="BD75" s="112"/>
      <c r="BE75" s="112"/>
      <c r="BF75" s="112"/>
      <c r="BG75" s="112"/>
      <c r="BI75" s="112"/>
      <c r="BJ75" s="112"/>
      <c r="BK75" s="112"/>
      <c r="BL75" s="112"/>
    </row>
    <row r="76" spans="17:64" x14ac:dyDescent="0.25"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N76" s="112"/>
      <c r="AO76" s="112"/>
      <c r="AP76" s="112"/>
      <c r="AQ76" s="112"/>
      <c r="AR76" s="112"/>
      <c r="AS76" s="112"/>
      <c r="AT76" s="112"/>
      <c r="AU76" s="112"/>
      <c r="AV76" s="112"/>
      <c r="AW76" s="112"/>
      <c r="AY76" s="112"/>
      <c r="AZ76" s="112"/>
      <c r="BA76" s="112"/>
      <c r="BB76" s="112"/>
      <c r="BC76" s="112"/>
      <c r="BD76" s="112"/>
      <c r="BE76" s="112"/>
      <c r="BF76" s="112"/>
      <c r="BG76" s="112"/>
      <c r="BI76" s="112"/>
      <c r="BJ76" s="112"/>
      <c r="BK76" s="112"/>
      <c r="BL76" s="112"/>
    </row>
    <row r="77" spans="17:64" x14ac:dyDescent="0.25"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N77" s="112"/>
      <c r="AO77" s="112"/>
      <c r="AP77" s="112"/>
      <c r="AQ77" s="112"/>
      <c r="AR77" s="112"/>
      <c r="AS77" s="112"/>
      <c r="AT77" s="112"/>
      <c r="AU77" s="112"/>
      <c r="AV77" s="112"/>
      <c r="AW77" s="112"/>
      <c r="AY77" s="112"/>
      <c r="AZ77" s="112"/>
      <c r="BA77" s="112"/>
      <c r="BB77" s="112"/>
      <c r="BC77" s="112"/>
      <c r="BD77" s="112"/>
      <c r="BE77" s="112"/>
      <c r="BF77" s="112"/>
      <c r="BG77" s="112"/>
      <c r="BI77" s="112"/>
      <c r="BJ77" s="112"/>
      <c r="BK77" s="112"/>
      <c r="BL77" s="112"/>
    </row>
    <row r="78" spans="17:64" x14ac:dyDescent="0.25"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N78" s="112"/>
      <c r="AO78" s="112"/>
      <c r="AP78" s="112"/>
      <c r="AQ78" s="112"/>
      <c r="AR78" s="112"/>
      <c r="AS78" s="112"/>
      <c r="AT78" s="112"/>
      <c r="AU78" s="112"/>
      <c r="AV78" s="112"/>
      <c r="AW78" s="112"/>
      <c r="AY78" s="112"/>
      <c r="AZ78" s="112"/>
      <c r="BA78" s="112"/>
      <c r="BB78" s="112"/>
      <c r="BC78" s="112"/>
      <c r="BD78" s="112"/>
      <c r="BE78" s="112"/>
      <c r="BF78" s="112"/>
      <c r="BG78" s="112"/>
      <c r="BI78" s="112"/>
      <c r="BJ78" s="112"/>
      <c r="BK78" s="112"/>
      <c r="BL78" s="112"/>
    </row>
    <row r="79" spans="17:64" x14ac:dyDescent="0.25"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N79" s="112"/>
      <c r="AO79" s="112"/>
      <c r="AP79" s="112"/>
      <c r="AQ79" s="112"/>
      <c r="AR79" s="112"/>
      <c r="AS79" s="112"/>
      <c r="AT79" s="112"/>
      <c r="AU79" s="112"/>
      <c r="AV79" s="112"/>
      <c r="AW79" s="112"/>
      <c r="AY79" s="112"/>
      <c r="AZ79" s="112"/>
      <c r="BA79" s="112"/>
      <c r="BB79" s="112"/>
      <c r="BC79" s="112"/>
      <c r="BD79" s="112"/>
      <c r="BE79" s="112"/>
      <c r="BF79" s="112"/>
      <c r="BG79" s="112"/>
      <c r="BI79" s="112"/>
      <c r="BJ79" s="112"/>
      <c r="BK79" s="112"/>
      <c r="BL79" s="112"/>
    </row>
    <row r="80" spans="17:64" x14ac:dyDescent="0.25"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N80" s="112"/>
      <c r="AO80" s="112"/>
      <c r="AP80" s="112"/>
      <c r="AQ80" s="112"/>
      <c r="AR80" s="112"/>
      <c r="AS80" s="112"/>
      <c r="AT80" s="112"/>
      <c r="AU80" s="112"/>
      <c r="AV80" s="112"/>
      <c r="AW80" s="112"/>
      <c r="AY80" s="112"/>
      <c r="AZ80" s="112"/>
      <c r="BA80" s="112"/>
      <c r="BB80" s="112"/>
      <c r="BC80" s="112"/>
      <c r="BD80" s="112"/>
      <c r="BE80" s="112"/>
      <c r="BF80" s="112"/>
      <c r="BG80" s="112"/>
      <c r="BI80" s="112"/>
      <c r="BJ80" s="112"/>
      <c r="BK80" s="112"/>
      <c r="BL80" s="112"/>
    </row>
    <row r="81" spans="17:64" x14ac:dyDescent="0.25"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N81" s="112"/>
      <c r="AO81" s="112"/>
      <c r="AP81" s="112"/>
      <c r="AQ81" s="112"/>
      <c r="AR81" s="112"/>
      <c r="AS81" s="112"/>
      <c r="AT81" s="112"/>
      <c r="AU81" s="112"/>
      <c r="AV81" s="112"/>
      <c r="AW81" s="112"/>
      <c r="AY81" s="112"/>
      <c r="AZ81" s="112"/>
      <c r="BA81" s="112"/>
      <c r="BB81" s="112"/>
      <c r="BC81" s="112"/>
      <c r="BD81" s="112"/>
      <c r="BE81" s="112"/>
      <c r="BF81" s="112"/>
      <c r="BG81" s="112"/>
      <c r="BI81" s="112"/>
      <c r="BJ81" s="112"/>
      <c r="BK81" s="112"/>
      <c r="BL81" s="112"/>
    </row>
    <row r="82" spans="17:64" x14ac:dyDescent="0.25"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N82" s="112"/>
      <c r="AO82" s="112"/>
      <c r="AP82" s="112"/>
      <c r="AQ82" s="112"/>
      <c r="AR82" s="112"/>
      <c r="AS82" s="112"/>
      <c r="AT82" s="112"/>
      <c r="AU82" s="112"/>
      <c r="AV82" s="112"/>
      <c r="AW82" s="112"/>
      <c r="AY82" s="112"/>
      <c r="AZ82" s="112"/>
      <c r="BA82" s="112"/>
      <c r="BB82" s="112"/>
      <c r="BC82" s="112"/>
      <c r="BD82" s="112"/>
      <c r="BE82" s="112"/>
      <c r="BF82" s="112"/>
      <c r="BG82" s="112"/>
      <c r="BI82" s="112"/>
      <c r="BJ82" s="112"/>
      <c r="BK82" s="112"/>
      <c r="BL82" s="112"/>
    </row>
    <row r="83" spans="17:64" x14ac:dyDescent="0.25"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N83" s="112"/>
      <c r="AO83" s="112"/>
      <c r="AP83" s="112"/>
      <c r="AQ83" s="112"/>
      <c r="AR83" s="112"/>
      <c r="AS83" s="112"/>
      <c r="AT83" s="112"/>
      <c r="AU83" s="112"/>
      <c r="AV83" s="112"/>
      <c r="AW83" s="112"/>
      <c r="AY83" s="112"/>
      <c r="AZ83" s="112"/>
      <c r="BA83" s="112"/>
      <c r="BB83" s="112"/>
      <c r="BC83" s="112"/>
      <c r="BD83" s="112"/>
      <c r="BE83" s="112"/>
      <c r="BF83" s="112"/>
      <c r="BG83" s="112"/>
      <c r="BI83" s="112"/>
      <c r="BJ83" s="112"/>
      <c r="BK83" s="112"/>
      <c r="BL83" s="112"/>
    </row>
    <row r="84" spans="17:64" x14ac:dyDescent="0.25"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N84" s="112"/>
      <c r="AO84" s="112"/>
      <c r="AP84" s="112"/>
      <c r="AQ84" s="112"/>
      <c r="AR84" s="112"/>
      <c r="AS84" s="112"/>
      <c r="AT84" s="112"/>
      <c r="AU84" s="112"/>
      <c r="AV84" s="112"/>
      <c r="AW84" s="112"/>
      <c r="AY84" s="112"/>
      <c r="AZ84" s="112"/>
      <c r="BA84" s="112"/>
      <c r="BB84" s="112"/>
      <c r="BC84" s="112"/>
      <c r="BD84" s="112"/>
      <c r="BE84" s="112"/>
      <c r="BF84" s="112"/>
      <c r="BG84" s="112"/>
      <c r="BI84" s="112"/>
      <c r="BJ84" s="112"/>
      <c r="BK84" s="112"/>
      <c r="BL84" s="112"/>
    </row>
    <row r="85" spans="17:64" x14ac:dyDescent="0.25"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N85" s="112"/>
      <c r="AO85" s="112"/>
      <c r="AP85" s="112"/>
      <c r="AQ85" s="112"/>
      <c r="AR85" s="112"/>
      <c r="AS85" s="112"/>
      <c r="AT85" s="112"/>
      <c r="AU85" s="112"/>
      <c r="AV85" s="112"/>
      <c r="AW85" s="112"/>
      <c r="AY85" s="112"/>
      <c r="AZ85" s="112"/>
      <c r="BA85" s="112"/>
      <c r="BB85" s="112"/>
      <c r="BC85" s="112"/>
      <c r="BD85" s="112"/>
      <c r="BE85" s="112"/>
      <c r="BF85" s="112"/>
      <c r="BG85" s="112"/>
      <c r="BI85" s="112"/>
      <c r="BJ85" s="112"/>
      <c r="BK85" s="112"/>
      <c r="BL85" s="112"/>
    </row>
    <row r="86" spans="17:64" x14ac:dyDescent="0.25"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N86" s="112"/>
      <c r="AO86" s="112"/>
      <c r="AP86" s="112"/>
      <c r="AQ86" s="112"/>
      <c r="AR86" s="112"/>
      <c r="AS86" s="112"/>
      <c r="AT86" s="112"/>
      <c r="AU86" s="112"/>
      <c r="AV86" s="112"/>
      <c r="AW86" s="112"/>
      <c r="AY86" s="112"/>
      <c r="AZ86" s="112"/>
      <c r="BA86" s="112"/>
      <c r="BB86" s="112"/>
      <c r="BC86" s="112"/>
      <c r="BD86" s="112"/>
      <c r="BE86" s="112"/>
      <c r="BF86" s="112"/>
      <c r="BG86" s="112"/>
      <c r="BI86" s="112"/>
      <c r="BJ86" s="112"/>
      <c r="BK86" s="112"/>
      <c r="BL86" s="112"/>
    </row>
    <row r="87" spans="17:64" x14ac:dyDescent="0.25"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N87" s="112"/>
      <c r="AO87" s="112"/>
      <c r="AP87" s="112"/>
      <c r="AQ87" s="112"/>
      <c r="AR87" s="112"/>
      <c r="AS87" s="112"/>
      <c r="AT87" s="112"/>
      <c r="AU87" s="112"/>
      <c r="AV87" s="112"/>
      <c r="AW87" s="112"/>
      <c r="AY87" s="112"/>
      <c r="AZ87" s="112"/>
      <c r="BA87" s="112"/>
      <c r="BB87" s="112"/>
      <c r="BC87" s="112"/>
      <c r="BD87" s="112"/>
      <c r="BE87" s="112"/>
      <c r="BF87" s="112"/>
      <c r="BG87" s="112"/>
      <c r="BI87" s="112"/>
      <c r="BJ87" s="112"/>
      <c r="BK87" s="112"/>
      <c r="BL87" s="112"/>
    </row>
    <row r="88" spans="17:64" x14ac:dyDescent="0.25"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N88" s="112"/>
      <c r="AO88" s="112"/>
      <c r="AP88" s="112"/>
      <c r="AQ88" s="112"/>
      <c r="AR88" s="112"/>
      <c r="AS88" s="112"/>
      <c r="AT88" s="112"/>
      <c r="AU88" s="112"/>
      <c r="AV88" s="112"/>
      <c r="AW88" s="112"/>
      <c r="AY88" s="112"/>
      <c r="AZ88" s="112"/>
      <c r="BA88" s="112"/>
      <c r="BB88" s="112"/>
      <c r="BC88" s="112"/>
      <c r="BD88" s="112"/>
      <c r="BE88" s="112"/>
      <c r="BF88" s="112"/>
      <c r="BG88" s="112"/>
      <c r="BI88" s="112"/>
      <c r="BJ88" s="112"/>
      <c r="BK88" s="112"/>
      <c r="BL88" s="112"/>
    </row>
    <row r="89" spans="17:64" x14ac:dyDescent="0.25"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N89" s="112"/>
      <c r="AO89" s="112"/>
      <c r="AP89" s="112"/>
      <c r="AQ89" s="112"/>
      <c r="AR89" s="112"/>
      <c r="AS89" s="112"/>
      <c r="AT89" s="112"/>
      <c r="AU89" s="112"/>
      <c r="AV89" s="112"/>
      <c r="AW89" s="112"/>
      <c r="AY89" s="112"/>
      <c r="AZ89" s="112"/>
      <c r="BA89" s="112"/>
      <c r="BB89" s="112"/>
      <c r="BC89" s="112"/>
      <c r="BD89" s="112"/>
      <c r="BE89" s="112"/>
      <c r="BF89" s="112"/>
      <c r="BG89" s="112"/>
      <c r="BI89" s="112"/>
      <c r="BJ89" s="112"/>
      <c r="BK89" s="112"/>
      <c r="BL89" s="112"/>
    </row>
    <row r="90" spans="17:64" x14ac:dyDescent="0.25"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N90" s="112"/>
      <c r="AO90" s="112"/>
      <c r="AP90" s="112"/>
      <c r="AQ90" s="112"/>
      <c r="AR90" s="112"/>
      <c r="AS90" s="112"/>
      <c r="AT90" s="112"/>
      <c r="AU90" s="112"/>
      <c r="AV90" s="112"/>
      <c r="AW90" s="112"/>
      <c r="AY90" s="112"/>
      <c r="AZ90" s="112"/>
      <c r="BA90" s="112"/>
      <c r="BB90" s="112"/>
      <c r="BC90" s="112"/>
      <c r="BD90" s="112"/>
      <c r="BE90" s="112"/>
      <c r="BF90" s="112"/>
      <c r="BG90" s="112"/>
      <c r="BI90" s="112"/>
      <c r="BJ90" s="112"/>
      <c r="BK90" s="112"/>
      <c r="BL90" s="112"/>
    </row>
    <row r="91" spans="17:64" x14ac:dyDescent="0.25"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N91" s="112"/>
      <c r="AO91" s="112"/>
      <c r="AP91" s="112"/>
      <c r="AQ91" s="112"/>
      <c r="AR91" s="112"/>
      <c r="AS91" s="112"/>
      <c r="AT91" s="112"/>
      <c r="AU91" s="112"/>
      <c r="AV91" s="112"/>
      <c r="AW91" s="112"/>
      <c r="AY91" s="112"/>
      <c r="AZ91" s="112"/>
      <c r="BA91" s="112"/>
      <c r="BB91" s="112"/>
      <c r="BC91" s="112"/>
      <c r="BD91" s="112"/>
      <c r="BE91" s="112"/>
      <c r="BF91" s="112"/>
      <c r="BG91" s="112"/>
      <c r="BI91" s="112"/>
      <c r="BJ91" s="112"/>
      <c r="BK91" s="112"/>
      <c r="BL91" s="112"/>
    </row>
    <row r="92" spans="17:64" x14ac:dyDescent="0.25"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N92" s="112"/>
      <c r="AO92" s="112"/>
      <c r="AP92" s="112"/>
      <c r="AQ92" s="112"/>
      <c r="AR92" s="112"/>
      <c r="AS92" s="112"/>
      <c r="AT92" s="112"/>
      <c r="AU92" s="112"/>
      <c r="AV92" s="112"/>
      <c r="AW92" s="112"/>
      <c r="AY92" s="112"/>
      <c r="AZ92" s="112"/>
      <c r="BA92" s="112"/>
      <c r="BB92" s="112"/>
      <c r="BC92" s="112"/>
      <c r="BD92" s="112"/>
      <c r="BE92" s="112"/>
      <c r="BF92" s="112"/>
      <c r="BG92" s="112"/>
      <c r="BI92" s="112"/>
      <c r="BJ92" s="112"/>
      <c r="BK92" s="112"/>
      <c r="BL92" s="112"/>
    </row>
    <row r="93" spans="17:64" x14ac:dyDescent="0.25"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N93" s="112"/>
      <c r="AO93" s="112"/>
      <c r="AP93" s="112"/>
      <c r="AQ93" s="112"/>
      <c r="AR93" s="112"/>
      <c r="AS93" s="112"/>
      <c r="AT93" s="112"/>
      <c r="AU93" s="112"/>
      <c r="AV93" s="112"/>
      <c r="AW93" s="112"/>
      <c r="AY93" s="112"/>
      <c r="AZ93" s="112"/>
      <c r="BA93" s="112"/>
      <c r="BB93" s="112"/>
      <c r="BC93" s="112"/>
      <c r="BD93" s="112"/>
      <c r="BE93" s="112"/>
      <c r="BF93" s="112"/>
      <c r="BG93" s="112"/>
      <c r="BI93" s="112"/>
      <c r="BJ93" s="112"/>
      <c r="BK93" s="112"/>
      <c r="BL93" s="112"/>
    </row>
    <row r="94" spans="17:64" x14ac:dyDescent="0.25"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Y94" s="112"/>
      <c r="AZ94" s="112"/>
      <c r="BA94" s="112"/>
      <c r="BB94" s="112"/>
      <c r="BC94" s="112"/>
      <c r="BD94" s="112"/>
      <c r="BE94" s="112"/>
      <c r="BF94" s="112"/>
      <c r="BG94" s="112"/>
      <c r="BI94" s="112"/>
      <c r="BJ94" s="112"/>
      <c r="BK94" s="112"/>
      <c r="BL94" s="112"/>
    </row>
    <row r="95" spans="17:64" x14ac:dyDescent="0.25"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  <c r="AJ95" s="112"/>
      <c r="AN95" s="112"/>
      <c r="AO95" s="112"/>
      <c r="AP95" s="112"/>
      <c r="AQ95" s="112"/>
      <c r="AR95" s="112"/>
      <c r="AS95" s="112"/>
      <c r="AT95" s="112"/>
      <c r="AU95" s="112"/>
      <c r="AV95" s="112"/>
      <c r="AW95" s="112"/>
      <c r="AY95" s="112"/>
      <c r="AZ95" s="112"/>
      <c r="BA95" s="112"/>
      <c r="BB95" s="112"/>
      <c r="BC95" s="112"/>
      <c r="BD95" s="112"/>
      <c r="BE95" s="112"/>
      <c r="BF95" s="112"/>
      <c r="BG95" s="112"/>
      <c r="BI95" s="112"/>
      <c r="BJ95" s="112"/>
      <c r="BK95" s="112"/>
      <c r="BL95" s="112"/>
    </row>
    <row r="96" spans="17:64" x14ac:dyDescent="0.25"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Y96" s="112"/>
      <c r="AZ96" s="112"/>
      <c r="BA96" s="112"/>
      <c r="BB96" s="112"/>
      <c r="BC96" s="112"/>
      <c r="BD96" s="112"/>
      <c r="BE96" s="112"/>
      <c r="BF96" s="112"/>
      <c r="BG96" s="112"/>
      <c r="BI96" s="112"/>
      <c r="BJ96" s="112"/>
      <c r="BK96" s="112"/>
      <c r="BL96" s="112"/>
    </row>
    <row r="97" spans="17:64" x14ac:dyDescent="0.25"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N97" s="112"/>
      <c r="AO97" s="112"/>
      <c r="AP97" s="112"/>
      <c r="AQ97" s="112"/>
      <c r="AR97" s="112"/>
      <c r="AS97" s="112"/>
      <c r="AT97" s="112"/>
      <c r="AU97" s="112"/>
      <c r="AV97" s="112"/>
      <c r="AW97" s="112"/>
      <c r="AY97" s="112"/>
      <c r="AZ97" s="112"/>
      <c r="BA97" s="112"/>
      <c r="BB97" s="112"/>
      <c r="BC97" s="112"/>
      <c r="BD97" s="112"/>
      <c r="BE97" s="112"/>
      <c r="BF97" s="112"/>
      <c r="BG97" s="112"/>
      <c r="BI97" s="112"/>
      <c r="BJ97" s="112"/>
      <c r="BK97" s="112"/>
      <c r="BL97" s="112"/>
    </row>
    <row r="98" spans="17:64" x14ac:dyDescent="0.25"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N98" s="112"/>
      <c r="AO98" s="112"/>
      <c r="AP98" s="112"/>
      <c r="AQ98" s="112"/>
      <c r="AR98" s="112"/>
      <c r="AS98" s="112"/>
      <c r="AT98" s="112"/>
      <c r="AU98" s="112"/>
      <c r="AV98" s="112"/>
      <c r="AW98" s="112"/>
      <c r="AY98" s="112"/>
      <c r="AZ98" s="112"/>
      <c r="BA98" s="112"/>
      <c r="BB98" s="112"/>
      <c r="BC98" s="112"/>
      <c r="BD98" s="112"/>
      <c r="BE98" s="112"/>
      <c r="BF98" s="112"/>
      <c r="BG98" s="112"/>
      <c r="BI98" s="112"/>
      <c r="BJ98" s="112"/>
      <c r="BK98" s="112"/>
      <c r="BL98" s="112"/>
    </row>
    <row r="99" spans="17:64" x14ac:dyDescent="0.25"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112"/>
      <c r="AI99" s="112"/>
      <c r="AJ99" s="112"/>
      <c r="AN99" s="112"/>
      <c r="AO99" s="112"/>
      <c r="AP99" s="112"/>
      <c r="AQ99" s="112"/>
      <c r="AR99" s="112"/>
      <c r="AS99" s="112"/>
      <c r="AT99" s="112"/>
      <c r="AU99" s="112"/>
      <c r="AV99" s="112"/>
      <c r="AW99" s="112"/>
      <c r="AY99" s="112"/>
      <c r="AZ99" s="112"/>
      <c r="BA99" s="112"/>
      <c r="BB99" s="112"/>
      <c r="BC99" s="112"/>
      <c r="BD99" s="112"/>
      <c r="BE99" s="112"/>
      <c r="BF99" s="112"/>
      <c r="BG99" s="112"/>
      <c r="BI99" s="112"/>
      <c r="BJ99" s="112"/>
      <c r="BK99" s="112"/>
      <c r="BL99" s="112"/>
    </row>
    <row r="100" spans="17:64" x14ac:dyDescent="0.25"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112"/>
      <c r="AI100" s="112"/>
      <c r="AJ100" s="112"/>
      <c r="AN100" s="112"/>
      <c r="AO100" s="112"/>
      <c r="AP100" s="112"/>
      <c r="AQ100" s="112"/>
      <c r="AR100" s="112"/>
      <c r="AS100" s="112"/>
      <c r="AT100" s="112"/>
      <c r="AU100" s="112"/>
      <c r="AV100" s="112"/>
      <c r="AW100" s="112"/>
      <c r="AY100" s="112"/>
      <c r="AZ100" s="112"/>
      <c r="BA100" s="112"/>
      <c r="BB100" s="112"/>
      <c r="BC100" s="112"/>
      <c r="BD100" s="112"/>
      <c r="BE100" s="112"/>
      <c r="BF100" s="112"/>
      <c r="BG100" s="112"/>
      <c r="BI100" s="112"/>
      <c r="BJ100" s="112"/>
      <c r="BK100" s="112"/>
      <c r="BL100" s="112"/>
    </row>
    <row r="101" spans="17:64" x14ac:dyDescent="0.25"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2"/>
      <c r="AN101" s="112"/>
      <c r="AO101" s="112"/>
      <c r="AP101" s="112"/>
      <c r="AQ101" s="112"/>
      <c r="AR101" s="112"/>
      <c r="AS101" s="112"/>
      <c r="AT101" s="112"/>
      <c r="AU101" s="112"/>
      <c r="AV101" s="112"/>
      <c r="AW101" s="112"/>
      <c r="AY101" s="112"/>
      <c r="AZ101" s="112"/>
      <c r="BA101" s="112"/>
      <c r="BB101" s="112"/>
      <c r="BC101" s="112"/>
      <c r="BD101" s="112"/>
      <c r="BE101" s="112"/>
      <c r="BF101" s="112"/>
      <c r="BG101" s="112"/>
      <c r="BI101" s="112"/>
      <c r="BJ101" s="112"/>
      <c r="BK101" s="112"/>
      <c r="BL101" s="112"/>
    </row>
    <row r="102" spans="17:64" x14ac:dyDescent="0.25"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112"/>
      <c r="AI102" s="112"/>
      <c r="AJ102" s="112"/>
      <c r="AN102" s="112"/>
      <c r="AO102" s="112"/>
      <c r="AP102" s="112"/>
      <c r="AQ102" s="112"/>
      <c r="AR102" s="112"/>
      <c r="AS102" s="112"/>
      <c r="AT102" s="112"/>
      <c r="AU102" s="112"/>
      <c r="AV102" s="112"/>
      <c r="AW102" s="112"/>
      <c r="AY102" s="112"/>
      <c r="AZ102" s="112"/>
      <c r="BA102" s="112"/>
      <c r="BB102" s="112"/>
      <c r="BC102" s="112"/>
      <c r="BD102" s="112"/>
      <c r="BE102" s="112"/>
      <c r="BF102" s="112"/>
      <c r="BG102" s="112"/>
      <c r="BI102" s="112"/>
      <c r="BJ102" s="112"/>
      <c r="BK102" s="112"/>
      <c r="BL102" s="112"/>
    </row>
    <row r="103" spans="17:64" x14ac:dyDescent="0.25"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112"/>
      <c r="AI103" s="112"/>
      <c r="AJ103" s="112"/>
      <c r="AN103" s="112"/>
      <c r="AO103" s="112"/>
      <c r="AP103" s="112"/>
      <c r="AQ103" s="112"/>
      <c r="AR103" s="112"/>
      <c r="AS103" s="112"/>
      <c r="AT103" s="112"/>
      <c r="AU103" s="112"/>
      <c r="AV103" s="112"/>
      <c r="AW103" s="112"/>
      <c r="AY103" s="112"/>
      <c r="AZ103" s="112"/>
      <c r="BA103" s="112"/>
      <c r="BB103" s="112"/>
      <c r="BC103" s="112"/>
      <c r="BD103" s="112"/>
      <c r="BE103" s="112"/>
      <c r="BF103" s="112"/>
      <c r="BG103" s="112"/>
      <c r="BI103" s="112"/>
      <c r="BJ103" s="112"/>
      <c r="BK103" s="112"/>
      <c r="BL103" s="112"/>
    </row>
    <row r="104" spans="17:64" x14ac:dyDescent="0.25"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112"/>
      <c r="AI104" s="112"/>
      <c r="AJ104" s="112"/>
      <c r="AN104" s="112"/>
      <c r="AO104" s="112"/>
      <c r="AP104" s="112"/>
      <c r="AQ104" s="112"/>
      <c r="AR104" s="112"/>
      <c r="AS104" s="112"/>
      <c r="AT104" s="112"/>
      <c r="AU104" s="112"/>
      <c r="AV104" s="112"/>
      <c r="AW104" s="112"/>
      <c r="AY104" s="112"/>
      <c r="AZ104" s="112"/>
      <c r="BA104" s="112"/>
      <c r="BB104" s="112"/>
      <c r="BC104" s="112"/>
      <c r="BD104" s="112"/>
      <c r="BE104" s="112"/>
      <c r="BF104" s="112"/>
      <c r="BG104" s="112"/>
      <c r="BI104" s="112"/>
      <c r="BJ104" s="112"/>
      <c r="BK104" s="112"/>
      <c r="BL104" s="112"/>
    </row>
    <row r="105" spans="17:64" x14ac:dyDescent="0.25"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N105" s="112"/>
      <c r="AO105" s="112"/>
      <c r="AP105" s="112"/>
      <c r="AQ105" s="112"/>
      <c r="AR105" s="112"/>
      <c r="AS105" s="112"/>
      <c r="AT105" s="112"/>
      <c r="AU105" s="112"/>
      <c r="AV105" s="112"/>
      <c r="AW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I105" s="112"/>
      <c r="BJ105" s="112"/>
      <c r="BK105" s="112"/>
      <c r="BL105" s="112"/>
    </row>
    <row r="106" spans="17:64" x14ac:dyDescent="0.25"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112"/>
      <c r="AI106" s="112"/>
      <c r="AJ106" s="112"/>
      <c r="AN106" s="112"/>
      <c r="AO106" s="112"/>
      <c r="AP106" s="112"/>
      <c r="AQ106" s="112"/>
      <c r="AR106" s="112"/>
      <c r="AS106" s="112"/>
      <c r="AT106" s="112"/>
      <c r="AU106" s="112"/>
      <c r="AV106" s="112"/>
      <c r="AW106" s="112"/>
      <c r="AY106" s="112"/>
      <c r="AZ106" s="112"/>
      <c r="BA106" s="112"/>
      <c r="BB106" s="112"/>
      <c r="BC106" s="112"/>
      <c r="BD106" s="112"/>
      <c r="BE106" s="112"/>
      <c r="BF106" s="112"/>
      <c r="BG106" s="112"/>
      <c r="BI106" s="112"/>
      <c r="BJ106" s="112"/>
      <c r="BK106" s="112"/>
      <c r="BL106" s="112"/>
    </row>
    <row r="107" spans="17:64" x14ac:dyDescent="0.25"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N107" s="112"/>
      <c r="AO107" s="112"/>
      <c r="AP107" s="112"/>
      <c r="AQ107" s="112"/>
      <c r="AR107" s="112"/>
      <c r="AS107" s="112"/>
      <c r="AT107" s="112"/>
      <c r="AU107" s="112"/>
      <c r="AV107" s="112"/>
      <c r="AW107" s="112"/>
      <c r="AY107" s="112"/>
      <c r="AZ107" s="112"/>
      <c r="BA107" s="112"/>
      <c r="BB107" s="112"/>
      <c r="BC107" s="112"/>
      <c r="BD107" s="112"/>
      <c r="BE107" s="112"/>
      <c r="BF107" s="112"/>
      <c r="BG107" s="112"/>
      <c r="BI107" s="112"/>
      <c r="BJ107" s="112"/>
      <c r="BK107" s="112"/>
      <c r="BL107" s="112"/>
    </row>
    <row r="108" spans="17:64" x14ac:dyDescent="0.25"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112"/>
      <c r="AI108" s="112"/>
      <c r="AJ108" s="112"/>
      <c r="AN108" s="112"/>
      <c r="AO108" s="112"/>
      <c r="AP108" s="112"/>
      <c r="AQ108" s="112"/>
      <c r="AR108" s="112"/>
      <c r="AS108" s="112"/>
      <c r="AT108" s="112"/>
      <c r="AU108" s="112"/>
      <c r="AV108" s="112"/>
      <c r="AW108" s="112"/>
      <c r="AY108" s="112"/>
      <c r="AZ108" s="112"/>
      <c r="BA108" s="112"/>
      <c r="BB108" s="112"/>
      <c r="BC108" s="112"/>
      <c r="BD108" s="112"/>
      <c r="BE108" s="112"/>
      <c r="BF108" s="112"/>
      <c r="BG108" s="112"/>
      <c r="BI108" s="112"/>
      <c r="BJ108" s="112"/>
      <c r="BK108" s="112"/>
      <c r="BL108" s="112"/>
    </row>
    <row r="109" spans="17:64" x14ac:dyDescent="0.25"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N109" s="112"/>
      <c r="AO109" s="112"/>
      <c r="AP109" s="112"/>
      <c r="AQ109" s="112"/>
      <c r="AR109" s="112"/>
      <c r="AS109" s="112"/>
      <c r="AT109" s="112"/>
      <c r="AU109" s="112"/>
      <c r="AV109" s="112"/>
      <c r="AW109" s="112"/>
      <c r="AY109" s="112"/>
      <c r="AZ109" s="112"/>
      <c r="BA109" s="112"/>
      <c r="BB109" s="112"/>
      <c r="BC109" s="112"/>
      <c r="BD109" s="112"/>
      <c r="BE109" s="112"/>
      <c r="BF109" s="112"/>
      <c r="BG109" s="112"/>
      <c r="BI109" s="112"/>
      <c r="BJ109" s="112"/>
      <c r="BK109" s="112"/>
      <c r="BL109" s="112"/>
    </row>
    <row r="110" spans="17:64" x14ac:dyDescent="0.25"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112"/>
      <c r="AI110" s="112"/>
      <c r="AJ110" s="112"/>
      <c r="AN110" s="112"/>
      <c r="AO110" s="112"/>
      <c r="AP110" s="112"/>
      <c r="AQ110" s="112"/>
      <c r="AR110" s="112"/>
      <c r="AS110" s="112"/>
      <c r="AT110" s="112"/>
      <c r="AU110" s="112"/>
      <c r="AV110" s="112"/>
      <c r="AW110" s="112"/>
      <c r="AY110" s="112"/>
      <c r="AZ110" s="112"/>
      <c r="BA110" s="112"/>
      <c r="BB110" s="112"/>
      <c r="BC110" s="112"/>
      <c r="BD110" s="112"/>
      <c r="BE110" s="112"/>
      <c r="BF110" s="112"/>
      <c r="BG110" s="112"/>
      <c r="BI110" s="112"/>
      <c r="BJ110" s="112"/>
      <c r="BK110" s="112"/>
      <c r="BL110" s="112"/>
    </row>
    <row r="111" spans="17:64" x14ac:dyDescent="0.25"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N111" s="112"/>
      <c r="AO111" s="112"/>
      <c r="AP111" s="112"/>
      <c r="AQ111" s="112"/>
      <c r="AR111" s="112"/>
      <c r="AS111" s="112"/>
      <c r="AT111" s="112"/>
      <c r="AU111" s="112"/>
      <c r="AV111" s="112"/>
      <c r="AW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I111" s="112"/>
      <c r="BJ111" s="112"/>
      <c r="BK111" s="112"/>
      <c r="BL111" s="112"/>
    </row>
    <row r="112" spans="17:64" x14ac:dyDescent="0.25"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112"/>
      <c r="AI112" s="112"/>
      <c r="AJ112" s="112"/>
      <c r="AN112" s="112"/>
      <c r="AO112" s="112"/>
      <c r="AP112" s="112"/>
      <c r="AQ112" s="112"/>
      <c r="AR112" s="112"/>
      <c r="AS112" s="112"/>
      <c r="AT112" s="112"/>
      <c r="AU112" s="112"/>
      <c r="AV112" s="112"/>
      <c r="AW112" s="112"/>
      <c r="AY112" s="112"/>
      <c r="AZ112" s="112"/>
      <c r="BA112" s="112"/>
      <c r="BB112" s="112"/>
      <c r="BC112" s="112"/>
      <c r="BD112" s="112"/>
      <c r="BE112" s="112"/>
      <c r="BF112" s="112"/>
      <c r="BG112" s="112"/>
      <c r="BI112" s="112"/>
      <c r="BJ112" s="112"/>
      <c r="BK112" s="112"/>
      <c r="BL112" s="112"/>
    </row>
    <row r="113" spans="17:64" x14ac:dyDescent="0.25"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112"/>
      <c r="AI113" s="112"/>
      <c r="AJ113" s="112"/>
      <c r="AN113" s="112"/>
      <c r="AO113" s="112"/>
      <c r="AP113" s="112"/>
      <c r="AQ113" s="112"/>
      <c r="AR113" s="112"/>
      <c r="AS113" s="112"/>
      <c r="AT113" s="112"/>
      <c r="AU113" s="112"/>
      <c r="AV113" s="112"/>
      <c r="AW113" s="112"/>
      <c r="AY113" s="112"/>
      <c r="AZ113" s="112"/>
      <c r="BA113" s="112"/>
      <c r="BB113" s="112"/>
      <c r="BC113" s="112"/>
      <c r="BD113" s="112"/>
      <c r="BE113" s="112"/>
      <c r="BF113" s="112"/>
      <c r="BG113" s="112"/>
      <c r="BI113" s="112"/>
      <c r="BJ113" s="112"/>
      <c r="BK113" s="112"/>
      <c r="BL113" s="112"/>
    </row>
    <row r="114" spans="17:64" x14ac:dyDescent="0.25"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112"/>
      <c r="AI114" s="112"/>
      <c r="AJ114" s="112"/>
      <c r="AN114" s="112"/>
      <c r="AO114" s="112"/>
      <c r="AP114" s="112"/>
      <c r="AQ114" s="112"/>
      <c r="AR114" s="112"/>
      <c r="AS114" s="112"/>
      <c r="AT114" s="112"/>
      <c r="AU114" s="112"/>
      <c r="AV114" s="112"/>
      <c r="AW114" s="112"/>
      <c r="AY114" s="112"/>
      <c r="AZ114" s="112"/>
      <c r="BA114" s="112"/>
      <c r="BB114" s="112"/>
      <c r="BC114" s="112"/>
      <c r="BD114" s="112"/>
      <c r="BE114" s="112"/>
      <c r="BF114" s="112"/>
      <c r="BG114" s="112"/>
      <c r="BI114" s="112"/>
      <c r="BJ114" s="112"/>
      <c r="BK114" s="112"/>
      <c r="BL114" s="112"/>
    </row>
    <row r="115" spans="17:64" x14ac:dyDescent="0.25"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112"/>
      <c r="AI115" s="112"/>
      <c r="AJ115" s="112"/>
      <c r="AN115" s="112"/>
      <c r="AO115" s="112"/>
      <c r="AP115" s="112"/>
      <c r="AQ115" s="112"/>
      <c r="AR115" s="112"/>
      <c r="AS115" s="112"/>
      <c r="AT115" s="112"/>
      <c r="AU115" s="112"/>
      <c r="AV115" s="112"/>
      <c r="AW115" s="112"/>
      <c r="AY115" s="112"/>
      <c r="AZ115" s="112"/>
      <c r="BA115" s="112"/>
      <c r="BB115" s="112"/>
      <c r="BC115" s="112"/>
      <c r="BD115" s="112"/>
      <c r="BE115" s="112"/>
      <c r="BF115" s="112"/>
      <c r="BG115" s="112"/>
      <c r="BI115" s="112"/>
      <c r="BJ115" s="112"/>
      <c r="BK115" s="112"/>
      <c r="BL115" s="112"/>
    </row>
    <row r="116" spans="17:64" x14ac:dyDescent="0.25"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112"/>
      <c r="AI116" s="112"/>
      <c r="AJ116" s="112"/>
      <c r="AN116" s="112"/>
      <c r="AO116" s="112"/>
      <c r="AP116" s="112"/>
      <c r="AQ116" s="112"/>
      <c r="AR116" s="112"/>
      <c r="AS116" s="112"/>
      <c r="AT116" s="112"/>
      <c r="AU116" s="112"/>
      <c r="AV116" s="112"/>
      <c r="AW116" s="112"/>
      <c r="AY116" s="112"/>
      <c r="AZ116" s="112"/>
      <c r="BA116" s="112"/>
      <c r="BB116" s="112"/>
      <c r="BC116" s="112"/>
      <c r="BD116" s="112"/>
      <c r="BE116" s="112"/>
      <c r="BF116" s="112"/>
      <c r="BG116" s="112"/>
      <c r="BI116" s="112"/>
      <c r="BJ116" s="112"/>
      <c r="BK116" s="112"/>
      <c r="BL116" s="112"/>
    </row>
    <row r="117" spans="17:64" x14ac:dyDescent="0.25"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112"/>
      <c r="AI117" s="112"/>
      <c r="AJ117" s="112"/>
      <c r="AN117" s="112"/>
      <c r="AO117" s="112"/>
      <c r="AP117" s="112"/>
      <c r="AQ117" s="112"/>
      <c r="AR117" s="112"/>
      <c r="AS117" s="112"/>
      <c r="AT117" s="112"/>
      <c r="AU117" s="112"/>
      <c r="AV117" s="112"/>
      <c r="AW117" s="112"/>
      <c r="AY117" s="112"/>
      <c r="AZ117" s="112"/>
      <c r="BA117" s="112"/>
      <c r="BB117" s="112"/>
      <c r="BC117" s="112"/>
      <c r="BD117" s="112"/>
      <c r="BE117" s="112"/>
      <c r="BF117" s="112"/>
      <c r="BG117" s="112"/>
      <c r="BI117" s="112"/>
      <c r="BJ117" s="112"/>
      <c r="BK117" s="112"/>
      <c r="BL117" s="112"/>
    </row>
    <row r="118" spans="17:64" x14ac:dyDescent="0.25"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112"/>
      <c r="AI118" s="112"/>
      <c r="AJ118" s="112"/>
      <c r="AN118" s="112"/>
      <c r="AO118" s="112"/>
      <c r="AP118" s="112"/>
      <c r="AQ118" s="112"/>
      <c r="AR118" s="112"/>
      <c r="AS118" s="112"/>
      <c r="AT118" s="112"/>
      <c r="AU118" s="112"/>
      <c r="AV118" s="112"/>
      <c r="AW118" s="112"/>
      <c r="AY118" s="112"/>
      <c r="AZ118" s="112"/>
      <c r="BA118" s="112"/>
      <c r="BB118" s="112"/>
      <c r="BC118" s="112"/>
      <c r="BD118" s="112"/>
      <c r="BE118" s="112"/>
      <c r="BF118" s="112"/>
      <c r="BG118" s="112"/>
      <c r="BI118" s="112"/>
      <c r="BJ118" s="112"/>
      <c r="BK118" s="112"/>
      <c r="BL118" s="112"/>
    </row>
    <row r="119" spans="17:64" x14ac:dyDescent="0.25"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112"/>
      <c r="AI119" s="112"/>
      <c r="AJ119" s="112"/>
      <c r="AN119" s="112"/>
      <c r="AO119" s="112"/>
      <c r="AP119" s="112"/>
      <c r="AQ119" s="112"/>
      <c r="AR119" s="112"/>
      <c r="AS119" s="112"/>
      <c r="AT119" s="112"/>
      <c r="AU119" s="112"/>
      <c r="AV119" s="112"/>
      <c r="AW119" s="112"/>
      <c r="AY119" s="112"/>
      <c r="AZ119" s="112"/>
      <c r="BA119" s="112"/>
      <c r="BB119" s="112"/>
      <c r="BC119" s="112"/>
      <c r="BD119" s="112"/>
      <c r="BE119" s="112"/>
      <c r="BF119" s="112"/>
      <c r="BG119" s="112"/>
      <c r="BI119" s="112"/>
      <c r="BJ119" s="112"/>
      <c r="BK119" s="112"/>
      <c r="BL119" s="112"/>
    </row>
    <row r="120" spans="17:64" x14ac:dyDescent="0.25"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112"/>
      <c r="AI120" s="112"/>
      <c r="AJ120" s="112"/>
      <c r="AN120" s="112"/>
      <c r="AO120" s="112"/>
      <c r="AP120" s="112"/>
      <c r="AQ120" s="112"/>
      <c r="AR120" s="112"/>
      <c r="AS120" s="112"/>
      <c r="AT120" s="112"/>
      <c r="AU120" s="112"/>
      <c r="AV120" s="112"/>
      <c r="AW120" s="112"/>
      <c r="AY120" s="112"/>
      <c r="AZ120" s="112"/>
      <c r="BA120" s="112"/>
      <c r="BB120" s="112"/>
      <c r="BC120" s="112"/>
      <c r="BD120" s="112"/>
      <c r="BE120" s="112"/>
      <c r="BF120" s="112"/>
      <c r="BG120" s="112"/>
      <c r="BI120" s="112"/>
      <c r="BJ120" s="112"/>
      <c r="BK120" s="112"/>
      <c r="BL120" s="112"/>
    </row>
    <row r="121" spans="17:64" x14ac:dyDescent="0.25"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112"/>
      <c r="AI121" s="112"/>
      <c r="AJ121" s="112"/>
      <c r="AN121" s="112"/>
      <c r="AO121" s="112"/>
      <c r="AP121" s="112"/>
      <c r="AQ121" s="112"/>
      <c r="AR121" s="112"/>
      <c r="AS121" s="112"/>
      <c r="AT121" s="112"/>
      <c r="AU121" s="112"/>
      <c r="AV121" s="112"/>
      <c r="AW121" s="112"/>
      <c r="AY121" s="112"/>
      <c r="AZ121" s="112"/>
      <c r="BA121" s="112"/>
      <c r="BB121" s="112"/>
      <c r="BC121" s="112"/>
      <c r="BD121" s="112"/>
      <c r="BE121" s="112"/>
      <c r="BF121" s="112"/>
      <c r="BG121" s="112"/>
      <c r="BI121" s="112"/>
      <c r="BJ121" s="112"/>
      <c r="BK121" s="112"/>
      <c r="BL121" s="112"/>
    </row>
    <row r="122" spans="17:64" x14ac:dyDescent="0.25"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N122" s="112"/>
      <c r="AO122" s="112"/>
      <c r="AP122" s="112"/>
      <c r="AQ122" s="112"/>
      <c r="AR122" s="112"/>
      <c r="AS122" s="112"/>
      <c r="AT122" s="112"/>
      <c r="AU122" s="112"/>
      <c r="AV122" s="112"/>
      <c r="AW122" s="112"/>
      <c r="AY122" s="112"/>
      <c r="AZ122" s="112"/>
      <c r="BA122" s="112"/>
      <c r="BB122" s="112"/>
      <c r="BC122" s="112"/>
      <c r="BD122" s="112"/>
      <c r="BE122" s="112"/>
      <c r="BF122" s="112"/>
      <c r="BG122" s="112"/>
      <c r="BI122" s="112"/>
      <c r="BJ122" s="112"/>
      <c r="BK122" s="112"/>
      <c r="BL122" s="112"/>
    </row>
    <row r="123" spans="17:64" x14ac:dyDescent="0.25"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112"/>
      <c r="AI123" s="112"/>
      <c r="AJ123" s="112"/>
      <c r="AN123" s="112"/>
      <c r="AO123" s="112"/>
      <c r="AP123" s="112"/>
      <c r="AQ123" s="112"/>
      <c r="AR123" s="112"/>
      <c r="AS123" s="112"/>
      <c r="AT123" s="112"/>
      <c r="AU123" s="112"/>
      <c r="AV123" s="112"/>
      <c r="AW123" s="112"/>
      <c r="AY123" s="112"/>
      <c r="AZ123" s="112"/>
      <c r="BA123" s="112"/>
      <c r="BB123" s="112"/>
      <c r="BC123" s="112"/>
      <c r="BD123" s="112"/>
      <c r="BE123" s="112"/>
      <c r="BF123" s="112"/>
      <c r="BG123" s="112"/>
      <c r="BI123" s="112"/>
      <c r="BJ123" s="112"/>
      <c r="BK123" s="112"/>
      <c r="BL123" s="112"/>
    </row>
    <row r="124" spans="17:64" x14ac:dyDescent="0.25"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112"/>
      <c r="AI124" s="112"/>
      <c r="AJ124" s="112"/>
      <c r="AN124" s="112"/>
      <c r="AO124" s="112"/>
      <c r="AP124" s="112"/>
      <c r="AQ124" s="112"/>
      <c r="AR124" s="112"/>
      <c r="AS124" s="112"/>
      <c r="AT124" s="112"/>
      <c r="AU124" s="112"/>
      <c r="AV124" s="112"/>
      <c r="AW124" s="112"/>
      <c r="AY124" s="112"/>
      <c r="AZ124" s="112"/>
      <c r="BA124" s="112"/>
      <c r="BB124" s="112"/>
      <c r="BC124" s="112"/>
      <c r="BD124" s="112"/>
      <c r="BE124" s="112"/>
      <c r="BF124" s="112"/>
      <c r="BG124" s="112"/>
      <c r="BI124" s="112"/>
      <c r="BJ124" s="112"/>
      <c r="BK124" s="112"/>
      <c r="BL124" s="112"/>
    </row>
    <row r="125" spans="17:64" x14ac:dyDescent="0.25"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112"/>
      <c r="AI125" s="112"/>
      <c r="AJ125" s="112"/>
      <c r="AN125" s="112"/>
      <c r="AO125" s="112"/>
      <c r="AP125" s="112"/>
      <c r="AQ125" s="112"/>
      <c r="AR125" s="112"/>
      <c r="AS125" s="112"/>
      <c r="AT125" s="112"/>
      <c r="AU125" s="112"/>
      <c r="AV125" s="112"/>
      <c r="AW125" s="112"/>
      <c r="AY125" s="112"/>
      <c r="AZ125" s="112"/>
      <c r="BA125" s="112"/>
      <c r="BB125" s="112"/>
      <c r="BC125" s="112"/>
      <c r="BD125" s="112"/>
      <c r="BE125" s="112"/>
      <c r="BF125" s="112"/>
      <c r="BG125" s="112"/>
      <c r="BI125" s="112"/>
      <c r="BJ125" s="112"/>
      <c r="BK125" s="112"/>
      <c r="BL125" s="112"/>
    </row>
    <row r="126" spans="17:64" x14ac:dyDescent="0.25"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112"/>
      <c r="AI126" s="112"/>
      <c r="AJ126" s="112"/>
      <c r="AN126" s="112"/>
      <c r="AO126" s="112"/>
      <c r="AP126" s="112"/>
      <c r="AQ126" s="112"/>
      <c r="AR126" s="112"/>
      <c r="AS126" s="112"/>
      <c r="AT126" s="112"/>
      <c r="AU126" s="112"/>
      <c r="AV126" s="112"/>
      <c r="AW126" s="112"/>
      <c r="AY126" s="112"/>
      <c r="AZ126" s="112"/>
      <c r="BA126" s="112"/>
      <c r="BB126" s="112"/>
      <c r="BC126" s="112"/>
      <c r="BD126" s="112"/>
      <c r="BE126" s="112"/>
      <c r="BF126" s="112"/>
      <c r="BG126" s="112"/>
      <c r="BI126" s="112"/>
      <c r="BJ126" s="112"/>
      <c r="BK126" s="112"/>
      <c r="BL126" s="112"/>
    </row>
    <row r="127" spans="17:64" x14ac:dyDescent="0.25"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112"/>
      <c r="AI127" s="112"/>
      <c r="AJ127" s="112"/>
      <c r="AN127" s="112"/>
      <c r="AO127" s="112"/>
      <c r="AP127" s="112"/>
      <c r="AQ127" s="112"/>
      <c r="AR127" s="112"/>
      <c r="AS127" s="112"/>
      <c r="AT127" s="112"/>
      <c r="AU127" s="112"/>
      <c r="AV127" s="112"/>
      <c r="AW127" s="112"/>
      <c r="AY127" s="112"/>
      <c r="AZ127" s="112"/>
      <c r="BA127" s="112"/>
      <c r="BB127" s="112"/>
      <c r="BC127" s="112"/>
      <c r="BD127" s="112"/>
      <c r="BE127" s="112"/>
      <c r="BF127" s="112"/>
      <c r="BG127" s="112"/>
      <c r="BI127" s="112"/>
      <c r="BJ127" s="112"/>
      <c r="BK127" s="112"/>
      <c r="BL127" s="112"/>
    </row>
    <row r="128" spans="17:64" x14ac:dyDescent="0.25"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112"/>
      <c r="AI128" s="112"/>
      <c r="AJ128" s="112"/>
      <c r="AN128" s="112"/>
      <c r="AO128" s="112"/>
      <c r="AP128" s="112"/>
      <c r="AQ128" s="112"/>
      <c r="AR128" s="112"/>
      <c r="AS128" s="112"/>
      <c r="AT128" s="112"/>
      <c r="AU128" s="112"/>
      <c r="AV128" s="112"/>
      <c r="AW128" s="112"/>
      <c r="AY128" s="112"/>
      <c r="AZ128" s="112"/>
      <c r="BA128" s="112"/>
      <c r="BB128" s="112"/>
      <c r="BC128" s="112"/>
      <c r="BD128" s="112"/>
      <c r="BE128" s="112"/>
      <c r="BF128" s="112"/>
      <c r="BG128" s="112"/>
      <c r="BI128" s="112"/>
      <c r="BJ128" s="112"/>
      <c r="BK128" s="112"/>
      <c r="BL128" s="112"/>
    </row>
    <row r="129" spans="17:64" x14ac:dyDescent="0.25"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112"/>
      <c r="AI129" s="112"/>
      <c r="AJ129" s="112"/>
      <c r="AN129" s="112"/>
      <c r="AO129" s="112"/>
      <c r="AP129" s="112"/>
      <c r="AQ129" s="112"/>
      <c r="AR129" s="112"/>
      <c r="AS129" s="112"/>
      <c r="AT129" s="112"/>
      <c r="AU129" s="112"/>
      <c r="AV129" s="112"/>
      <c r="AW129" s="112"/>
      <c r="AY129" s="112"/>
      <c r="AZ129" s="112"/>
      <c r="BA129" s="112"/>
      <c r="BB129" s="112"/>
      <c r="BC129" s="112"/>
      <c r="BD129" s="112"/>
      <c r="BE129" s="112"/>
      <c r="BF129" s="112"/>
      <c r="BG129" s="112"/>
      <c r="BI129" s="112"/>
      <c r="BJ129" s="112"/>
      <c r="BK129" s="112"/>
      <c r="BL129" s="112"/>
    </row>
    <row r="130" spans="17:64" x14ac:dyDescent="0.25"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112"/>
      <c r="AI130" s="112"/>
      <c r="AJ130" s="112"/>
      <c r="AN130" s="112"/>
      <c r="AO130" s="112"/>
      <c r="AP130" s="112"/>
      <c r="AQ130" s="112"/>
      <c r="AR130" s="112"/>
      <c r="AS130" s="112"/>
      <c r="AT130" s="112"/>
      <c r="AU130" s="112"/>
      <c r="AV130" s="112"/>
      <c r="AW130" s="112"/>
      <c r="AY130" s="112"/>
      <c r="AZ130" s="112"/>
      <c r="BA130" s="112"/>
      <c r="BB130" s="112"/>
      <c r="BC130" s="112"/>
      <c r="BD130" s="112"/>
      <c r="BE130" s="112"/>
      <c r="BF130" s="112"/>
      <c r="BG130" s="112"/>
      <c r="BI130" s="112"/>
      <c r="BJ130" s="112"/>
      <c r="BK130" s="112"/>
      <c r="BL130" s="112"/>
    </row>
    <row r="131" spans="17:64" x14ac:dyDescent="0.25"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112"/>
      <c r="AI131" s="112"/>
      <c r="AJ131" s="112"/>
      <c r="AN131" s="112"/>
      <c r="AO131" s="112"/>
      <c r="AP131" s="112"/>
      <c r="AQ131" s="112"/>
      <c r="AR131" s="112"/>
      <c r="AS131" s="112"/>
      <c r="AT131" s="112"/>
      <c r="AU131" s="112"/>
      <c r="AV131" s="112"/>
      <c r="AW131" s="112"/>
      <c r="AY131" s="112"/>
      <c r="AZ131" s="112"/>
      <c r="BA131" s="112"/>
      <c r="BB131" s="112"/>
      <c r="BC131" s="112"/>
      <c r="BD131" s="112"/>
      <c r="BE131" s="112"/>
      <c r="BF131" s="112"/>
      <c r="BG131" s="112"/>
      <c r="BI131" s="112"/>
      <c r="BJ131" s="112"/>
      <c r="BK131" s="112"/>
      <c r="BL131" s="112"/>
    </row>
    <row r="132" spans="17:64" x14ac:dyDescent="0.25"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112"/>
      <c r="AI132" s="112"/>
      <c r="AJ132" s="112"/>
      <c r="AN132" s="112"/>
      <c r="AO132" s="112"/>
      <c r="AP132" s="112"/>
      <c r="AQ132" s="112"/>
      <c r="AR132" s="112"/>
      <c r="AS132" s="112"/>
      <c r="AT132" s="112"/>
      <c r="AU132" s="112"/>
      <c r="AV132" s="112"/>
      <c r="AW132" s="112"/>
      <c r="AY132" s="112"/>
      <c r="AZ132" s="112"/>
      <c r="BA132" s="112"/>
      <c r="BB132" s="112"/>
      <c r="BC132" s="112"/>
      <c r="BD132" s="112"/>
      <c r="BE132" s="112"/>
      <c r="BF132" s="112"/>
      <c r="BG132" s="112"/>
      <c r="BI132" s="112"/>
      <c r="BJ132" s="112"/>
      <c r="BK132" s="112"/>
      <c r="BL132" s="112"/>
    </row>
    <row r="133" spans="17:64" x14ac:dyDescent="0.25"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112"/>
      <c r="AI133" s="112"/>
      <c r="AJ133" s="112"/>
      <c r="AN133" s="112"/>
      <c r="AO133" s="112"/>
      <c r="AP133" s="112"/>
      <c r="AQ133" s="112"/>
      <c r="AR133" s="112"/>
      <c r="AS133" s="112"/>
      <c r="AT133" s="112"/>
      <c r="AU133" s="112"/>
      <c r="AV133" s="112"/>
      <c r="AW133" s="112"/>
      <c r="AY133" s="112"/>
      <c r="AZ133" s="112"/>
      <c r="BA133" s="112"/>
      <c r="BB133" s="112"/>
      <c r="BC133" s="112"/>
      <c r="BD133" s="112"/>
      <c r="BE133" s="112"/>
      <c r="BF133" s="112"/>
      <c r="BG133" s="112"/>
      <c r="BI133" s="112"/>
      <c r="BJ133" s="112"/>
      <c r="BK133" s="112"/>
      <c r="BL133" s="112"/>
    </row>
    <row r="134" spans="17:64" x14ac:dyDescent="0.25"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112"/>
      <c r="AI134" s="112"/>
      <c r="AJ134" s="112"/>
      <c r="AN134" s="112"/>
      <c r="AO134" s="112"/>
      <c r="AP134" s="112"/>
      <c r="AQ134" s="112"/>
      <c r="AR134" s="112"/>
      <c r="AS134" s="112"/>
      <c r="AT134" s="112"/>
      <c r="AU134" s="112"/>
      <c r="AV134" s="112"/>
      <c r="AW134" s="112"/>
      <c r="AY134" s="112"/>
      <c r="AZ134" s="112"/>
      <c r="BA134" s="112"/>
      <c r="BB134" s="112"/>
      <c r="BC134" s="112"/>
      <c r="BD134" s="112"/>
      <c r="BE134" s="112"/>
      <c r="BF134" s="112"/>
      <c r="BG134" s="112"/>
      <c r="BI134" s="112"/>
      <c r="BJ134" s="112"/>
      <c r="BK134" s="112"/>
      <c r="BL134" s="112"/>
    </row>
    <row r="135" spans="17:64" x14ac:dyDescent="0.25"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112"/>
      <c r="AI135" s="112"/>
      <c r="AJ135" s="112"/>
      <c r="AN135" s="112"/>
      <c r="AO135" s="112"/>
      <c r="AP135" s="112"/>
      <c r="AQ135" s="112"/>
      <c r="AR135" s="112"/>
      <c r="AS135" s="112"/>
      <c r="AT135" s="112"/>
      <c r="AU135" s="112"/>
      <c r="AV135" s="112"/>
      <c r="AW135" s="112"/>
      <c r="AY135" s="112"/>
      <c r="AZ135" s="112"/>
      <c r="BA135" s="112"/>
      <c r="BB135" s="112"/>
      <c r="BC135" s="112"/>
      <c r="BD135" s="112"/>
      <c r="BE135" s="112"/>
      <c r="BF135" s="112"/>
      <c r="BG135" s="112"/>
      <c r="BI135" s="112"/>
      <c r="BJ135" s="112"/>
      <c r="BK135" s="112"/>
      <c r="BL135" s="112"/>
    </row>
    <row r="136" spans="17:64" x14ac:dyDescent="0.25"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112"/>
      <c r="AI136" s="112"/>
      <c r="AJ136" s="112"/>
      <c r="AN136" s="112"/>
      <c r="AO136" s="112"/>
      <c r="AP136" s="112"/>
      <c r="AQ136" s="112"/>
      <c r="AR136" s="112"/>
      <c r="AS136" s="112"/>
      <c r="AT136" s="112"/>
      <c r="AU136" s="112"/>
      <c r="AV136" s="112"/>
      <c r="AW136" s="112"/>
      <c r="AY136" s="112"/>
      <c r="AZ136" s="112"/>
      <c r="BA136" s="112"/>
      <c r="BB136" s="112"/>
      <c r="BC136" s="112"/>
      <c r="BD136" s="112"/>
      <c r="BE136" s="112"/>
      <c r="BF136" s="112"/>
      <c r="BG136" s="112"/>
      <c r="BI136" s="112"/>
      <c r="BJ136" s="112"/>
      <c r="BK136" s="112"/>
      <c r="BL136" s="112"/>
    </row>
    <row r="137" spans="17:64" x14ac:dyDescent="0.25"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N137" s="112"/>
      <c r="AO137" s="112"/>
      <c r="AP137" s="112"/>
      <c r="AQ137" s="112"/>
      <c r="AR137" s="112"/>
      <c r="AS137" s="112"/>
      <c r="AT137" s="112"/>
      <c r="AU137" s="112"/>
      <c r="AV137" s="112"/>
      <c r="AW137" s="112"/>
      <c r="AY137" s="112"/>
      <c r="AZ137" s="112"/>
      <c r="BA137" s="112"/>
      <c r="BB137" s="112"/>
      <c r="BC137" s="112"/>
      <c r="BD137" s="112"/>
      <c r="BE137" s="112"/>
      <c r="BF137" s="112"/>
      <c r="BG137" s="112"/>
      <c r="BI137" s="112"/>
      <c r="BJ137" s="112"/>
      <c r="BK137" s="112"/>
      <c r="BL137" s="112"/>
    </row>
    <row r="138" spans="17:64" x14ac:dyDescent="0.25"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112"/>
      <c r="AI138" s="112"/>
      <c r="AJ138" s="112"/>
      <c r="AN138" s="112"/>
      <c r="AO138" s="112"/>
      <c r="AP138" s="112"/>
      <c r="AQ138" s="112"/>
      <c r="AR138" s="112"/>
      <c r="AS138" s="112"/>
      <c r="AT138" s="112"/>
      <c r="AU138" s="112"/>
      <c r="AV138" s="112"/>
      <c r="AW138" s="112"/>
      <c r="AY138" s="112"/>
      <c r="AZ138" s="112"/>
      <c r="BA138" s="112"/>
      <c r="BB138" s="112"/>
      <c r="BC138" s="112"/>
      <c r="BD138" s="112"/>
      <c r="BE138" s="112"/>
      <c r="BF138" s="112"/>
      <c r="BG138" s="112"/>
      <c r="BI138" s="112"/>
      <c r="BJ138" s="112"/>
      <c r="BK138" s="112"/>
      <c r="BL138" s="112"/>
    </row>
    <row r="139" spans="17:64" x14ac:dyDescent="0.25"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N139" s="112"/>
      <c r="AO139" s="112"/>
      <c r="AP139" s="112"/>
      <c r="AQ139" s="112"/>
      <c r="AR139" s="112"/>
      <c r="AS139" s="112"/>
      <c r="AT139" s="112"/>
      <c r="AU139" s="112"/>
      <c r="AV139" s="112"/>
      <c r="AW139" s="112"/>
      <c r="AY139" s="112"/>
      <c r="AZ139" s="112"/>
      <c r="BA139" s="112"/>
      <c r="BB139" s="112"/>
      <c r="BC139" s="112"/>
      <c r="BD139" s="112"/>
      <c r="BE139" s="112"/>
      <c r="BF139" s="112"/>
      <c r="BG139" s="112"/>
      <c r="BI139" s="112"/>
      <c r="BJ139" s="112"/>
      <c r="BK139" s="112"/>
      <c r="BL139" s="112"/>
    </row>
    <row r="140" spans="17:64" x14ac:dyDescent="0.25"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112"/>
      <c r="AI140" s="112"/>
      <c r="AJ140" s="112"/>
      <c r="AN140" s="112"/>
      <c r="AO140" s="112"/>
      <c r="AP140" s="112"/>
      <c r="AQ140" s="112"/>
      <c r="AR140" s="112"/>
      <c r="AS140" s="112"/>
      <c r="AT140" s="112"/>
      <c r="AU140" s="112"/>
      <c r="AV140" s="112"/>
      <c r="AW140" s="112"/>
      <c r="AY140" s="112"/>
      <c r="AZ140" s="112"/>
      <c r="BA140" s="112"/>
      <c r="BB140" s="112"/>
      <c r="BC140" s="112"/>
      <c r="BD140" s="112"/>
      <c r="BE140" s="112"/>
      <c r="BF140" s="112"/>
      <c r="BG140" s="112"/>
      <c r="BI140" s="112"/>
      <c r="BJ140" s="112"/>
      <c r="BK140" s="112"/>
      <c r="BL140" s="112"/>
    </row>
    <row r="141" spans="17:64" x14ac:dyDescent="0.25"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112"/>
      <c r="AI141" s="112"/>
      <c r="AJ141" s="112"/>
      <c r="AN141" s="112"/>
      <c r="AO141" s="112"/>
      <c r="AP141" s="112"/>
      <c r="AQ141" s="112"/>
      <c r="AR141" s="112"/>
      <c r="AS141" s="112"/>
      <c r="AT141" s="112"/>
      <c r="AU141" s="112"/>
      <c r="AV141" s="112"/>
      <c r="AW141" s="112"/>
      <c r="AY141" s="112"/>
      <c r="AZ141" s="112"/>
      <c r="BA141" s="112"/>
      <c r="BB141" s="112"/>
      <c r="BC141" s="112"/>
      <c r="BD141" s="112"/>
      <c r="BE141" s="112"/>
      <c r="BF141" s="112"/>
      <c r="BG141" s="112"/>
      <c r="BI141" s="112"/>
      <c r="BJ141" s="112"/>
      <c r="BK141" s="112"/>
      <c r="BL141" s="112"/>
    </row>
    <row r="142" spans="17:64" x14ac:dyDescent="0.25"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112"/>
      <c r="AI142" s="112"/>
      <c r="AJ142" s="112"/>
      <c r="AN142" s="112"/>
      <c r="AO142" s="112"/>
      <c r="AP142" s="112"/>
      <c r="AQ142" s="112"/>
      <c r="AR142" s="112"/>
      <c r="AS142" s="112"/>
      <c r="AT142" s="112"/>
      <c r="AU142" s="112"/>
      <c r="AV142" s="112"/>
      <c r="AW142" s="112"/>
      <c r="AY142" s="112"/>
      <c r="AZ142" s="112"/>
      <c r="BA142" s="112"/>
      <c r="BB142" s="112"/>
      <c r="BC142" s="112"/>
      <c r="BD142" s="112"/>
      <c r="BE142" s="112"/>
      <c r="BF142" s="112"/>
      <c r="BG142" s="112"/>
      <c r="BI142" s="112"/>
      <c r="BJ142" s="112"/>
      <c r="BK142" s="112"/>
      <c r="BL142" s="112"/>
    </row>
    <row r="143" spans="17:64" x14ac:dyDescent="0.25"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112"/>
      <c r="AI143" s="112"/>
      <c r="AJ143" s="112"/>
      <c r="AN143" s="112"/>
      <c r="AO143" s="112"/>
      <c r="AP143" s="112"/>
      <c r="AQ143" s="112"/>
      <c r="AR143" s="112"/>
      <c r="AS143" s="112"/>
      <c r="AT143" s="112"/>
      <c r="AU143" s="112"/>
      <c r="AV143" s="112"/>
      <c r="AW143" s="112"/>
      <c r="AY143" s="112"/>
      <c r="AZ143" s="112"/>
      <c r="BA143" s="112"/>
      <c r="BB143" s="112"/>
      <c r="BC143" s="112"/>
      <c r="BD143" s="112"/>
      <c r="BE143" s="112"/>
      <c r="BF143" s="112"/>
      <c r="BG143" s="112"/>
      <c r="BI143" s="112"/>
      <c r="BJ143" s="112"/>
      <c r="BK143" s="112"/>
      <c r="BL143" s="112"/>
    </row>
    <row r="144" spans="17:64" x14ac:dyDescent="0.25"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112"/>
      <c r="AI144" s="112"/>
      <c r="AJ144" s="112"/>
      <c r="AN144" s="112"/>
      <c r="AO144" s="112"/>
      <c r="AP144" s="112"/>
      <c r="AQ144" s="112"/>
      <c r="AR144" s="112"/>
      <c r="AS144" s="112"/>
      <c r="AT144" s="112"/>
      <c r="AU144" s="112"/>
      <c r="AV144" s="112"/>
      <c r="AW144" s="112"/>
      <c r="AY144" s="112"/>
      <c r="AZ144" s="112"/>
      <c r="BA144" s="112"/>
      <c r="BB144" s="112"/>
      <c r="BC144" s="112"/>
      <c r="BD144" s="112"/>
      <c r="BE144" s="112"/>
      <c r="BF144" s="112"/>
      <c r="BG144" s="112"/>
      <c r="BI144" s="112"/>
      <c r="BJ144" s="112"/>
      <c r="BK144" s="112"/>
      <c r="BL144" s="112"/>
    </row>
    <row r="145" spans="17:64" x14ac:dyDescent="0.25"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112"/>
      <c r="AI145" s="112"/>
      <c r="AJ145" s="112"/>
      <c r="AN145" s="112"/>
      <c r="AO145" s="112"/>
      <c r="AP145" s="112"/>
      <c r="AQ145" s="112"/>
      <c r="AR145" s="112"/>
      <c r="AS145" s="112"/>
      <c r="AT145" s="112"/>
      <c r="AU145" s="112"/>
      <c r="AV145" s="112"/>
      <c r="AW145" s="112"/>
      <c r="AY145" s="112"/>
      <c r="AZ145" s="112"/>
      <c r="BA145" s="112"/>
      <c r="BB145" s="112"/>
      <c r="BC145" s="112"/>
      <c r="BD145" s="112"/>
      <c r="BE145" s="112"/>
      <c r="BF145" s="112"/>
      <c r="BG145" s="112"/>
      <c r="BI145" s="112"/>
      <c r="BJ145" s="112"/>
      <c r="BK145" s="112"/>
      <c r="BL145" s="112"/>
    </row>
    <row r="146" spans="17:64" x14ac:dyDescent="0.25"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112"/>
      <c r="AI146" s="112"/>
      <c r="AJ146" s="112"/>
      <c r="AN146" s="112"/>
      <c r="AO146" s="112"/>
      <c r="AP146" s="112"/>
      <c r="AQ146" s="112"/>
      <c r="AR146" s="112"/>
      <c r="AS146" s="112"/>
      <c r="AT146" s="112"/>
      <c r="AU146" s="112"/>
      <c r="AV146" s="112"/>
      <c r="AW146" s="112"/>
      <c r="AY146" s="112"/>
      <c r="AZ146" s="112"/>
      <c r="BA146" s="112"/>
      <c r="BB146" s="112"/>
      <c r="BC146" s="112"/>
      <c r="BD146" s="112"/>
      <c r="BE146" s="112"/>
      <c r="BF146" s="112"/>
      <c r="BG146" s="112"/>
      <c r="BI146" s="112"/>
      <c r="BJ146" s="112"/>
      <c r="BK146" s="112"/>
      <c r="BL146" s="112"/>
    </row>
    <row r="147" spans="17:64" x14ac:dyDescent="0.25"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112"/>
      <c r="AI147" s="112"/>
      <c r="AJ147" s="112"/>
      <c r="AN147" s="112"/>
      <c r="AO147" s="112"/>
      <c r="AP147" s="112"/>
      <c r="AQ147" s="112"/>
      <c r="AR147" s="112"/>
      <c r="AS147" s="112"/>
      <c r="AT147" s="112"/>
      <c r="AU147" s="112"/>
      <c r="AV147" s="112"/>
      <c r="AW147" s="112"/>
      <c r="AY147" s="112"/>
      <c r="AZ147" s="112"/>
      <c r="BA147" s="112"/>
      <c r="BB147" s="112"/>
      <c r="BC147" s="112"/>
      <c r="BD147" s="112"/>
      <c r="BE147" s="112"/>
      <c r="BF147" s="112"/>
      <c r="BG147" s="112"/>
      <c r="BI147" s="112"/>
      <c r="BJ147" s="112"/>
      <c r="BK147" s="112"/>
      <c r="BL147" s="112"/>
    </row>
    <row r="148" spans="17:64" x14ac:dyDescent="0.25"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112"/>
      <c r="AI148" s="112"/>
      <c r="AJ148" s="112"/>
      <c r="AN148" s="112"/>
      <c r="AO148" s="112"/>
      <c r="AP148" s="112"/>
      <c r="AQ148" s="112"/>
      <c r="AR148" s="112"/>
      <c r="AS148" s="112"/>
      <c r="AT148" s="112"/>
      <c r="AU148" s="112"/>
      <c r="AV148" s="112"/>
      <c r="AW148" s="112"/>
      <c r="AY148" s="112"/>
      <c r="AZ148" s="112"/>
      <c r="BA148" s="112"/>
      <c r="BB148" s="112"/>
      <c r="BC148" s="112"/>
      <c r="BD148" s="112"/>
      <c r="BE148" s="112"/>
      <c r="BF148" s="112"/>
      <c r="BG148" s="112"/>
      <c r="BI148" s="112"/>
      <c r="BJ148" s="112"/>
      <c r="BK148" s="112"/>
      <c r="BL148" s="112"/>
    </row>
    <row r="149" spans="17:64" x14ac:dyDescent="0.25"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112"/>
      <c r="AI149" s="112"/>
      <c r="AJ149" s="112"/>
      <c r="AN149" s="112"/>
      <c r="AO149" s="112"/>
      <c r="AP149" s="112"/>
      <c r="AQ149" s="112"/>
      <c r="AR149" s="112"/>
      <c r="AS149" s="112"/>
      <c r="AT149" s="112"/>
      <c r="AU149" s="112"/>
      <c r="AV149" s="112"/>
      <c r="AW149" s="112"/>
      <c r="AY149" s="112"/>
      <c r="AZ149" s="112"/>
      <c r="BA149" s="112"/>
      <c r="BB149" s="112"/>
      <c r="BC149" s="112"/>
      <c r="BD149" s="112"/>
      <c r="BE149" s="112"/>
      <c r="BF149" s="112"/>
      <c r="BG149" s="112"/>
      <c r="BI149" s="112"/>
      <c r="BJ149" s="112"/>
      <c r="BK149" s="112"/>
      <c r="BL149" s="112"/>
    </row>
    <row r="150" spans="17:64" x14ac:dyDescent="0.25"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112"/>
      <c r="AI150" s="112"/>
      <c r="AJ150" s="112"/>
      <c r="AN150" s="112"/>
      <c r="AO150" s="112"/>
      <c r="AP150" s="112"/>
      <c r="AQ150" s="112"/>
      <c r="AR150" s="112"/>
      <c r="AS150" s="112"/>
      <c r="AT150" s="112"/>
      <c r="AU150" s="112"/>
      <c r="AV150" s="112"/>
      <c r="AW150" s="112"/>
      <c r="AY150" s="112"/>
      <c r="AZ150" s="112"/>
      <c r="BA150" s="112"/>
      <c r="BB150" s="112"/>
      <c r="BC150" s="112"/>
      <c r="BD150" s="112"/>
      <c r="BE150" s="112"/>
      <c r="BF150" s="112"/>
      <c r="BG150" s="112"/>
      <c r="BI150" s="112"/>
      <c r="BJ150" s="112"/>
      <c r="BK150" s="112"/>
      <c r="BL150" s="112"/>
    </row>
    <row r="151" spans="17:64" x14ac:dyDescent="0.25"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112"/>
      <c r="AI151" s="112"/>
      <c r="AJ151" s="112"/>
      <c r="AN151" s="112"/>
      <c r="AO151" s="112"/>
      <c r="AP151" s="112"/>
      <c r="AQ151" s="112"/>
      <c r="AR151" s="112"/>
      <c r="AS151" s="112"/>
      <c r="AT151" s="112"/>
      <c r="AU151" s="112"/>
      <c r="AV151" s="112"/>
      <c r="AW151" s="112"/>
      <c r="AY151" s="112"/>
      <c r="AZ151" s="112"/>
      <c r="BA151" s="112"/>
      <c r="BB151" s="112"/>
      <c r="BC151" s="112"/>
      <c r="BD151" s="112"/>
      <c r="BE151" s="112"/>
      <c r="BF151" s="112"/>
      <c r="BG151" s="112"/>
      <c r="BI151" s="112"/>
      <c r="BJ151" s="112"/>
      <c r="BK151" s="112"/>
      <c r="BL151" s="112"/>
    </row>
    <row r="152" spans="17:64" x14ac:dyDescent="0.25"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112"/>
      <c r="AI152" s="112"/>
      <c r="AJ152" s="112"/>
      <c r="AN152" s="112"/>
      <c r="AO152" s="112"/>
      <c r="AP152" s="112"/>
      <c r="AQ152" s="112"/>
      <c r="AR152" s="112"/>
      <c r="AS152" s="112"/>
      <c r="AT152" s="112"/>
      <c r="AU152" s="112"/>
      <c r="AV152" s="112"/>
      <c r="AW152" s="112"/>
      <c r="AY152" s="112"/>
      <c r="AZ152" s="112"/>
      <c r="BA152" s="112"/>
      <c r="BB152" s="112"/>
      <c r="BC152" s="112"/>
      <c r="BD152" s="112"/>
      <c r="BE152" s="112"/>
      <c r="BF152" s="112"/>
      <c r="BG152" s="112"/>
      <c r="BI152" s="112"/>
      <c r="BJ152" s="112"/>
      <c r="BK152" s="112"/>
      <c r="BL152" s="112"/>
    </row>
    <row r="153" spans="17:64" x14ac:dyDescent="0.25"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N153" s="112"/>
      <c r="AO153" s="112"/>
      <c r="AP153" s="112"/>
      <c r="AQ153" s="112"/>
      <c r="AR153" s="112"/>
      <c r="AS153" s="112"/>
      <c r="AT153" s="112"/>
      <c r="AU153" s="112"/>
      <c r="AV153" s="112"/>
      <c r="AW153" s="112"/>
      <c r="AY153" s="112"/>
      <c r="AZ153" s="112"/>
      <c r="BA153" s="112"/>
      <c r="BB153" s="112"/>
      <c r="BC153" s="112"/>
      <c r="BD153" s="112"/>
      <c r="BE153" s="112"/>
      <c r="BF153" s="112"/>
      <c r="BG153" s="112"/>
      <c r="BI153" s="112"/>
      <c r="BJ153" s="112"/>
      <c r="BK153" s="112"/>
      <c r="BL153" s="112"/>
    </row>
    <row r="154" spans="17:64" x14ac:dyDescent="0.25"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N154" s="112"/>
      <c r="AO154" s="112"/>
      <c r="AP154" s="112"/>
      <c r="AQ154" s="112"/>
      <c r="AR154" s="112"/>
      <c r="AS154" s="112"/>
      <c r="AT154" s="112"/>
      <c r="AU154" s="112"/>
      <c r="AV154" s="112"/>
      <c r="AW154" s="112"/>
      <c r="AY154" s="112"/>
      <c r="AZ154" s="112"/>
      <c r="BA154" s="112"/>
      <c r="BB154" s="112"/>
      <c r="BC154" s="112"/>
      <c r="BD154" s="112"/>
      <c r="BE154" s="112"/>
      <c r="BF154" s="112"/>
      <c r="BG154" s="112"/>
      <c r="BI154" s="112"/>
      <c r="BJ154" s="112"/>
      <c r="BK154" s="112"/>
      <c r="BL154" s="112"/>
    </row>
    <row r="155" spans="17:64" x14ac:dyDescent="0.25"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112"/>
      <c r="AI155" s="112"/>
      <c r="AJ155" s="112"/>
      <c r="AN155" s="112"/>
      <c r="AO155" s="112"/>
      <c r="AP155" s="112"/>
      <c r="AQ155" s="112"/>
      <c r="AR155" s="112"/>
      <c r="AS155" s="112"/>
      <c r="AT155" s="112"/>
      <c r="AU155" s="112"/>
      <c r="AV155" s="112"/>
      <c r="AW155" s="112"/>
      <c r="AY155" s="112"/>
      <c r="AZ155" s="112"/>
      <c r="BA155" s="112"/>
      <c r="BB155" s="112"/>
      <c r="BC155" s="112"/>
      <c r="BD155" s="112"/>
      <c r="BE155" s="112"/>
      <c r="BF155" s="112"/>
      <c r="BG155" s="112"/>
      <c r="BI155" s="112"/>
      <c r="BJ155" s="112"/>
      <c r="BK155" s="112"/>
      <c r="BL155" s="112"/>
    </row>
    <row r="156" spans="17:64" x14ac:dyDescent="0.25"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N156" s="112"/>
      <c r="AO156" s="112"/>
      <c r="AP156" s="112"/>
      <c r="AQ156" s="112"/>
      <c r="AR156" s="112"/>
      <c r="AS156" s="112"/>
      <c r="AT156" s="112"/>
      <c r="AU156" s="112"/>
      <c r="AV156" s="112"/>
      <c r="AW156" s="112"/>
      <c r="AY156" s="112"/>
      <c r="AZ156" s="112"/>
      <c r="BA156" s="112"/>
      <c r="BB156" s="112"/>
      <c r="BC156" s="112"/>
      <c r="BD156" s="112"/>
      <c r="BE156" s="112"/>
      <c r="BF156" s="112"/>
      <c r="BG156" s="112"/>
      <c r="BI156" s="112"/>
      <c r="BJ156" s="112"/>
      <c r="BK156" s="112"/>
      <c r="BL156" s="112"/>
    </row>
    <row r="157" spans="17:64" x14ac:dyDescent="0.25"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112"/>
      <c r="AI157" s="112"/>
      <c r="AJ157" s="112"/>
      <c r="AN157" s="112"/>
      <c r="AO157" s="112"/>
      <c r="AP157" s="112"/>
      <c r="AQ157" s="112"/>
      <c r="AR157" s="112"/>
      <c r="AS157" s="112"/>
      <c r="AT157" s="112"/>
      <c r="AU157" s="112"/>
      <c r="AV157" s="112"/>
      <c r="AW157" s="112"/>
      <c r="AY157" s="112"/>
      <c r="AZ157" s="112"/>
      <c r="BA157" s="112"/>
      <c r="BB157" s="112"/>
      <c r="BC157" s="112"/>
      <c r="BD157" s="112"/>
      <c r="BE157" s="112"/>
      <c r="BF157" s="112"/>
      <c r="BG157" s="112"/>
      <c r="BI157" s="112"/>
      <c r="BJ157" s="112"/>
      <c r="BK157" s="112"/>
      <c r="BL157" s="112"/>
    </row>
    <row r="158" spans="17:64" x14ac:dyDescent="0.25"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112"/>
      <c r="AI158" s="112"/>
      <c r="AJ158" s="112"/>
      <c r="AN158" s="112"/>
      <c r="AO158" s="112"/>
      <c r="AP158" s="112"/>
      <c r="AQ158" s="112"/>
      <c r="AR158" s="112"/>
      <c r="AS158" s="112"/>
      <c r="AT158" s="112"/>
      <c r="AU158" s="112"/>
      <c r="AV158" s="112"/>
      <c r="AW158" s="112"/>
      <c r="AY158" s="112"/>
      <c r="AZ158" s="112"/>
      <c r="BA158" s="112"/>
      <c r="BB158" s="112"/>
      <c r="BC158" s="112"/>
      <c r="BD158" s="112"/>
      <c r="BE158" s="112"/>
      <c r="BF158" s="112"/>
      <c r="BG158" s="112"/>
      <c r="BI158" s="112"/>
      <c r="BJ158" s="112"/>
      <c r="BK158" s="112"/>
      <c r="BL158" s="112"/>
    </row>
    <row r="159" spans="17:64" x14ac:dyDescent="0.25"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112"/>
      <c r="AI159" s="112"/>
      <c r="AJ159" s="112"/>
      <c r="AN159" s="112"/>
      <c r="AO159" s="112"/>
      <c r="AP159" s="112"/>
      <c r="AQ159" s="112"/>
      <c r="AR159" s="112"/>
      <c r="AS159" s="112"/>
      <c r="AT159" s="112"/>
      <c r="AU159" s="112"/>
      <c r="AV159" s="112"/>
      <c r="AW159" s="112"/>
      <c r="AY159" s="112"/>
      <c r="AZ159" s="112"/>
      <c r="BA159" s="112"/>
      <c r="BB159" s="112"/>
      <c r="BC159" s="112"/>
      <c r="BD159" s="112"/>
      <c r="BE159" s="112"/>
      <c r="BF159" s="112"/>
      <c r="BG159" s="112"/>
      <c r="BI159" s="112"/>
      <c r="BJ159" s="112"/>
      <c r="BK159" s="112"/>
      <c r="BL159" s="112"/>
    </row>
    <row r="160" spans="17:64" x14ac:dyDescent="0.25"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112"/>
      <c r="AI160" s="112"/>
      <c r="AJ160" s="112"/>
      <c r="AN160" s="112"/>
      <c r="AO160" s="112"/>
      <c r="AP160" s="112"/>
      <c r="AQ160" s="112"/>
      <c r="AR160" s="112"/>
      <c r="AS160" s="112"/>
      <c r="AT160" s="112"/>
      <c r="AU160" s="112"/>
      <c r="AV160" s="112"/>
      <c r="AW160" s="112"/>
      <c r="AY160" s="112"/>
      <c r="AZ160" s="112"/>
      <c r="BA160" s="112"/>
      <c r="BB160" s="112"/>
      <c r="BC160" s="112"/>
      <c r="BD160" s="112"/>
      <c r="BE160" s="112"/>
      <c r="BF160" s="112"/>
      <c r="BG160" s="112"/>
      <c r="BI160" s="112"/>
      <c r="BJ160" s="112"/>
      <c r="BK160" s="112"/>
      <c r="BL160" s="112"/>
    </row>
    <row r="161" spans="17:64" x14ac:dyDescent="0.25"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112"/>
      <c r="AI161" s="112"/>
      <c r="AJ161" s="112"/>
      <c r="AN161" s="112"/>
      <c r="AO161" s="112"/>
      <c r="AP161" s="112"/>
      <c r="AQ161" s="112"/>
      <c r="AR161" s="112"/>
      <c r="AS161" s="112"/>
      <c r="AT161" s="112"/>
      <c r="AU161" s="112"/>
      <c r="AV161" s="112"/>
      <c r="AW161" s="112"/>
      <c r="AY161" s="112"/>
      <c r="AZ161" s="112"/>
      <c r="BA161" s="112"/>
      <c r="BB161" s="112"/>
      <c r="BC161" s="112"/>
      <c r="BD161" s="112"/>
      <c r="BE161" s="112"/>
      <c r="BF161" s="112"/>
      <c r="BG161" s="112"/>
      <c r="BI161" s="112"/>
      <c r="BJ161" s="112"/>
      <c r="BK161" s="112"/>
      <c r="BL161" s="112"/>
    </row>
    <row r="162" spans="17:64" x14ac:dyDescent="0.25"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112"/>
      <c r="AI162" s="112"/>
      <c r="AJ162" s="112"/>
      <c r="AN162" s="112"/>
      <c r="AO162" s="112"/>
      <c r="AP162" s="112"/>
      <c r="AQ162" s="112"/>
      <c r="AR162" s="112"/>
      <c r="AS162" s="112"/>
      <c r="AT162" s="112"/>
      <c r="AU162" s="112"/>
      <c r="AV162" s="112"/>
      <c r="AW162" s="112"/>
      <c r="AY162" s="112"/>
      <c r="AZ162" s="112"/>
      <c r="BA162" s="112"/>
      <c r="BB162" s="112"/>
      <c r="BC162" s="112"/>
      <c r="BD162" s="112"/>
      <c r="BE162" s="112"/>
      <c r="BF162" s="112"/>
      <c r="BG162" s="112"/>
      <c r="BI162" s="112"/>
      <c r="BJ162" s="112"/>
      <c r="BK162" s="112"/>
      <c r="BL162" s="112"/>
    </row>
    <row r="163" spans="17:64" x14ac:dyDescent="0.25"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112"/>
      <c r="AI163" s="112"/>
      <c r="AJ163" s="112"/>
      <c r="AN163" s="112"/>
      <c r="AO163" s="112"/>
      <c r="AP163" s="112"/>
      <c r="AQ163" s="112"/>
      <c r="AR163" s="112"/>
      <c r="AS163" s="112"/>
      <c r="AT163" s="112"/>
      <c r="AU163" s="112"/>
      <c r="AV163" s="112"/>
      <c r="AW163" s="112"/>
      <c r="AY163" s="112"/>
      <c r="AZ163" s="112"/>
      <c r="BA163" s="112"/>
      <c r="BB163" s="112"/>
      <c r="BC163" s="112"/>
      <c r="BD163" s="112"/>
      <c r="BE163" s="112"/>
      <c r="BF163" s="112"/>
      <c r="BG163" s="112"/>
      <c r="BI163" s="112"/>
      <c r="BJ163" s="112"/>
      <c r="BK163" s="112"/>
      <c r="BL163" s="112"/>
    </row>
    <row r="164" spans="17:64" x14ac:dyDescent="0.25"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112"/>
      <c r="AI164" s="112"/>
      <c r="AJ164" s="112"/>
      <c r="AN164" s="112"/>
      <c r="AO164" s="112"/>
      <c r="AP164" s="112"/>
      <c r="AQ164" s="112"/>
      <c r="AR164" s="112"/>
      <c r="AS164" s="112"/>
      <c r="AT164" s="112"/>
      <c r="AU164" s="112"/>
      <c r="AV164" s="112"/>
      <c r="AW164" s="112"/>
      <c r="AY164" s="112"/>
      <c r="AZ164" s="112"/>
      <c r="BA164" s="112"/>
      <c r="BB164" s="112"/>
      <c r="BC164" s="112"/>
      <c r="BD164" s="112"/>
      <c r="BE164" s="112"/>
      <c r="BF164" s="112"/>
      <c r="BG164" s="112"/>
      <c r="BI164" s="112"/>
      <c r="BJ164" s="112"/>
      <c r="BK164" s="112"/>
      <c r="BL164" s="112"/>
    </row>
    <row r="165" spans="17:64" x14ac:dyDescent="0.25"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112"/>
      <c r="AI165" s="112"/>
      <c r="AJ165" s="112"/>
      <c r="AN165" s="112"/>
      <c r="AO165" s="112"/>
      <c r="AP165" s="112"/>
      <c r="AQ165" s="112"/>
      <c r="AR165" s="112"/>
      <c r="AS165" s="112"/>
      <c r="AT165" s="112"/>
      <c r="AU165" s="112"/>
      <c r="AV165" s="112"/>
      <c r="AW165" s="112"/>
      <c r="AY165" s="112"/>
      <c r="AZ165" s="112"/>
      <c r="BA165" s="112"/>
      <c r="BB165" s="112"/>
      <c r="BC165" s="112"/>
      <c r="BD165" s="112"/>
      <c r="BE165" s="112"/>
      <c r="BF165" s="112"/>
      <c r="BG165" s="112"/>
      <c r="BI165" s="112"/>
      <c r="BJ165" s="112"/>
      <c r="BK165" s="112"/>
      <c r="BL165" s="112"/>
    </row>
    <row r="166" spans="17:64" x14ac:dyDescent="0.25"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112"/>
      <c r="AI166" s="112"/>
      <c r="AJ166" s="112"/>
      <c r="AN166" s="112"/>
      <c r="AO166" s="112"/>
      <c r="AP166" s="112"/>
      <c r="AQ166" s="112"/>
      <c r="AR166" s="112"/>
      <c r="AS166" s="112"/>
      <c r="AT166" s="112"/>
      <c r="AU166" s="112"/>
      <c r="AV166" s="112"/>
      <c r="AW166" s="112"/>
      <c r="AY166" s="112"/>
      <c r="AZ166" s="112"/>
      <c r="BA166" s="112"/>
      <c r="BB166" s="112"/>
      <c r="BC166" s="112"/>
      <c r="BD166" s="112"/>
      <c r="BE166" s="112"/>
      <c r="BF166" s="112"/>
      <c r="BG166" s="112"/>
      <c r="BI166" s="112"/>
      <c r="BJ166" s="112"/>
      <c r="BK166" s="112"/>
      <c r="BL166" s="112"/>
    </row>
    <row r="167" spans="17:64" x14ac:dyDescent="0.25"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N167" s="112"/>
      <c r="AO167" s="112"/>
      <c r="AP167" s="112"/>
      <c r="AQ167" s="112"/>
      <c r="AR167" s="112"/>
      <c r="AS167" s="112"/>
      <c r="AT167" s="112"/>
      <c r="AU167" s="112"/>
      <c r="AV167" s="112"/>
      <c r="AW167" s="112"/>
      <c r="AY167" s="112"/>
      <c r="AZ167" s="112"/>
      <c r="BA167" s="112"/>
      <c r="BB167" s="112"/>
      <c r="BC167" s="112"/>
      <c r="BD167" s="112"/>
      <c r="BE167" s="112"/>
      <c r="BF167" s="112"/>
      <c r="BG167" s="112"/>
      <c r="BI167" s="112"/>
      <c r="BJ167" s="112"/>
      <c r="BK167" s="112"/>
      <c r="BL167" s="112"/>
    </row>
    <row r="168" spans="17:64" x14ac:dyDescent="0.25"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N168" s="112"/>
      <c r="AO168" s="112"/>
      <c r="AP168" s="112"/>
      <c r="AQ168" s="112"/>
      <c r="AR168" s="112"/>
      <c r="AS168" s="112"/>
      <c r="AT168" s="112"/>
      <c r="AU168" s="112"/>
      <c r="AV168" s="112"/>
      <c r="AW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I168" s="112"/>
      <c r="BJ168" s="112"/>
      <c r="BK168" s="112"/>
      <c r="BL168" s="112"/>
    </row>
    <row r="169" spans="17:64" x14ac:dyDescent="0.25"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N169" s="112"/>
      <c r="AO169" s="112"/>
      <c r="AP169" s="112"/>
      <c r="AQ169" s="112"/>
      <c r="AR169" s="112"/>
      <c r="AS169" s="112"/>
      <c r="AT169" s="112"/>
      <c r="AU169" s="112"/>
      <c r="AV169" s="112"/>
      <c r="AW169" s="112"/>
      <c r="AY169" s="112"/>
      <c r="AZ169" s="112"/>
      <c r="BA169" s="112"/>
      <c r="BB169" s="112"/>
      <c r="BC169" s="112"/>
      <c r="BD169" s="112"/>
      <c r="BE169" s="112"/>
      <c r="BF169" s="112"/>
      <c r="BG169" s="112"/>
      <c r="BI169" s="112"/>
      <c r="BJ169" s="112"/>
      <c r="BK169" s="112"/>
      <c r="BL169" s="112"/>
    </row>
    <row r="170" spans="17:64" x14ac:dyDescent="0.25"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N170" s="112"/>
      <c r="AO170" s="112"/>
      <c r="AP170" s="112"/>
      <c r="AQ170" s="112"/>
      <c r="AR170" s="112"/>
      <c r="AS170" s="112"/>
      <c r="AT170" s="112"/>
      <c r="AU170" s="112"/>
      <c r="AV170" s="112"/>
      <c r="AW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I170" s="112"/>
      <c r="BJ170" s="112"/>
      <c r="BK170" s="112"/>
      <c r="BL170" s="112"/>
    </row>
    <row r="171" spans="17:64" x14ac:dyDescent="0.25"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N171" s="112"/>
      <c r="AO171" s="112"/>
      <c r="AP171" s="112"/>
      <c r="AQ171" s="112"/>
      <c r="AR171" s="112"/>
      <c r="AS171" s="112"/>
      <c r="AT171" s="112"/>
      <c r="AU171" s="112"/>
      <c r="AV171" s="112"/>
      <c r="AW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I171" s="112"/>
      <c r="BJ171" s="112"/>
      <c r="BK171" s="112"/>
      <c r="BL171" s="112"/>
    </row>
    <row r="172" spans="17:64" x14ac:dyDescent="0.25"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N172" s="112"/>
      <c r="AO172" s="112"/>
      <c r="AP172" s="112"/>
      <c r="AQ172" s="112"/>
      <c r="AR172" s="112"/>
      <c r="AS172" s="112"/>
      <c r="AT172" s="112"/>
      <c r="AU172" s="112"/>
      <c r="AV172" s="112"/>
      <c r="AW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I172" s="112"/>
      <c r="BJ172" s="112"/>
      <c r="BK172" s="112"/>
      <c r="BL172" s="112"/>
    </row>
    <row r="173" spans="17:64" x14ac:dyDescent="0.25"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N173" s="112"/>
      <c r="AO173" s="112"/>
      <c r="AP173" s="112"/>
      <c r="AQ173" s="112"/>
      <c r="AR173" s="112"/>
      <c r="AS173" s="112"/>
      <c r="AT173" s="112"/>
      <c r="AU173" s="112"/>
      <c r="AV173" s="112"/>
      <c r="AW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I173" s="112"/>
      <c r="BJ173" s="112"/>
      <c r="BK173" s="112"/>
      <c r="BL173" s="112"/>
    </row>
    <row r="174" spans="17:64" x14ac:dyDescent="0.25"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N174" s="112"/>
      <c r="AO174" s="112"/>
      <c r="AP174" s="112"/>
      <c r="AQ174" s="112"/>
      <c r="AR174" s="112"/>
      <c r="AS174" s="112"/>
      <c r="AT174" s="112"/>
      <c r="AU174" s="112"/>
      <c r="AV174" s="112"/>
      <c r="AW174" s="112"/>
      <c r="AY174" s="112"/>
      <c r="AZ174" s="112"/>
      <c r="BA174" s="112"/>
      <c r="BB174" s="112"/>
      <c r="BC174" s="112"/>
      <c r="BD174" s="112"/>
      <c r="BE174" s="112"/>
      <c r="BF174" s="112"/>
      <c r="BG174" s="112"/>
      <c r="BI174" s="112"/>
      <c r="BJ174" s="112"/>
      <c r="BK174" s="112"/>
      <c r="BL174" s="112"/>
    </row>
    <row r="175" spans="17:64" x14ac:dyDescent="0.25"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N175" s="112"/>
      <c r="AO175" s="112"/>
      <c r="AP175" s="112"/>
      <c r="AQ175" s="112"/>
      <c r="AR175" s="112"/>
      <c r="AS175" s="112"/>
      <c r="AT175" s="112"/>
      <c r="AU175" s="112"/>
      <c r="AV175" s="112"/>
      <c r="AW175" s="112"/>
      <c r="AY175" s="112"/>
      <c r="AZ175" s="112"/>
      <c r="BA175" s="112"/>
      <c r="BB175" s="112"/>
      <c r="BC175" s="112"/>
      <c r="BD175" s="112"/>
      <c r="BE175" s="112"/>
      <c r="BF175" s="112"/>
      <c r="BG175" s="112"/>
      <c r="BI175" s="112"/>
      <c r="BJ175" s="112"/>
      <c r="BK175" s="112"/>
      <c r="BL175" s="112"/>
    </row>
    <row r="176" spans="17:64" x14ac:dyDescent="0.25"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N176" s="112"/>
      <c r="AO176" s="112"/>
      <c r="AP176" s="112"/>
      <c r="AQ176" s="112"/>
      <c r="AR176" s="112"/>
      <c r="AS176" s="112"/>
      <c r="AT176" s="112"/>
      <c r="AU176" s="112"/>
      <c r="AV176" s="112"/>
      <c r="AW176" s="112"/>
      <c r="AY176" s="112"/>
      <c r="AZ176" s="112"/>
      <c r="BA176" s="112"/>
      <c r="BB176" s="112"/>
      <c r="BC176" s="112"/>
      <c r="BD176" s="112"/>
      <c r="BE176" s="112"/>
      <c r="BF176" s="112"/>
      <c r="BG176" s="112"/>
      <c r="BI176" s="112"/>
      <c r="BJ176" s="112"/>
      <c r="BK176" s="112"/>
      <c r="BL176" s="112"/>
    </row>
    <row r="177" spans="17:64" x14ac:dyDescent="0.25"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112"/>
      <c r="AI177" s="112"/>
      <c r="AJ177" s="112"/>
      <c r="AN177" s="112"/>
      <c r="AO177" s="112"/>
      <c r="AP177" s="112"/>
      <c r="AQ177" s="112"/>
      <c r="AR177" s="112"/>
      <c r="AS177" s="112"/>
      <c r="AT177" s="112"/>
      <c r="AU177" s="112"/>
      <c r="AV177" s="112"/>
      <c r="AW177" s="112"/>
      <c r="AY177" s="112"/>
      <c r="AZ177" s="112"/>
      <c r="BA177" s="112"/>
      <c r="BB177" s="112"/>
      <c r="BC177" s="112"/>
      <c r="BD177" s="112"/>
      <c r="BE177" s="112"/>
      <c r="BF177" s="112"/>
      <c r="BG177" s="112"/>
      <c r="BI177" s="112"/>
      <c r="BJ177" s="112"/>
      <c r="BK177" s="112"/>
      <c r="BL177" s="112"/>
    </row>
    <row r="178" spans="17:64" x14ac:dyDescent="0.25"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112"/>
      <c r="AI178" s="112"/>
      <c r="AJ178" s="112"/>
      <c r="AN178" s="112"/>
      <c r="AO178" s="112"/>
      <c r="AP178" s="112"/>
      <c r="AQ178" s="112"/>
      <c r="AR178" s="112"/>
      <c r="AS178" s="112"/>
      <c r="AT178" s="112"/>
      <c r="AU178" s="112"/>
      <c r="AV178" s="112"/>
      <c r="AW178" s="112"/>
      <c r="AY178" s="112"/>
      <c r="AZ178" s="112"/>
      <c r="BA178" s="112"/>
      <c r="BB178" s="112"/>
      <c r="BC178" s="112"/>
      <c r="BD178" s="112"/>
      <c r="BE178" s="112"/>
      <c r="BF178" s="112"/>
      <c r="BG178" s="112"/>
      <c r="BI178" s="112"/>
      <c r="BJ178" s="112"/>
      <c r="BK178" s="112"/>
      <c r="BL178" s="112"/>
    </row>
    <row r="179" spans="17:64" x14ac:dyDescent="0.25"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112"/>
      <c r="AI179" s="112"/>
      <c r="AJ179" s="112"/>
      <c r="AN179" s="112"/>
      <c r="AO179" s="112"/>
      <c r="AP179" s="112"/>
      <c r="AQ179" s="112"/>
      <c r="AR179" s="112"/>
      <c r="AS179" s="112"/>
      <c r="AT179" s="112"/>
      <c r="AU179" s="112"/>
      <c r="AV179" s="112"/>
      <c r="AW179" s="112"/>
      <c r="AY179" s="112"/>
      <c r="AZ179" s="112"/>
      <c r="BA179" s="112"/>
      <c r="BB179" s="112"/>
      <c r="BC179" s="112"/>
      <c r="BD179" s="112"/>
      <c r="BE179" s="112"/>
      <c r="BF179" s="112"/>
      <c r="BG179" s="112"/>
      <c r="BI179" s="112"/>
      <c r="BJ179" s="112"/>
      <c r="BK179" s="112"/>
      <c r="BL179" s="112"/>
    </row>
    <row r="180" spans="17:64" x14ac:dyDescent="0.25"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112"/>
      <c r="AI180" s="112"/>
      <c r="AJ180" s="112"/>
      <c r="AN180" s="112"/>
      <c r="AO180" s="112"/>
      <c r="AP180" s="112"/>
      <c r="AQ180" s="112"/>
      <c r="AR180" s="112"/>
      <c r="AS180" s="112"/>
      <c r="AT180" s="112"/>
      <c r="AU180" s="112"/>
      <c r="AV180" s="112"/>
      <c r="AW180" s="112"/>
      <c r="AY180" s="112"/>
      <c r="AZ180" s="112"/>
      <c r="BA180" s="112"/>
      <c r="BB180" s="112"/>
      <c r="BC180" s="112"/>
      <c r="BD180" s="112"/>
      <c r="BE180" s="112"/>
      <c r="BF180" s="112"/>
      <c r="BG180" s="112"/>
      <c r="BI180" s="112"/>
      <c r="BJ180" s="112"/>
      <c r="BK180" s="112"/>
      <c r="BL180" s="112"/>
    </row>
    <row r="181" spans="17:64" x14ac:dyDescent="0.25"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112"/>
      <c r="AI181" s="112"/>
      <c r="AJ181" s="112"/>
      <c r="AN181" s="112"/>
      <c r="AO181" s="112"/>
      <c r="AP181" s="112"/>
      <c r="AQ181" s="112"/>
      <c r="AR181" s="112"/>
      <c r="AS181" s="112"/>
      <c r="AT181" s="112"/>
      <c r="AU181" s="112"/>
      <c r="AV181" s="112"/>
      <c r="AW181" s="112"/>
      <c r="AY181" s="112"/>
      <c r="AZ181" s="112"/>
      <c r="BA181" s="112"/>
      <c r="BB181" s="112"/>
      <c r="BC181" s="112"/>
      <c r="BD181" s="112"/>
      <c r="BE181" s="112"/>
      <c r="BF181" s="112"/>
      <c r="BG181" s="112"/>
      <c r="BI181" s="112"/>
      <c r="BJ181" s="112"/>
      <c r="BK181" s="112"/>
      <c r="BL181" s="112"/>
    </row>
    <row r="182" spans="17:64" x14ac:dyDescent="0.25"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N182" s="112"/>
      <c r="AO182" s="112"/>
      <c r="AP182" s="112"/>
      <c r="AQ182" s="112"/>
      <c r="AR182" s="112"/>
      <c r="AS182" s="112"/>
      <c r="AT182" s="112"/>
      <c r="AU182" s="112"/>
      <c r="AV182" s="112"/>
      <c r="AW182" s="112"/>
      <c r="AY182" s="112"/>
      <c r="AZ182" s="112"/>
      <c r="BA182" s="112"/>
      <c r="BB182" s="112"/>
      <c r="BC182" s="112"/>
      <c r="BD182" s="112"/>
      <c r="BE182" s="112"/>
      <c r="BF182" s="112"/>
      <c r="BG182" s="112"/>
      <c r="BI182" s="112"/>
      <c r="BJ182" s="112"/>
      <c r="BK182" s="112"/>
      <c r="BL182" s="112"/>
    </row>
    <row r="183" spans="17:64" x14ac:dyDescent="0.25"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N183" s="112"/>
      <c r="AO183" s="112"/>
      <c r="AP183" s="112"/>
      <c r="AQ183" s="112"/>
      <c r="AR183" s="112"/>
      <c r="AS183" s="112"/>
      <c r="AT183" s="112"/>
      <c r="AU183" s="112"/>
      <c r="AV183" s="112"/>
      <c r="AW183" s="112"/>
      <c r="AY183" s="112"/>
      <c r="AZ183" s="112"/>
      <c r="BA183" s="112"/>
      <c r="BB183" s="112"/>
      <c r="BC183" s="112"/>
      <c r="BD183" s="112"/>
      <c r="BE183" s="112"/>
      <c r="BF183" s="112"/>
      <c r="BG183" s="112"/>
      <c r="BI183" s="112"/>
      <c r="BJ183" s="112"/>
      <c r="BK183" s="112"/>
      <c r="BL183" s="112"/>
    </row>
    <row r="184" spans="17:64" x14ac:dyDescent="0.25"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112"/>
      <c r="AI184" s="112"/>
      <c r="AJ184" s="112"/>
      <c r="AN184" s="112"/>
      <c r="AO184" s="112"/>
      <c r="AP184" s="112"/>
      <c r="AQ184" s="112"/>
      <c r="AR184" s="112"/>
      <c r="AS184" s="112"/>
      <c r="AT184" s="112"/>
      <c r="AU184" s="112"/>
      <c r="AV184" s="112"/>
      <c r="AW184" s="112"/>
      <c r="AY184" s="112"/>
      <c r="AZ184" s="112"/>
      <c r="BA184" s="112"/>
      <c r="BB184" s="112"/>
      <c r="BC184" s="112"/>
      <c r="BD184" s="112"/>
      <c r="BE184" s="112"/>
      <c r="BF184" s="112"/>
      <c r="BG184" s="112"/>
      <c r="BI184" s="112"/>
      <c r="BJ184" s="112"/>
      <c r="BK184" s="112"/>
      <c r="BL184" s="112"/>
    </row>
    <row r="185" spans="17:64" x14ac:dyDescent="0.25"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112"/>
      <c r="AI185" s="112"/>
      <c r="AJ185" s="112"/>
      <c r="AN185" s="112"/>
      <c r="AO185" s="112"/>
      <c r="AP185" s="112"/>
      <c r="AQ185" s="112"/>
      <c r="AR185" s="112"/>
      <c r="AS185" s="112"/>
      <c r="AT185" s="112"/>
      <c r="AU185" s="112"/>
      <c r="AV185" s="112"/>
      <c r="AW185" s="112"/>
      <c r="AY185" s="112"/>
      <c r="AZ185" s="112"/>
      <c r="BA185" s="112"/>
      <c r="BB185" s="112"/>
      <c r="BC185" s="112"/>
      <c r="BD185" s="112"/>
      <c r="BE185" s="112"/>
      <c r="BF185" s="112"/>
      <c r="BG185" s="112"/>
      <c r="BI185" s="112"/>
      <c r="BJ185" s="112"/>
      <c r="BK185" s="112"/>
      <c r="BL185" s="112"/>
    </row>
    <row r="186" spans="17:64" x14ac:dyDescent="0.25"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112"/>
      <c r="AI186" s="112"/>
      <c r="AJ186" s="112"/>
      <c r="AN186" s="112"/>
      <c r="AO186" s="112"/>
      <c r="AP186" s="112"/>
      <c r="AQ186" s="112"/>
      <c r="AR186" s="112"/>
      <c r="AS186" s="112"/>
      <c r="AT186" s="112"/>
      <c r="AU186" s="112"/>
      <c r="AV186" s="112"/>
      <c r="AW186" s="112"/>
      <c r="AY186" s="112"/>
      <c r="AZ186" s="112"/>
      <c r="BA186" s="112"/>
      <c r="BB186" s="112"/>
      <c r="BC186" s="112"/>
      <c r="BD186" s="112"/>
      <c r="BE186" s="112"/>
      <c r="BF186" s="112"/>
      <c r="BG186" s="112"/>
      <c r="BI186" s="112"/>
      <c r="BJ186" s="112"/>
      <c r="BK186" s="112"/>
      <c r="BL186" s="112"/>
    </row>
    <row r="187" spans="17:64" x14ac:dyDescent="0.25"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112"/>
      <c r="AI187" s="112"/>
      <c r="AJ187" s="112"/>
      <c r="AN187" s="112"/>
      <c r="AO187" s="112"/>
      <c r="AP187" s="112"/>
      <c r="AQ187" s="112"/>
      <c r="AR187" s="112"/>
      <c r="AS187" s="112"/>
      <c r="AT187" s="112"/>
      <c r="AU187" s="112"/>
      <c r="AV187" s="112"/>
      <c r="AW187" s="112"/>
      <c r="AY187" s="112"/>
      <c r="AZ187" s="112"/>
      <c r="BA187" s="112"/>
      <c r="BB187" s="112"/>
      <c r="BC187" s="112"/>
      <c r="BD187" s="112"/>
      <c r="BE187" s="112"/>
      <c r="BF187" s="112"/>
      <c r="BG187" s="112"/>
      <c r="BI187" s="112"/>
      <c r="BJ187" s="112"/>
      <c r="BK187" s="112"/>
      <c r="BL187" s="112"/>
    </row>
    <row r="188" spans="17:64" x14ac:dyDescent="0.25"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112"/>
      <c r="AI188" s="112"/>
      <c r="AJ188" s="112"/>
      <c r="AN188" s="112"/>
      <c r="AO188" s="112"/>
      <c r="AP188" s="112"/>
      <c r="AQ188" s="112"/>
      <c r="AR188" s="112"/>
      <c r="AS188" s="112"/>
      <c r="AT188" s="112"/>
      <c r="AU188" s="112"/>
      <c r="AV188" s="112"/>
      <c r="AW188" s="112"/>
      <c r="AY188" s="112"/>
      <c r="AZ188" s="112"/>
      <c r="BA188" s="112"/>
      <c r="BB188" s="112"/>
      <c r="BC188" s="112"/>
      <c r="BD188" s="112"/>
      <c r="BE188" s="112"/>
      <c r="BF188" s="112"/>
      <c r="BG188" s="112"/>
      <c r="BI188" s="112"/>
      <c r="BJ188" s="112"/>
      <c r="BK188" s="112"/>
      <c r="BL188" s="112"/>
    </row>
    <row r="189" spans="17:64" x14ac:dyDescent="0.25"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N189" s="112"/>
      <c r="AO189" s="112"/>
      <c r="AP189" s="112"/>
      <c r="AQ189" s="112"/>
      <c r="AR189" s="112"/>
      <c r="AS189" s="112"/>
      <c r="AT189" s="112"/>
      <c r="AU189" s="112"/>
      <c r="AV189" s="112"/>
      <c r="AW189" s="112"/>
      <c r="AY189" s="112"/>
      <c r="AZ189" s="112"/>
      <c r="BA189" s="112"/>
      <c r="BB189" s="112"/>
      <c r="BC189" s="112"/>
      <c r="BD189" s="112"/>
      <c r="BE189" s="112"/>
      <c r="BF189" s="112"/>
      <c r="BG189" s="112"/>
      <c r="BI189" s="112"/>
      <c r="BJ189" s="112"/>
      <c r="BK189" s="112"/>
      <c r="BL189" s="112"/>
    </row>
    <row r="190" spans="17:64" x14ac:dyDescent="0.25"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I190" s="112"/>
      <c r="BJ190" s="112"/>
      <c r="BK190" s="112"/>
      <c r="BL190" s="112"/>
    </row>
    <row r="191" spans="17:64" x14ac:dyDescent="0.25"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I191" s="112"/>
      <c r="BJ191" s="112"/>
      <c r="BK191" s="112"/>
      <c r="BL191" s="112"/>
    </row>
    <row r="192" spans="17:64" x14ac:dyDescent="0.25"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112"/>
      <c r="AI192" s="112"/>
      <c r="AJ192" s="112"/>
      <c r="AN192" s="112"/>
      <c r="AO192" s="112"/>
      <c r="AP192" s="112"/>
      <c r="AQ192" s="112"/>
      <c r="AR192" s="112"/>
      <c r="AS192" s="112"/>
      <c r="AT192" s="112"/>
      <c r="AU192" s="112"/>
      <c r="AV192" s="112"/>
      <c r="AW192" s="112"/>
      <c r="AY192" s="112"/>
      <c r="AZ192" s="112"/>
      <c r="BA192" s="112"/>
      <c r="BB192" s="112"/>
      <c r="BC192" s="112"/>
      <c r="BD192" s="112"/>
      <c r="BE192" s="112"/>
      <c r="BF192" s="112"/>
      <c r="BG192" s="112"/>
      <c r="BI192" s="112"/>
      <c r="BJ192" s="112"/>
      <c r="BK192" s="112"/>
      <c r="BL192" s="112"/>
    </row>
    <row r="193" spans="17:64" x14ac:dyDescent="0.25"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112"/>
      <c r="AI193" s="112"/>
      <c r="AJ193" s="112"/>
      <c r="AN193" s="112"/>
      <c r="AO193" s="112"/>
      <c r="AP193" s="112"/>
      <c r="AQ193" s="112"/>
      <c r="AR193" s="112"/>
      <c r="AS193" s="112"/>
      <c r="AT193" s="112"/>
      <c r="AU193" s="112"/>
      <c r="AV193" s="112"/>
      <c r="AW193" s="112"/>
      <c r="AY193" s="112"/>
      <c r="AZ193" s="112"/>
      <c r="BA193" s="112"/>
      <c r="BB193" s="112"/>
      <c r="BC193" s="112"/>
      <c r="BD193" s="112"/>
      <c r="BE193" s="112"/>
      <c r="BF193" s="112"/>
      <c r="BG193" s="112"/>
      <c r="BI193" s="112"/>
      <c r="BJ193" s="112"/>
      <c r="BK193" s="112"/>
      <c r="BL193" s="112"/>
    </row>
    <row r="194" spans="17:64" x14ac:dyDescent="0.25"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112"/>
      <c r="AI194" s="112"/>
      <c r="AJ194" s="112"/>
      <c r="AN194" s="112"/>
      <c r="AO194" s="112"/>
      <c r="AP194" s="112"/>
      <c r="AQ194" s="112"/>
      <c r="AR194" s="112"/>
      <c r="AS194" s="112"/>
      <c r="AT194" s="112"/>
      <c r="AU194" s="112"/>
      <c r="AV194" s="112"/>
      <c r="AW194" s="112"/>
      <c r="AY194" s="112"/>
      <c r="AZ194" s="112"/>
      <c r="BA194" s="112"/>
      <c r="BB194" s="112"/>
      <c r="BC194" s="112"/>
      <c r="BD194" s="112"/>
      <c r="BE194" s="112"/>
      <c r="BF194" s="112"/>
      <c r="BG194" s="112"/>
      <c r="BI194" s="112"/>
      <c r="BJ194" s="112"/>
      <c r="BK194" s="112"/>
      <c r="BL194" s="112"/>
    </row>
    <row r="195" spans="17:64" x14ac:dyDescent="0.25"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112"/>
      <c r="AI195" s="112"/>
      <c r="AJ195" s="112"/>
      <c r="AN195" s="112"/>
      <c r="AO195" s="112"/>
      <c r="AP195" s="112"/>
      <c r="AQ195" s="112"/>
      <c r="AR195" s="112"/>
      <c r="AS195" s="112"/>
      <c r="AT195" s="112"/>
      <c r="AU195" s="112"/>
      <c r="AV195" s="112"/>
      <c r="AW195" s="112"/>
      <c r="AY195" s="112"/>
      <c r="AZ195" s="112"/>
      <c r="BA195" s="112"/>
      <c r="BB195" s="112"/>
      <c r="BC195" s="112"/>
      <c r="BD195" s="112"/>
      <c r="BE195" s="112"/>
      <c r="BF195" s="112"/>
      <c r="BG195" s="112"/>
      <c r="BI195" s="112"/>
      <c r="BJ195" s="112"/>
      <c r="BK195" s="112"/>
      <c r="BL195" s="112"/>
    </row>
    <row r="196" spans="17:64" x14ac:dyDescent="0.25"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112"/>
      <c r="AI196" s="112"/>
      <c r="AJ196" s="112"/>
      <c r="AN196" s="112"/>
      <c r="AO196" s="112"/>
      <c r="AP196" s="112"/>
      <c r="AQ196" s="112"/>
      <c r="AR196" s="112"/>
      <c r="AS196" s="112"/>
      <c r="AT196" s="112"/>
      <c r="AU196" s="112"/>
      <c r="AV196" s="112"/>
      <c r="AW196" s="112"/>
      <c r="AY196" s="112"/>
      <c r="AZ196" s="112"/>
      <c r="BA196" s="112"/>
      <c r="BB196" s="112"/>
      <c r="BC196" s="112"/>
      <c r="BD196" s="112"/>
      <c r="BE196" s="112"/>
      <c r="BF196" s="112"/>
      <c r="BG196" s="112"/>
      <c r="BI196" s="112"/>
      <c r="BJ196" s="112"/>
      <c r="BK196" s="112"/>
      <c r="BL196" s="112"/>
    </row>
    <row r="197" spans="17:64" x14ac:dyDescent="0.25"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112"/>
      <c r="AI197" s="112"/>
      <c r="AJ197" s="112"/>
      <c r="AN197" s="112"/>
      <c r="AO197" s="112"/>
      <c r="AP197" s="112"/>
      <c r="AQ197" s="112"/>
      <c r="AR197" s="112"/>
      <c r="AS197" s="112"/>
      <c r="AT197" s="112"/>
      <c r="AU197" s="112"/>
      <c r="AV197" s="112"/>
      <c r="AW197" s="112"/>
      <c r="AY197" s="112"/>
      <c r="AZ197" s="112"/>
      <c r="BA197" s="112"/>
      <c r="BB197" s="112"/>
      <c r="BC197" s="112"/>
      <c r="BD197" s="112"/>
      <c r="BE197" s="112"/>
      <c r="BF197" s="112"/>
      <c r="BG197" s="112"/>
      <c r="BI197" s="112"/>
      <c r="BJ197" s="112"/>
      <c r="BK197" s="112"/>
      <c r="BL197" s="112"/>
    </row>
    <row r="198" spans="17:64" x14ac:dyDescent="0.25"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112"/>
      <c r="AI198" s="112"/>
      <c r="AJ198" s="112"/>
      <c r="AN198" s="112"/>
      <c r="AO198" s="112"/>
      <c r="AP198" s="112"/>
      <c r="AQ198" s="112"/>
      <c r="AR198" s="112"/>
      <c r="AS198" s="112"/>
      <c r="AT198" s="112"/>
      <c r="AU198" s="112"/>
      <c r="AV198" s="112"/>
      <c r="AW198" s="112"/>
      <c r="AY198" s="112"/>
      <c r="AZ198" s="112"/>
      <c r="BA198" s="112"/>
      <c r="BB198" s="112"/>
      <c r="BC198" s="112"/>
      <c r="BD198" s="112"/>
      <c r="BE198" s="112"/>
      <c r="BF198" s="112"/>
      <c r="BG198" s="112"/>
      <c r="BI198" s="112"/>
      <c r="BJ198" s="112"/>
      <c r="BK198" s="112"/>
      <c r="BL198" s="112"/>
    </row>
    <row r="199" spans="17:64" x14ac:dyDescent="0.25"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112"/>
      <c r="AI199" s="112"/>
      <c r="AJ199" s="112"/>
      <c r="AN199" s="112"/>
      <c r="AO199" s="112"/>
      <c r="AP199" s="112"/>
      <c r="AQ199" s="112"/>
      <c r="AR199" s="112"/>
      <c r="AS199" s="112"/>
      <c r="AT199" s="112"/>
      <c r="AU199" s="112"/>
      <c r="AV199" s="112"/>
      <c r="AW199" s="112"/>
      <c r="AY199" s="112"/>
      <c r="AZ199" s="112"/>
      <c r="BA199" s="112"/>
      <c r="BB199" s="112"/>
      <c r="BC199" s="112"/>
      <c r="BD199" s="112"/>
      <c r="BE199" s="112"/>
      <c r="BF199" s="112"/>
      <c r="BG199" s="112"/>
      <c r="BI199" s="112"/>
      <c r="BJ199" s="112"/>
      <c r="BK199" s="112"/>
      <c r="BL199" s="112"/>
    </row>
    <row r="200" spans="17:64" x14ac:dyDescent="0.25">
      <c r="Q200" s="112"/>
      <c r="R200" s="112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112"/>
      <c r="AI200" s="112"/>
      <c r="AJ200" s="112"/>
      <c r="AN200" s="112"/>
      <c r="AO200" s="112"/>
      <c r="AP200" s="112"/>
      <c r="AQ200" s="112"/>
      <c r="AR200" s="112"/>
      <c r="AS200" s="112"/>
      <c r="AT200" s="112"/>
      <c r="AU200" s="112"/>
      <c r="AV200" s="112"/>
      <c r="AW200" s="112"/>
      <c r="AY200" s="112"/>
      <c r="AZ200" s="112"/>
      <c r="BA200" s="112"/>
      <c r="BB200" s="112"/>
      <c r="BC200" s="112"/>
      <c r="BD200" s="112"/>
      <c r="BE200" s="112"/>
      <c r="BF200" s="112"/>
      <c r="BG200" s="112"/>
      <c r="BI200" s="112"/>
      <c r="BJ200" s="112"/>
      <c r="BK200" s="112"/>
      <c r="BL200" s="112"/>
    </row>
    <row r="201" spans="17:64" x14ac:dyDescent="0.25">
      <c r="Q201" s="112"/>
      <c r="R201" s="112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112"/>
      <c r="AI201" s="112"/>
      <c r="AJ201" s="112"/>
      <c r="AN201" s="112"/>
      <c r="AO201" s="112"/>
      <c r="AP201" s="112"/>
      <c r="AQ201" s="112"/>
      <c r="AR201" s="112"/>
      <c r="AS201" s="112"/>
      <c r="AT201" s="112"/>
      <c r="AU201" s="112"/>
      <c r="AV201" s="112"/>
      <c r="AW201" s="112"/>
      <c r="AY201" s="112"/>
      <c r="AZ201" s="112"/>
      <c r="BA201" s="112"/>
      <c r="BB201" s="112"/>
      <c r="BC201" s="112"/>
      <c r="BD201" s="112"/>
      <c r="BE201" s="112"/>
      <c r="BF201" s="112"/>
      <c r="BG201" s="112"/>
      <c r="BI201" s="112"/>
      <c r="BJ201" s="112"/>
      <c r="BK201" s="112"/>
      <c r="BL201" s="112"/>
    </row>
    <row r="202" spans="17:64" x14ac:dyDescent="0.25">
      <c r="Q202" s="112"/>
      <c r="R202" s="112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112"/>
      <c r="AI202" s="112"/>
      <c r="AJ202" s="112"/>
      <c r="AN202" s="112"/>
      <c r="AO202" s="112"/>
      <c r="AP202" s="112"/>
      <c r="AQ202" s="112"/>
      <c r="AR202" s="112"/>
      <c r="AS202" s="112"/>
      <c r="AT202" s="112"/>
      <c r="AU202" s="112"/>
      <c r="AV202" s="112"/>
      <c r="AW202" s="112"/>
      <c r="AY202" s="112"/>
      <c r="AZ202" s="112"/>
      <c r="BA202" s="112"/>
      <c r="BB202" s="112"/>
      <c r="BC202" s="112"/>
      <c r="BD202" s="112"/>
      <c r="BE202" s="112"/>
      <c r="BF202" s="112"/>
      <c r="BG202" s="112"/>
      <c r="BI202" s="112"/>
      <c r="BJ202" s="112"/>
      <c r="BK202" s="112"/>
      <c r="BL202" s="112"/>
    </row>
    <row r="203" spans="17:64" x14ac:dyDescent="0.25">
      <c r="Q203" s="112"/>
      <c r="R203" s="112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112"/>
      <c r="AI203" s="112"/>
      <c r="AJ203" s="112"/>
      <c r="AN203" s="112"/>
      <c r="AO203" s="112"/>
      <c r="AP203" s="112"/>
      <c r="AQ203" s="112"/>
      <c r="AR203" s="112"/>
      <c r="AS203" s="112"/>
      <c r="AT203" s="112"/>
      <c r="AU203" s="112"/>
      <c r="AV203" s="112"/>
      <c r="AW203" s="112"/>
      <c r="AY203" s="112"/>
      <c r="AZ203" s="112"/>
      <c r="BA203" s="112"/>
      <c r="BB203" s="112"/>
      <c r="BC203" s="112"/>
      <c r="BD203" s="112"/>
      <c r="BE203" s="112"/>
      <c r="BF203" s="112"/>
      <c r="BG203" s="112"/>
      <c r="BI203" s="112"/>
      <c r="BJ203" s="112"/>
      <c r="BK203" s="112"/>
      <c r="BL203" s="112"/>
    </row>
    <row r="204" spans="17:64" x14ac:dyDescent="0.25"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112"/>
      <c r="AI204" s="112"/>
      <c r="AJ204" s="112"/>
      <c r="AN204" s="112"/>
      <c r="AO204" s="112"/>
      <c r="AP204" s="112"/>
      <c r="AQ204" s="112"/>
      <c r="AR204" s="112"/>
      <c r="AS204" s="112"/>
      <c r="AT204" s="112"/>
      <c r="AU204" s="112"/>
      <c r="AV204" s="112"/>
      <c r="AW204" s="112"/>
      <c r="AY204" s="112"/>
      <c r="AZ204" s="112"/>
      <c r="BA204" s="112"/>
      <c r="BB204" s="112"/>
      <c r="BC204" s="112"/>
      <c r="BD204" s="112"/>
      <c r="BE204" s="112"/>
      <c r="BF204" s="112"/>
      <c r="BG204" s="112"/>
      <c r="BI204" s="112"/>
      <c r="BJ204" s="112"/>
      <c r="BK204" s="112"/>
      <c r="BL204" s="112"/>
    </row>
    <row r="205" spans="17:64" x14ac:dyDescent="0.25">
      <c r="Q205" s="112"/>
      <c r="R205" s="112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112"/>
      <c r="AI205" s="112"/>
      <c r="AJ205" s="112"/>
      <c r="AN205" s="112"/>
      <c r="AO205" s="112"/>
      <c r="AP205" s="112"/>
      <c r="AQ205" s="112"/>
      <c r="AR205" s="112"/>
      <c r="AS205" s="112"/>
      <c r="AT205" s="112"/>
      <c r="AU205" s="112"/>
      <c r="AV205" s="112"/>
      <c r="AW205" s="112"/>
      <c r="AY205" s="112"/>
      <c r="AZ205" s="112"/>
      <c r="BA205" s="112"/>
      <c r="BB205" s="112"/>
      <c r="BC205" s="112"/>
      <c r="BD205" s="112"/>
      <c r="BE205" s="112"/>
      <c r="BF205" s="112"/>
      <c r="BG205" s="112"/>
      <c r="BI205" s="112"/>
      <c r="BJ205" s="112"/>
      <c r="BK205" s="112"/>
      <c r="BL205" s="112"/>
    </row>
    <row r="206" spans="17:64" x14ac:dyDescent="0.25"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112"/>
      <c r="AI206" s="112"/>
      <c r="AJ206" s="112"/>
      <c r="AN206" s="112"/>
      <c r="AO206" s="112"/>
      <c r="AP206" s="112"/>
      <c r="AQ206" s="112"/>
      <c r="AR206" s="112"/>
      <c r="AS206" s="112"/>
      <c r="AT206" s="112"/>
      <c r="AU206" s="112"/>
      <c r="AV206" s="112"/>
      <c r="AW206" s="112"/>
      <c r="AY206" s="112"/>
      <c r="AZ206" s="112"/>
      <c r="BA206" s="112"/>
      <c r="BB206" s="112"/>
      <c r="BC206" s="112"/>
      <c r="BD206" s="112"/>
      <c r="BE206" s="112"/>
      <c r="BF206" s="112"/>
      <c r="BG206" s="112"/>
      <c r="BI206" s="112"/>
      <c r="BJ206" s="112"/>
      <c r="BK206" s="112"/>
      <c r="BL206" s="112"/>
    </row>
    <row r="207" spans="17:64" x14ac:dyDescent="0.25"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N207" s="112"/>
      <c r="AO207" s="112"/>
      <c r="AP207" s="112"/>
      <c r="AQ207" s="112"/>
      <c r="AR207" s="112"/>
      <c r="AS207" s="112"/>
      <c r="AT207" s="112"/>
      <c r="AU207" s="112"/>
      <c r="AV207" s="112"/>
      <c r="AW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I207" s="112"/>
      <c r="BJ207" s="112"/>
      <c r="BK207" s="112"/>
      <c r="BL207" s="112"/>
    </row>
    <row r="208" spans="17:64" x14ac:dyDescent="0.25"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112"/>
      <c r="AI208" s="112"/>
      <c r="AJ208" s="112"/>
      <c r="AN208" s="112"/>
      <c r="AO208" s="112"/>
      <c r="AP208" s="112"/>
      <c r="AQ208" s="112"/>
      <c r="AR208" s="112"/>
      <c r="AS208" s="112"/>
      <c r="AT208" s="112"/>
      <c r="AU208" s="112"/>
      <c r="AV208" s="112"/>
      <c r="AW208" s="112"/>
      <c r="AY208" s="112"/>
      <c r="AZ208" s="112"/>
      <c r="BA208" s="112"/>
      <c r="BB208" s="112"/>
      <c r="BC208" s="112"/>
      <c r="BD208" s="112"/>
      <c r="BE208" s="112"/>
      <c r="BF208" s="112"/>
      <c r="BG208" s="112"/>
      <c r="BI208" s="112"/>
      <c r="BJ208" s="112"/>
      <c r="BK208" s="112"/>
      <c r="BL208" s="112"/>
    </row>
    <row r="209" spans="17:64" x14ac:dyDescent="0.25"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112"/>
      <c r="AI209" s="112"/>
      <c r="AJ209" s="112"/>
      <c r="AN209" s="112"/>
      <c r="AO209" s="112"/>
      <c r="AP209" s="112"/>
      <c r="AQ209" s="112"/>
      <c r="AR209" s="112"/>
      <c r="AS209" s="112"/>
      <c r="AT209" s="112"/>
      <c r="AU209" s="112"/>
      <c r="AV209" s="112"/>
      <c r="AW209" s="112"/>
      <c r="AY209" s="112"/>
      <c r="AZ209" s="112"/>
      <c r="BA209" s="112"/>
      <c r="BB209" s="112"/>
      <c r="BC209" s="112"/>
      <c r="BD209" s="112"/>
      <c r="BE209" s="112"/>
      <c r="BF209" s="112"/>
      <c r="BG209" s="112"/>
      <c r="BI209" s="112"/>
      <c r="BJ209" s="112"/>
      <c r="BK209" s="112"/>
      <c r="BL209" s="112"/>
    </row>
    <row r="210" spans="17:64" x14ac:dyDescent="0.25">
      <c r="Q210" s="112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112"/>
      <c r="AI210" s="112"/>
      <c r="AJ210" s="112"/>
      <c r="AN210" s="112"/>
      <c r="AO210" s="112"/>
      <c r="AP210" s="112"/>
      <c r="AQ210" s="112"/>
      <c r="AR210" s="112"/>
      <c r="AS210" s="112"/>
      <c r="AT210" s="112"/>
      <c r="AU210" s="112"/>
      <c r="AV210" s="112"/>
      <c r="AW210" s="112"/>
      <c r="AY210" s="112"/>
      <c r="AZ210" s="112"/>
      <c r="BA210" s="112"/>
      <c r="BB210" s="112"/>
      <c r="BC210" s="112"/>
      <c r="BD210" s="112"/>
      <c r="BE210" s="112"/>
      <c r="BF210" s="112"/>
      <c r="BG210" s="112"/>
      <c r="BI210" s="112"/>
      <c r="BJ210" s="112"/>
      <c r="BK210" s="112"/>
      <c r="BL210" s="112"/>
    </row>
    <row r="211" spans="17:64" x14ac:dyDescent="0.25"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112"/>
      <c r="AI211" s="112"/>
      <c r="AJ211" s="112"/>
      <c r="AN211" s="112"/>
      <c r="AO211" s="112"/>
      <c r="AP211" s="112"/>
      <c r="AQ211" s="112"/>
      <c r="AR211" s="112"/>
      <c r="AS211" s="112"/>
      <c r="AT211" s="112"/>
      <c r="AU211" s="112"/>
      <c r="AV211" s="112"/>
      <c r="AW211" s="112"/>
      <c r="AY211" s="112"/>
      <c r="AZ211" s="112"/>
      <c r="BA211" s="112"/>
      <c r="BB211" s="112"/>
      <c r="BC211" s="112"/>
      <c r="BD211" s="112"/>
      <c r="BE211" s="112"/>
      <c r="BF211" s="112"/>
      <c r="BG211" s="112"/>
      <c r="BI211" s="112"/>
      <c r="BJ211" s="112"/>
      <c r="BK211" s="112"/>
      <c r="BL211" s="112"/>
    </row>
    <row r="212" spans="17:64" x14ac:dyDescent="0.25"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112"/>
      <c r="AI212" s="112"/>
      <c r="AJ212" s="112"/>
      <c r="AN212" s="112"/>
      <c r="AO212" s="112"/>
      <c r="AP212" s="112"/>
      <c r="AQ212" s="112"/>
      <c r="AR212" s="112"/>
      <c r="AS212" s="112"/>
      <c r="AT212" s="112"/>
      <c r="AU212" s="112"/>
      <c r="AV212" s="112"/>
      <c r="AW212" s="112"/>
      <c r="AY212" s="112"/>
      <c r="AZ212" s="112"/>
      <c r="BA212" s="112"/>
      <c r="BB212" s="112"/>
      <c r="BC212" s="112"/>
      <c r="BD212" s="112"/>
      <c r="BE212" s="112"/>
      <c r="BF212" s="112"/>
      <c r="BG212" s="112"/>
      <c r="BI212" s="112"/>
      <c r="BJ212" s="112"/>
      <c r="BK212" s="112"/>
      <c r="BL212" s="112"/>
    </row>
    <row r="213" spans="17:64" x14ac:dyDescent="0.25"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112"/>
      <c r="AI213" s="112"/>
      <c r="AJ213" s="112"/>
      <c r="AN213" s="112"/>
      <c r="AO213" s="112"/>
      <c r="AP213" s="112"/>
      <c r="AQ213" s="112"/>
      <c r="AR213" s="112"/>
      <c r="AS213" s="112"/>
      <c r="AT213" s="112"/>
      <c r="AU213" s="112"/>
      <c r="AV213" s="112"/>
      <c r="AW213" s="112"/>
      <c r="AY213" s="112"/>
      <c r="AZ213" s="112"/>
      <c r="BA213" s="112"/>
      <c r="BB213" s="112"/>
      <c r="BC213" s="112"/>
      <c r="BD213" s="112"/>
      <c r="BE213" s="112"/>
      <c r="BF213" s="112"/>
      <c r="BG213" s="112"/>
      <c r="BI213" s="112"/>
      <c r="BJ213" s="112"/>
      <c r="BK213" s="112"/>
      <c r="BL213" s="112"/>
    </row>
    <row r="214" spans="17:64" x14ac:dyDescent="0.25"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112"/>
      <c r="AI214" s="112"/>
      <c r="AJ214" s="112"/>
      <c r="AN214" s="112"/>
      <c r="AO214" s="112"/>
      <c r="AP214" s="112"/>
      <c r="AQ214" s="112"/>
      <c r="AR214" s="112"/>
      <c r="AS214" s="112"/>
      <c r="AT214" s="112"/>
      <c r="AU214" s="112"/>
      <c r="AV214" s="112"/>
      <c r="AW214" s="112"/>
      <c r="AY214" s="112"/>
      <c r="AZ214" s="112"/>
      <c r="BA214" s="112"/>
      <c r="BB214" s="112"/>
      <c r="BC214" s="112"/>
      <c r="BD214" s="112"/>
      <c r="BE214" s="112"/>
      <c r="BF214" s="112"/>
      <c r="BG214" s="112"/>
      <c r="BI214" s="112"/>
      <c r="BJ214" s="112"/>
      <c r="BK214" s="112"/>
      <c r="BL214" s="112"/>
    </row>
    <row r="215" spans="17:64" x14ac:dyDescent="0.25"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112"/>
      <c r="AI215" s="112"/>
      <c r="AJ215" s="112"/>
      <c r="AN215" s="112"/>
      <c r="AO215" s="112"/>
      <c r="AP215" s="112"/>
      <c r="AQ215" s="112"/>
      <c r="AR215" s="112"/>
      <c r="AS215" s="112"/>
      <c r="AT215" s="112"/>
      <c r="AU215" s="112"/>
      <c r="AV215" s="112"/>
      <c r="AW215" s="112"/>
      <c r="AY215" s="112"/>
      <c r="AZ215" s="112"/>
      <c r="BA215" s="112"/>
      <c r="BB215" s="112"/>
      <c r="BC215" s="112"/>
      <c r="BD215" s="112"/>
      <c r="BE215" s="112"/>
      <c r="BF215" s="112"/>
      <c r="BG215" s="112"/>
      <c r="BI215" s="112"/>
      <c r="BJ215" s="112"/>
      <c r="BK215" s="112"/>
      <c r="BL215" s="112"/>
    </row>
    <row r="216" spans="17:64" x14ac:dyDescent="0.25">
      <c r="Q216" s="112"/>
      <c r="R216" s="112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112"/>
      <c r="AI216" s="112"/>
      <c r="AJ216" s="112"/>
      <c r="AN216" s="112"/>
      <c r="AO216" s="112"/>
      <c r="AP216" s="112"/>
      <c r="AQ216" s="112"/>
      <c r="AR216" s="112"/>
      <c r="AS216" s="112"/>
      <c r="AT216" s="112"/>
      <c r="AU216" s="112"/>
      <c r="AV216" s="112"/>
      <c r="AW216" s="112"/>
      <c r="AY216" s="112"/>
      <c r="AZ216" s="112"/>
      <c r="BA216" s="112"/>
      <c r="BB216" s="112"/>
      <c r="BC216" s="112"/>
      <c r="BD216" s="112"/>
      <c r="BE216" s="112"/>
      <c r="BF216" s="112"/>
      <c r="BG216" s="112"/>
      <c r="BI216" s="112"/>
      <c r="BJ216" s="112"/>
      <c r="BK216" s="112"/>
      <c r="BL216" s="112"/>
    </row>
    <row r="217" spans="17:64" x14ac:dyDescent="0.25">
      <c r="Q217" s="112"/>
      <c r="R217" s="112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112"/>
      <c r="AI217" s="112"/>
      <c r="AJ217" s="112"/>
      <c r="AN217" s="112"/>
      <c r="AO217" s="112"/>
      <c r="AP217" s="112"/>
      <c r="AQ217" s="112"/>
      <c r="AR217" s="112"/>
      <c r="AS217" s="112"/>
      <c r="AT217" s="112"/>
      <c r="AU217" s="112"/>
      <c r="AV217" s="112"/>
      <c r="AW217" s="112"/>
      <c r="AY217" s="112"/>
      <c r="AZ217" s="112"/>
      <c r="BA217" s="112"/>
      <c r="BB217" s="112"/>
      <c r="BC217" s="112"/>
      <c r="BD217" s="112"/>
      <c r="BE217" s="112"/>
      <c r="BF217" s="112"/>
      <c r="BG217" s="112"/>
      <c r="BI217" s="112"/>
      <c r="BJ217" s="112"/>
      <c r="BK217" s="112"/>
      <c r="BL217" s="112"/>
    </row>
    <row r="218" spans="17:64" x14ac:dyDescent="0.25">
      <c r="Q218" s="112"/>
      <c r="R218" s="112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112"/>
      <c r="AI218" s="112"/>
      <c r="AJ218" s="112"/>
      <c r="AN218" s="112"/>
      <c r="AO218" s="112"/>
      <c r="AP218" s="112"/>
      <c r="AQ218" s="112"/>
      <c r="AR218" s="112"/>
      <c r="AS218" s="112"/>
      <c r="AT218" s="112"/>
      <c r="AU218" s="112"/>
      <c r="AV218" s="112"/>
      <c r="AW218" s="112"/>
      <c r="AY218" s="112"/>
      <c r="AZ218" s="112"/>
      <c r="BA218" s="112"/>
      <c r="BB218" s="112"/>
      <c r="BC218" s="112"/>
      <c r="BD218" s="112"/>
      <c r="BE218" s="112"/>
      <c r="BF218" s="112"/>
      <c r="BG218" s="112"/>
      <c r="BI218" s="112"/>
      <c r="BJ218" s="112"/>
      <c r="BK218" s="112"/>
      <c r="BL218" s="112"/>
    </row>
    <row r="219" spans="17:64" x14ac:dyDescent="0.25">
      <c r="Q219" s="112"/>
      <c r="R219" s="112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112"/>
      <c r="AI219" s="112"/>
      <c r="AJ219" s="112"/>
      <c r="AN219" s="112"/>
      <c r="AO219" s="112"/>
      <c r="AP219" s="112"/>
      <c r="AQ219" s="112"/>
      <c r="AR219" s="112"/>
      <c r="AS219" s="112"/>
      <c r="AT219" s="112"/>
      <c r="AU219" s="112"/>
      <c r="AV219" s="112"/>
      <c r="AW219" s="112"/>
      <c r="AY219" s="112"/>
      <c r="AZ219" s="112"/>
      <c r="BA219" s="112"/>
      <c r="BB219" s="112"/>
      <c r="BC219" s="112"/>
      <c r="BD219" s="112"/>
      <c r="BE219" s="112"/>
      <c r="BF219" s="112"/>
      <c r="BG219" s="112"/>
      <c r="BI219" s="112"/>
      <c r="BJ219" s="112"/>
      <c r="BK219" s="112"/>
      <c r="BL219" s="112"/>
    </row>
    <row r="220" spans="17:64" x14ac:dyDescent="0.25">
      <c r="Q220" s="112"/>
      <c r="R220" s="112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112"/>
      <c r="AI220" s="112"/>
      <c r="AJ220" s="112"/>
      <c r="AN220" s="112"/>
      <c r="AO220" s="112"/>
      <c r="AP220" s="112"/>
      <c r="AQ220" s="112"/>
      <c r="AR220" s="112"/>
      <c r="AS220" s="112"/>
      <c r="AT220" s="112"/>
      <c r="AU220" s="112"/>
      <c r="AV220" s="112"/>
      <c r="AW220" s="112"/>
      <c r="AY220" s="112"/>
      <c r="AZ220" s="112"/>
      <c r="BA220" s="112"/>
      <c r="BB220" s="112"/>
      <c r="BC220" s="112"/>
      <c r="BD220" s="112"/>
      <c r="BE220" s="112"/>
      <c r="BF220" s="112"/>
      <c r="BG220" s="112"/>
      <c r="BI220" s="112"/>
      <c r="BJ220" s="112"/>
      <c r="BK220" s="112"/>
      <c r="BL220" s="112"/>
    </row>
    <row r="221" spans="17:64" x14ac:dyDescent="0.25">
      <c r="Q221" s="112"/>
      <c r="R221" s="112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112"/>
      <c r="AI221" s="112"/>
      <c r="AJ221" s="112"/>
      <c r="AN221" s="112"/>
      <c r="AO221" s="112"/>
      <c r="AP221" s="112"/>
      <c r="AQ221" s="112"/>
      <c r="AR221" s="112"/>
      <c r="AS221" s="112"/>
      <c r="AT221" s="112"/>
      <c r="AU221" s="112"/>
      <c r="AV221" s="112"/>
      <c r="AW221" s="112"/>
      <c r="AY221" s="112"/>
      <c r="AZ221" s="112"/>
      <c r="BA221" s="112"/>
      <c r="BB221" s="112"/>
      <c r="BC221" s="112"/>
      <c r="BD221" s="112"/>
      <c r="BE221" s="112"/>
      <c r="BF221" s="112"/>
      <c r="BG221" s="112"/>
      <c r="BI221" s="112"/>
      <c r="BJ221" s="112"/>
      <c r="BK221" s="112"/>
      <c r="BL221" s="112"/>
    </row>
    <row r="222" spans="17:64" x14ac:dyDescent="0.25">
      <c r="Q222" s="112"/>
      <c r="R222" s="112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112"/>
      <c r="AI222" s="112"/>
      <c r="AJ222" s="112"/>
      <c r="AN222" s="112"/>
      <c r="AO222" s="112"/>
      <c r="AP222" s="112"/>
      <c r="AQ222" s="112"/>
      <c r="AR222" s="112"/>
      <c r="AS222" s="112"/>
      <c r="AT222" s="112"/>
      <c r="AU222" s="112"/>
      <c r="AV222" s="112"/>
      <c r="AW222" s="112"/>
      <c r="AY222" s="112"/>
      <c r="AZ222" s="112"/>
      <c r="BA222" s="112"/>
      <c r="BB222" s="112"/>
      <c r="BC222" s="112"/>
      <c r="BD222" s="112"/>
      <c r="BE222" s="112"/>
      <c r="BF222" s="112"/>
      <c r="BG222" s="112"/>
      <c r="BI222" s="112"/>
      <c r="BJ222" s="112"/>
      <c r="BK222" s="112"/>
      <c r="BL222" s="112"/>
    </row>
    <row r="223" spans="17:64" x14ac:dyDescent="0.25">
      <c r="Q223" s="112"/>
      <c r="R223" s="112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112"/>
      <c r="AI223" s="112"/>
      <c r="AJ223" s="112"/>
      <c r="AN223" s="112"/>
      <c r="AO223" s="112"/>
      <c r="AP223" s="112"/>
      <c r="AQ223" s="112"/>
      <c r="AR223" s="112"/>
      <c r="AS223" s="112"/>
      <c r="AT223" s="112"/>
      <c r="AU223" s="112"/>
      <c r="AV223" s="112"/>
      <c r="AW223" s="112"/>
      <c r="AY223" s="112"/>
      <c r="AZ223" s="112"/>
      <c r="BA223" s="112"/>
      <c r="BB223" s="112"/>
      <c r="BC223" s="112"/>
      <c r="BD223" s="112"/>
      <c r="BE223" s="112"/>
      <c r="BF223" s="112"/>
      <c r="BG223" s="112"/>
      <c r="BI223" s="112"/>
      <c r="BJ223" s="112"/>
      <c r="BK223" s="112"/>
      <c r="BL223" s="112"/>
    </row>
    <row r="224" spans="17:64" x14ac:dyDescent="0.25"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112"/>
      <c r="AI224" s="112"/>
      <c r="AJ224" s="112"/>
      <c r="AN224" s="112"/>
      <c r="AO224" s="112"/>
      <c r="AP224" s="112"/>
      <c r="AQ224" s="112"/>
      <c r="AR224" s="112"/>
      <c r="AS224" s="112"/>
      <c r="AT224" s="112"/>
      <c r="AU224" s="112"/>
      <c r="AV224" s="112"/>
      <c r="AW224" s="112"/>
      <c r="AY224" s="112"/>
      <c r="AZ224" s="112"/>
      <c r="BA224" s="112"/>
      <c r="BB224" s="112"/>
      <c r="BC224" s="112"/>
      <c r="BD224" s="112"/>
      <c r="BE224" s="112"/>
      <c r="BF224" s="112"/>
      <c r="BG224" s="112"/>
      <c r="BI224" s="112"/>
      <c r="BJ224" s="112"/>
      <c r="BK224" s="112"/>
      <c r="BL224" s="112"/>
    </row>
    <row r="225" spans="17:64" x14ac:dyDescent="0.25">
      <c r="Q225" s="112"/>
      <c r="R225" s="112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112"/>
      <c r="AI225" s="112"/>
      <c r="AJ225" s="112"/>
      <c r="AN225" s="112"/>
      <c r="AO225" s="112"/>
      <c r="AP225" s="112"/>
      <c r="AQ225" s="112"/>
      <c r="AR225" s="112"/>
      <c r="AS225" s="112"/>
      <c r="AT225" s="112"/>
      <c r="AU225" s="112"/>
      <c r="AV225" s="112"/>
      <c r="AW225" s="112"/>
      <c r="AY225" s="112"/>
      <c r="AZ225" s="112"/>
      <c r="BA225" s="112"/>
      <c r="BB225" s="112"/>
      <c r="BC225" s="112"/>
      <c r="BD225" s="112"/>
      <c r="BE225" s="112"/>
      <c r="BF225" s="112"/>
      <c r="BG225" s="112"/>
      <c r="BI225" s="112"/>
      <c r="BJ225" s="112"/>
      <c r="BK225" s="112"/>
      <c r="BL225" s="112"/>
    </row>
    <row r="226" spans="17:64" x14ac:dyDescent="0.25"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112"/>
      <c r="AI226" s="112"/>
      <c r="AJ226" s="112"/>
      <c r="AN226" s="112"/>
      <c r="AO226" s="112"/>
      <c r="AP226" s="112"/>
      <c r="AQ226" s="112"/>
      <c r="AR226" s="112"/>
      <c r="AS226" s="112"/>
      <c r="AT226" s="112"/>
      <c r="AU226" s="112"/>
      <c r="AV226" s="112"/>
      <c r="AW226" s="112"/>
      <c r="AY226" s="112"/>
      <c r="AZ226" s="112"/>
      <c r="BA226" s="112"/>
      <c r="BB226" s="112"/>
      <c r="BC226" s="112"/>
      <c r="BD226" s="112"/>
      <c r="BE226" s="112"/>
      <c r="BF226" s="112"/>
      <c r="BG226" s="112"/>
      <c r="BI226" s="112"/>
      <c r="BJ226" s="112"/>
      <c r="BK226" s="112"/>
      <c r="BL226" s="112"/>
    </row>
    <row r="227" spans="17:64" x14ac:dyDescent="0.25"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112"/>
      <c r="AI227" s="112"/>
      <c r="AJ227" s="112"/>
      <c r="AN227" s="112"/>
      <c r="AO227" s="112"/>
      <c r="AP227" s="112"/>
      <c r="AQ227" s="112"/>
      <c r="AR227" s="112"/>
      <c r="AS227" s="112"/>
      <c r="AT227" s="112"/>
      <c r="AU227" s="112"/>
      <c r="AV227" s="112"/>
      <c r="AW227" s="112"/>
      <c r="AY227" s="112"/>
      <c r="AZ227" s="112"/>
      <c r="BA227" s="112"/>
      <c r="BB227" s="112"/>
      <c r="BC227" s="112"/>
      <c r="BD227" s="112"/>
      <c r="BE227" s="112"/>
      <c r="BF227" s="112"/>
      <c r="BG227" s="112"/>
      <c r="BI227" s="112"/>
      <c r="BJ227" s="112"/>
      <c r="BK227" s="112"/>
      <c r="BL227" s="112"/>
    </row>
    <row r="228" spans="17:64" x14ac:dyDescent="0.25">
      <c r="Q228" s="112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112"/>
      <c r="AI228" s="112"/>
      <c r="AJ228" s="112"/>
      <c r="AN228" s="112"/>
      <c r="AO228" s="112"/>
      <c r="AP228" s="112"/>
      <c r="AQ228" s="112"/>
      <c r="AR228" s="112"/>
      <c r="AS228" s="112"/>
      <c r="AT228" s="112"/>
      <c r="AU228" s="112"/>
      <c r="AV228" s="112"/>
      <c r="AW228" s="112"/>
      <c r="AY228" s="112"/>
      <c r="AZ228" s="112"/>
      <c r="BA228" s="112"/>
      <c r="BB228" s="112"/>
      <c r="BC228" s="112"/>
      <c r="BD228" s="112"/>
      <c r="BE228" s="112"/>
      <c r="BF228" s="112"/>
      <c r="BG228" s="112"/>
      <c r="BI228" s="112"/>
      <c r="BJ228" s="112"/>
      <c r="BK228" s="112"/>
      <c r="BL228" s="112"/>
    </row>
    <row r="229" spans="17:64" x14ac:dyDescent="0.25"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112"/>
      <c r="AI229" s="112"/>
      <c r="AJ229" s="112"/>
      <c r="AN229" s="112"/>
      <c r="AO229" s="112"/>
      <c r="AP229" s="112"/>
      <c r="AQ229" s="112"/>
      <c r="AR229" s="112"/>
      <c r="AS229" s="112"/>
      <c r="AT229" s="112"/>
      <c r="AU229" s="112"/>
      <c r="AV229" s="112"/>
      <c r="AW229" s="112"/>
      <c r="AY229" s="112"/>
      <c r="AZ229" s="112"/>
      <c r="BA229" s="112"/>
      <c r="BB229" s="112"/>
      <c r="BC229" s="112"/>
      <c r="BD229" s="112"/>
      <c r="BE229" s="112"/>
      <c r="BF229" s="112"/>
      <c r="BG229" s="112"/>
      <c r="BI229" s="112"/>
      <c r="BJ229" s="112"/>
      <c r="BK229" s="112"/>
      <c r="BL229" s="112"/>
    </row>
    <row r="230" spans="17:64" x14ac:dyDescent="0.25"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112"/>
      <c r="AI230" s="112"/>
      <c r="AJ230" s="112"/>
      <c r="AN230" s="112"/>
      <c r="AO230" s="112"/>
      <c r="AP230" s="112"/>
      <c r="AQ230" s="112"/>
      <c r="AR230" s="112"/>
      <c r="AS230" s="112"/>
      <c r="AT230" s="112"/>
      <c r="AU230" s="112"/>
      <c r="AV230" s="112"/>
      <c r="AW230" s="112"/>
      <c r="AY230" s="112"/>
      <c r="AZ230" s="112"/>
      <c r="BA230" s="112"/>
      <c r="BB230" s="112"/>
      <c r="BC230" s="112"/>
      <c r="BD230" s="112"/>
      <c r="BE230" s="112"/>
      <c r="BF230" s="112"/>
      <c r="BG230" s="112"/>
      <c r="BI230" s="112"/>
      <c r="BJ230" s="112"/>
      <c r="BK230" s="112"/>
      <c r="BL230" s="112"/>
    </row>
    <row r="231" spans="17:64" x14ac:dyDescent="0.25"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112"/>
      <c r="AI231" s="112"/>
      <c r="AJ231" s="112"/>
      <c r="AN231" s="112"/>
      <c r="AO231" s="112"/>
      <c r="AP231" s="112"/>
      <c r="AQ231" s="112"/>
      <c r="AR231" s="112"/>
      <c r="AS231" s="112"/>
      <c r="AT231" s="112"/>
      <c r="AU231" s="112"/>
      <c r="AV231" s="112"/>
      <c r="AW231" s="112"/>
      <c r="AY231" s="112"/>
      <c r="AZ231" s="112"/>
      <c r="BA231" s="112"/>
      <c r="BB231" s="112"/>
      <c r="BC231" s="112"/>
      <c r="BD231" s="112"/>
      <c r="BE231" s="112"/>
      <c r="BF231" s="112"/>
      <c r="BG231" s="112"/>
      <c r="BI231" s="112"/>
      <c r="BJ231" s="112"/>
      <c r="BK231" s="112"/>
      <c r="BL231" s="112"/>
    </row>
    <row r="232" spans="17:64" x14ac:dyDescent="0.25"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112"/>
      <c r="AI232" s="112"/>
      <c r="AJ232" s="112"/>
      <c r="AN232" s="112"/>
      <c r="AO232" s="112"/>
      <c r="AP232" s="112"/>
      <c r="AQ232" s="112"/>
      <c r="AR232" s="112"/>
      <c r="AS232" s="112"/>
      <c r="AT232" s="112"/>
      <c r="AU232" s="112"/>
      <c r="AV232" s="112"/>
      <c r="AW232" s="112"/>
      <c r="AY232" s="112"/>
      <c r="AZ232" s="112"/>
      <c r="BA232" s="112"/>
      <c r="BB232" s="112"/>
      <c r="BC232" s="112"/>
      <c r="BD232" s="112"/>
      <c r="BE232" s="112"/>
      <c r="BF232" s="112"/>
      <c r="BG232" s="112"/>
      <c r="BI232" s="112"/>
      <c r="BJ232" s="112"/>
      <c r="BK232" s="112"/>
      <c r="BL232" s="112"/>
    </row>
    <row r="233" spans="17:64" x14ac:dyDescent="0.25"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112"/>
      <c r="AI233" s="112"/>
      <c r="AJ233" s="112"/>
      <c r="AN233" s="112"/>
      <c r="AO233" s="112"/>
      <c r="AP233" s="112"/>
      <c r="AQ233" s="112"/>
      <c r="AR233" s="112"/>
      <c r="AS233" s="112"/>
      <c r="AT233" s="112"/>
      <c r="AU233" s="112"/>
      <c r="AV233" s="112"/>
      <c r="AW233" s="112"/>
      <c r="AY233" s="112"/>
      <c r="AZ233" s="112"/>
      <c r="BA233" s="112"/>
      <c r="BB233" s="112"/>
      <c r="BC233" s="112"/>
      <c r="BD233" s="112"/>
      <c r="BE233" s="112"/>
      <c r="BF233" s="112"/>
      <c r="BG233" s="112"/>
      <c r="BI233" s="112"/>
      <c r="BJ233" s="112"/>
      <c r="BK233" s="112"/>
      <c r="BL233" s="112"/>
    </row>
    <row r="234" spans="17:64" x14ac:dyDescent="0.25">
      <c r="Q234" s="112"/>
      <c r="R234" s="112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112"/>
      <c r="AI234" s="112"/>
      <c r="AJ234" s="112"/>
      <c r="AN234" s="112"/>
      <c r="AO234" s="112"/>
      <c r="AP234" s="112"/>
      <c r="AQ234" s="112"/>
      <c r="AR234" s="112"/>
      <c r="AS234" s="112"/>
      <c r="AT234" s="112"/>
      <c r="AU234" s="112"/>
      <c r="AV234" s="112"/>
      <c r="AW234" s="112"/>
      <c r="AY234" s="112"/>
      <c r="AZ234" s="112"/>
      <c r="BA234" s="112"/>
      <c r="BB234" s="112"/>
      <c r="BC234" s="112"/>
      <c r="BD234" s="112"/>
      <c r="BE234" s="112"/>
      <c r="BF234" s="112"/>
      <c r="BG234" s="112"/>
      <c r="BI234" s="112"/>
      <c r="BJ234" s="112"/>
      <c r="BK234" s="112"/>
      <c r="BL234" s="112"/>
    </row>
    <row r="235" spans="17:64" x14ac:dyDescent="0.25">
      <c r="Q235" s="112"/>
      <c r="R235" s="112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112"/>
      <c r="AI235" s="112"/>
      <c r="AJ235" s="112"/>
      <c r="AN235" s="112"/>
      <c r="AO235" s="112"/>
      <c r="AP235" s="112"/>
      <c r="AQ235" s="112"/>
      <c r="AR235" s="112"/>
      <c r="AS235" s="112"/>
      <c r="AT235" s="112"/>
      <c r="AU235" s="112"/>
      <c r="AV235" s="112"/>
      <c r="AW235" s="112"/>
      <c r="AY235" s="112"/>
      <c r="AZ235" s="112"/>
      <c r="BA235" s="112"/>
      <c r="BB235" s="112"/>
      <c r="BC235" s="112"/>
      <c r="BD235" s="112"/>
      <c r="BE235" s="112"/>
      <c r="BF235" s="112"/>
      <c r="BG235" s="112"/>
      <c r="BI235" s="112"/>
      <c r="BJ235" s="112"/>
      <c r="BK235" s="112"/>
      <c r="BL235" s="112"/>
    </row>
    <row r="236" spans="17:64" x14ac:dyDescent="0.25">
      <c r="Q236" s="112"/>
      <c r="R236" s="112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112"/>
      <c r="AI236" s="112"/>
      <c r="AJ236" s="112"/>
      <c r="AN236" s="112"/>
      <c r="AO236" s="112"/>
      <c r="AP236" s="112"/>
      <c r="AQ236" s="112"/>
      <c r="AR236" s="112"/>
      <c r="AS236" s="112"/>
      <c r="AT236" s="112"/>
      <c r="AU236" s="112"/>
      <c r="AV236" s="112"/>
      <c r="AW236" s="112"/>
      <c r="AY236" s="112"/>
      <c r="AZ236" s="112"/>
      <c r="BA236" s="112"/>
      <c r="BB236" s="112"/>
      <c r="BC236" s="112"/>
      <c r="BD236" s="112"/>
      <c r="BE236" s="112"/>
      <c r="BF236" s="112"/>
      <c r="BG236" s="112"/>
      <c r="BI236" s="112"/>
      <c r="BJ236" s="112"/>
      <c r="BK236" s="112"/>
      <c r="BL236" s="112"/>
    </row>
    <row r="237" spans="17:64" x14ac:dyDescent="0.25">
      <c r="Q237" s="112"/>
      <c r="R237" s="112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112"/>
      <c r="AI237" s="112"/>
      <c r="AJ237" s="112"/>
      <c r="AN237" s="112"/>
      <c r="AO237" s="112"/>
      <c r="AP237" s="112"/>
      <c r="AQ237" s="112"/>
      <c r="AR237" s="112"/>
      <c r="AS237" s="112"/>
      <c r="AT237" s="112"/>
      <c r="AU237" s="112"/>
      <c r="AV237" s="112"/>
      <c r="AW237" s="112"/>
      <c r="AY237" s="112"/>
      <c r="AZ237" s="112"/>
      <c r="BA237" s="112"/>
      <c r="BB237" s="112"/>
      <c r="BC237" s="112"/>
      <c r="BD237" s="112"/>
      <c r="BE237" s="112"/>
      <c r="BF237" s="112"/>
      <c r="BG237" s="112"/>
      <c r="BI237" s="112"/>
      <c r="BJ237" s="112"/>
      <c r="BK237" s="112"/>
      <c r="BL237" s="112"/>
    </row>
    <row r="238" spans="17:64" x14ac:dyDescent="0.25"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112"/>
      <c r="AI238" s="112"/>
      <c r="AJ238" s="112"/>
      <c r="AN238" s="112"/>
      <c r="AO238" s="112"/>
      <c r="AP238" s="112"/>
      <c r="AQ238" s="112"/>
      <c r="AR238" s="112"/>
      <c r="AS238" s="112"/>
      <c r="AT238" s="112"/>
      <c r="AU238" s="112"/>
      <c r="AV238" s="112"/>
      <c r="AW238" s="112"/>
      <c r="AY238" s="112"/>
      <c r="AZ238" s="112"/>
      <c r="BA238" s="112"/>
      <c r="BB238" s="112"/>
      <c r="BC238" s="112"/>
      <c r="BD238" s="112"/>
      <c r="BE238" s="112"/>
      <c r="BF238" s="112"/>
      <c r="BG238" s="112"/>
      <c r="BI238" s="112"/>
      <c r="BJ238" s="112"/>
      <c r="BK238" s="112"/>
      <c r="BL238" s="112"/>
    </row>
    <row r="239" spans="17:64" x14ac:dyDescent="0.25">
      <c r="Q239" s="112"/>
      <c r="R239" s="112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112"/>
      <c r="AI239" s="112"/>
      <c r="AJ239" s="112"/>
      <c r="AN239" s="112"/>
      <c r="AO239" s="112"/>
      <c r="AP239" s="112"/>
      <c r="AQ239" s="112"/>
      <c r="AR239" s="112"/>
      <c r="AS239" s="112"/>
      <c r="AT239" s="112"/>
      <c r="AU239" s="112"/>
      <c r="AV239" s="112"/>
      <c r="AW239" s="112"/>
      <c r="AY239" s="112"/>
      <c r="AZ239" s="112"/>
      <c r="BA239" s="112"/>
      <c r="BB239" s="112"/>
      <c r="BC239" s="112"/>
      <c r="BD239" s="112"/>
      <c r="BE239" s="112"/>
      <c r="BF239" s="112"/>
      <c r="BG239" s="112"/>
      <c r="BI239" s="112"/>
      <c r="BJ239" s="112"/>
      <c r="BK239" s="112"/>
      <c r="BL239" s="112"/>
    </row>
    <row r="240" spans="17:64" x14ac:dyDescent="0.25">
      <c r="Q240" s="112"/>
      <c r="R240" s="112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112"/>
      <c r="AI240" s="112"/>
      <c r="AJ240" s="112"/>
      <c r="AN240" s="112"/>
      <c r="AO240" s="112"/>
      <c r="AP240" s="112"/>
      <c r="AQ240" s="112"/>
      <c r="AR240" s="112"/>
      <c r="AS240" s="112"/>
      <c r="AT240" s="112"/>
      <c r="AU240" s="112"/>
      <c r="AV240" s="112"/>
      <c r="AW240" s="112"/>
      <c r="AY240" s="112"/>
      <c r="AZ240" s="112"/>
      <c r="BA240" s="112"/>
      <c r="BB240" s="112"/>
      <c r="BC240" s="112"/>
      <c r="BD240" s="112"/>
      <c r="BE240" s="112"/>
      <c r="BF240" s="112"/>
      <c r="BG240" s="112"/>
      <c r="BI240" s="112"/>
      <c r="BJ240" s="112"/>
      <c r="BK240" s="112"/>
      <c r="BL240" s="112"/>
    </row>
    <row r="241" spans="17:64" x14ac:dyDescent="0.25"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112"/>
      <c r="AI241" s="112"/>
      <c r="AJ241" s="112"/>
      <c r="AN241" s="112"/>
      <c r="AO241" s="112"/>
      <c r="AP241" s="112"/>
      <c r="AQ241" s="112"/>
      <c r="AR241" s="112"/>
      <c r="AS241" s="112"/>
      <c r="AT241" s="112"/>
      <c r="AU241" s="112"/>
      <c r="AV241" s="112"/>
      <c r="AW241" s="112"/>
      <c r="AY241" s="112"/>
      <c r="AZ241" s="112"/>
      <c r="BA241" s="112"/>
      <c r="BB241" s="112"/>
      <c r="BC241" s="112"/>
      <c r="BD241" s="112"/>
      <c r="BE241" s="112"/>
      <c r="BF241" s="112"/>
      <c r="BG241" s="112"/>
      <c r="BI241" s="112"/>
      <c r="BJ241" s="112"/>
      <c r="BK241" s="112"/>
      <c r="BL241" s="112"/>
    </row>
    <row r="242" spans="17:64" x14ac:dyDescent="0.25">
      <c r="Q242" s="112"/>
      <c r="R242" s="112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112"/>
      <c r="AI242" s="112"/>
      <c r="AJ242" s="112"/>
      <c r="AN242" s="112"/>
      <c r="AO242" s="112"/>
      <c r="AP242" s="112"/>
      <c r="AQ242" s="112"/>
      <c r="AR242" s="112"/>
      <c r="AS242" s="112"/>
      <c r="AT242" s="112"/>
      <c r="AU242" s="112"/>
      <c r="AV242" s="112"/>
      <c r="AW242" s="112"/>
      <c r="AY242" s="112"/>
      <c r="AZ242" s="112"/>
      <c r="BA242" s="112"/>
      <c r="BB242" s="112"/>
      <c r="BC242" s="112"/>
      <c r="BD242" s="112"/>
      <c r="BE242" s="112"/>
      <c r="BF242" s="112"/>
      <c r="BG242" s="112"/>
      <c r="BI242" s="112"/>
      <c r="BJ242" s="112"/>
      <c r="BK242" s="112"/>
      <c r="BL242" s="112"/>
    </row>
    <row r="243" spans="17:64" x14ac:dyDescent="0.25">
      <c r="Q243" s="112"/>
      <c r="R243" s="112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112"/>
      <c r="AI243" s="112"/>
      <c r="AJ243" s="112"/>
      <c r="AN243" s="112"/>
      <c r="AO243" s="112"/>
      <c r="AP243" s="112"/>
      <c r="AQ243" s="112"/>
      <c r="AR243" s="112"/>
      <c r="AS243" s="112"/>
      <c r="AT243" s="112"/>
      <c r="AU243" s="112"/>
      <c r="AV243" s="112"/>
      <c r="AW243" s="112"/>
      <c r="AY243" s="112"/>
      <c r="AZ243" s="112"/>
      <c r="BA243" s="112"/>
      <c r="BB243" s="112"/>
      <c r="BC243" s="112"/>
      <c r="BD243" s="112"/>
      <c r="BE243" s="112"/>
      <c r="BF243" s="112"/>
      <c r="BG243" s="112"/>
      <c r="BI243" s="112"/>
      <c r="BJ243" s="112"/>
      <c r="BK243" s="112"/>
      <c r="BL243" s="112"/>
    </row>
    <row r="244" spans="17:64" x14ac:dyDescent="0.25">
      <c r="Q244" s="112"/>
      <c r="R244" s="112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112"/>
      <c r="AI244" s="112"/>
      <c r="AJ244" s="112"/>
      <c r="AN244" s="112"/>
      <c r="AO244" s="112"/>
      <c r="AP244" s="112"/>
      <c r="AQ244" s="112"/>
      <c r="AR244" s="112"/>
      <c r="AS244" s="112"/>
      <c r="AT244" s="112"/>
      <c r="AU244" s="112"/>
      <c r="AV244" s="112"/>
      <c r="AW244" s="112"/>
      <c r="AY244" s="112"/>
      <c r="AZ244" s="112"/>
      <c r="BA244" s="112"/>
      <c r="BB244" s="112"/>
      <c r="BC244" s="112"/>
      <c r="BD244" s="112"/>
      <c r="BE244" s="112"/>
      <c r="BF244" s="112"/>
      <c r="BG244" s="112"/>
      <c r="BI244" s="112"/>
      <c r="BJ244" s="112"/>
      <c r="BK244" s="112"/>
      <c r="BL244" s="112"/>
    </row>
    <row r="245" spans="17:64" x14ac:dyDescent="0.25">
      <c r="Q245" s="112"/>
      <c r="R245" s="112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112"/>
      <c r="AI245" s="112"/>
      <c r="AJ245" s="112"/>
      <c r="AN245" s="112"/>
      <c r="AO245" s="112"/>
      <c r="AP245" s="112"/>
      <c r="AQ245" s="112"/>
      <c r="AR245" s="112"/>
      <c r="AS245" s="112"/>
      <c r="AT245" s="112"/>
      <c r="AU245" s="112"/>
      <c r="AV245" s="112"/>
      <c r="AW245" s="112"/>
      <c r="AY245" s="112"/>
      <c r="AZ245" s="112"/>
      <c r="BA245" s="112"/>
      <c r="BB245" s="112"/>
      <c r="BC245" s="112"/>
      <c r="BD245" s="112"/>
      <c r="BE245" s="112"/>
      <c r="BF245" s="112"/>
      <c r="BG245" s="112"/>
      <c r="BI245" s="112"/>
      <c r="BJ245" s="112"/>
      <c r="BK245" s="112"/>
      <c r="BL245" s="112"/>
    </row>
    <row r="246" spans="17:64" x14ac:dyDescent="0.25"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112"/>
      <c r="AI246" s="112"/>
      <c r="AJ246" s="112"/>
      <c r="AN246" s="112"/>
      <c r="AO246" s="112"/>
      <c r="AP246" s="112"/>
      <c r="AQ246" s="112"/>
      <c r="AR246" s="112"/>
      <c r="AS246" s="112"/>
      <c r="AT246" s="112"/>
      <c r="AU246" s="112"/>
      <c r="AV246" s="112"/>
      <c r="AW246" s="112"/>
      <c r="AY246" s="112"/>
      <c r="AZ246" s="112"/>
      <c r="BA246" s="112"/>
      <c r="BB246" s="112"/>
      <c r="BC246" s="112"/>
      <c r="BD246" s="112"/>
      <c r="BE246" s="112"/>
      <c r="BF246" s="112"/>
      <c r="BG246" s="112"/>
      <c r="BI246" s="112"/>
      <c r="BJ246" s="112"/>
      <c r="BK246" s="112"/>
      <c r="BL246" s="112"/>
    </row>
    <row r="247" spans="17:64" x14ac:dyDescent="0.25">
      <c r="Q247" s="112"/>
      <c r="R247" s="112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112"/>
      <c r="AI247" s="112"/>
      <c r="AJ247" s="112"/>
      <c r="AN247" s="112"/>
      <c r="AO247" s="112"/>
      <c r="AP247" s="112"/>
      <c r="AQ247" s="112"/>
      <c r="AR247" s="112"/>
      <c r="AS247" s="112"/>
      <c r="AT247" s="112"/>
      <c r="AU247" s="112"/>
      <c r="AV247" s="112"/>
      <c r="AW247" s="112"/>
      <c r="AY247" s="112"/>
      <c r="AZ247" s="112"/>
      <c r="BA247" s="112"/>
      <c r="BB247" s="112"/>
      <c r="BC247" s="112"/>
      <c r="BD247" s="112"/>
      <c r="BE247" s="112"/>
      <c r="BF247" s="112"/>
      <c r="BG247" s="112"/>
      <c r="BI247" s="112"/>
      <c r="BJ247" s="112"/>
      <c r="BK247" s="112"/>
      <c r="BL247" s="112"/>
    </row>
    <row r="248" spans="17:64" x14ac:dyDescent="0.25"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112"/>
      <c r="AI248" s="112"/>
      <c r="AJ248" s="112"/>
      <c r="AN248" s="112"/>
      <c r="AO248" s="112"/>
      <c r="AP248" s="112"/>
      <c r="AQ248" s="112"/>
      <c r="AR248" s="112"/>
      <c r="AS248" s="112"/>
      <c r="AT248" s="112"/>
      <c r="AU248" s="112"/>
      <c r="AV248" s="112"/>
      <c r="AW248" s="112"/>
      <c r="AY248" s="112"/>
      <c r="AZ248" s="112"/>
      <c r="BA248" s="112"/>
      <c r="BB248" s="112"/>
      <c r="BC248" s="112"/>
      <c r="BD248" s="112"/>
      <c r="BE248" s="112"/>
      <c r="BF248" s="112"/>
      <c r="BG248" s="112"/>
      <c r="BI248" s="112"/>
      <c r="BJ248" s="112"/>
      <c r="BK248" s="112"/>
      <c r="BL248" s="112"/>
    </row>
    <row r="249" spans="17:64" x14ac:dyDescent="0.25">
      <c r="Q249" s="112"/>
      <c r="R249" s="112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112"/>
      <c r="AI249" s="112"/>
      <c r="AJ249" s="112"/>
      <c r="AN249" s="112"/>
      <c r="AO249" s="112"/>
      <c r="AP249" s="112"/>
      <c r="AQ249" s="112"/>
      <c r="AR249" s="112"/>
      <c r="AS249" s="112"/>
      <c r="AT249" s="112"/>
      <c r="AU249" s="112"/>
      <c r="AV249" s="112"/>
      <c r="AW249" s="112"/>
      <c r="AY249" s="112"/>
      <c r="AZ249" s="112"/>
      <c r="BA249" s="112"/>
      <c r="BB249" s="112"/>
      <c r="BC249" s="112"/>
      <c r="BD249" s="112"/>
      <c r="BE249" s="112"/>
      <c r="BF249" s="112"/>
      <c r="BG249" s="112"/>
      <c r="BI249" s="112"/>
      <c r="BJ249" s="112"/>
      <c r="BK249" s="112"/>
      <c r="BL249" s="112"/>
    </row>
    <row r="250" spans="17:64" x14ac:dyDescent="0.25">
      <c r="Q250" s="112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112"/>
      <c r="AI250" s="112"/>
      <c r="AJ250" s="112"/>
      <c r="AN250" s="112"/>
      <c r="AO250" s="112"/>
      <c r="AP250" s="112"/>
      <c r="AQ250" s="112"/>
      <c r="AR250" s="112"/>
      <c r="AS250" s="112"/>
      <c r="AT250" s="112"/>
      <c r="AU250" s="112"/>
      <c r="AV250" s="112"/>
      <c r="AW250" s="112"/>
      <c r="AY250" s="112"/>
      <c r="AZ250" s="112"/>
      <c r="BA250" s="112"/>
      <c r="BB250" s="112"/>
      <c r="BC250" s="112"/>
      <c r="BD250" s="112"/>
      <c r="BE250" s="112"/>
      <c r="BF250" s="112"/>
      <c r="BG250" s="112"/>
      <c r="BI250" s="112"/>
      <c r="BJ250" s="112"/>
      <c r="BK250" s="112"/>
      <c r="BL250" s="112"/>
    </row>
    <row r="251" spans="17:64" x14ac:dyDescent="0.25"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112"/>
      <c r="AI251" s="112"/>
      <c r="AJ251" s="112"/>
      <c r="AN251" s="112"/>
      <c r="AO251" s="112"/>
      <c r="AP251" s="112"/>
      <c r="AQ251" s="112"/>
      <c r="AR251" s="112"/>
      <c r="AS251" s="112"/>
      <c r="AT251" s="112"/>
      <c r="AU251" s="112"/>
      <c r="AV251" s="112"/>
      <c r="AW251" s="112"/>
      <c r="AY251" s="112"/>
      <c r="AZ251" s="112"/>
      <c r="BA251" s="112"/>
      <c r="BB251" s="112"/>
      <c r="BC251" s="112"/>
      <c r="BD251" s="112"/>
      <c r="BE251" s="112"/>
      <c r="BF251" s="112"/>
      <c r="BG251" s="112"/>
      <c r="BI251" s="112"/>
      <c r="BJ251" s="112"/>
      <c r="BK251" s="112"/>
      <c r="BL251" s="112"/>
    </row>
    <row r="252" spans="17:64" x14ac:dyDescent="0.25"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112"/>
      <c r="AI252" s="112"/>
      <c r="AJ252" s="112"/>
      <c r="AN252" s="112"/>
      <c r="AO252" s="112"/>
      <c r="AP252" s="112"/>
      <c r="AQ252" s="112"/>
      <c r="AR252" s="112"/>
      <c r="AS252" s="112"/>
      <c r="AT252" s="112"/>
      <c r="AU252" s="112"/>
      <c r="AV252" s="112"/>
      <c r="AW252" s="112"/>
      <c r="AY252" s="112"/>
      <c r="AZ252" s="112"/>
      <c r="BA252" s="112"/>
      <c r="BB252" s="112"/>
      <c r="BC252" s="112"/>
      <c r="BD252" s="112"/>
      <c r="BE252" s="112"/>
      <c r="BF252" s="112"/>
      <c r="BG252" s="112"/>
      <c r="BI252" s="112"/>
      <c r="BJ252" s="112"/>
      <c r="BK252" s="112"/>
      <c r="BL252" s="112"/>
    </row>
    <row r="253" spans="17:64" x14ac:dyDescent="0.25"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112"/>
      <c r="AI253" s="112"/>
      <c r="AJ253" s="112"/>
      <c r="AN253" s="112"/>
      <c r="AO253" s="112"/>
      <c r="AP253" s="112"/>
      <c r="AQ253" s="112"/>
      <c r="AR253" s="112"/>
      <c r="AS253" s="112"/>
      <c r="AT253" s="112"/>
      <c r="AU253" s="112"/>
      <c r="AV253" s="112"/>
      <c r="AW253" s="112"/>
      <c r="AY253" s="112"/>
      <c r="AZ253" s="112"/>
      <c r="BA253" s="112"/>
      <c r="BB253" s="112"/>
      <c r="BC253" s="112"/>
      <c r="BD253" s="112"/>
      <c r="BE253" s="112"/>
      <c r="BF253" s="112"/>
      <c r="BG253" s="112"/>
      <c r="BI253" s="112"/>
      <c r="BJ253" s="112"/>
      <c r="BK253" s="112"/>
      <c r="BL253" s="112"/>
    </row>
    <row r="254" spans="17:64" x14ac:dyDescent="0.25"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112"/>
      <c r="AI254" s="112"/>
      <c r="AJ254" s="112"/>
      <c r="AN254" s="112"/>
      <c r="AO254" s="112"/>
      <c r="AP254" s="112"/>
      <c r="AQ254" s="112"/>
      <c r="AR254" s="112"/>
      <c r="AS254" s="112"/>
      <c r="AT254" s="112"/>
      <c r="AU254" s="112"/>
      <c r="AV254" s="112"/>
      <c r="AW254" s="112"/>
      <c r="AY254" s="112"/>
      <c r="AZ254" s="112"/>
      <c r="BA254" s="112"/>
      <c r="BB254" s="112"/>
      <c r="BC254" s="112"/>
      <c r="BD254" s="112"/>
      <c r="BE254" s="112"/>
      <c r="BF254" s="112"/>
      <c r="BG254" s="112"/>
      <c r="BI254" s="112"/>
      <c r="BJ254" s="112"/>
      <c r="BK254" s="112"/>
      <c r="BL254" s="112"/>
    </row>
    <row r="255" spans="17:64" x14ac:dyDescent="0.25"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112"/>
      <c r="AI255" s="112"/>
      <c r="AJ255" s="112"/>
      <c r="AN255" s="112"/>
      <c r="AO255" s="112"/>
      <c r="AP255" s="112"/>
      <c r="AQ255" s="112"/>
      <c r="AR255" s="112"/>
      <c r="AS255" s="112"/>
      <c r="AT255" s="112"/>
      <c r="AU255" s="112"/>
      <c r="AV255" s="112"/>
      <c r="AW255" s="112"/>
      <c r="AY255" s="112"/>
      <c r="AZ255" s="112"/>
      <c r="BA255" s="112"/>
      <c r="BB255" s="112"/>
      <c r="BC255" s="112"/>
      <c r="BD255" s="112"/>
      <c r="BE255" s="112"/>
      <c r="BF255" s="112"/>
      <c r="BG255" s="112"/>
      <c r="BI255" s="112"/>
      <c r="BJ255" s="112"/>
      <c r="BK255" s="112"/>
      <c r="BL255" s="112"/>
    </row>
    <row r="256" spans="17:64" x14ac:dyDescent="0.25">
      <c r="Q256" s="112"/>
      <c r="R256" s="112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112"/>
      <c r="AI256" s="112"/>
      <c r="AJ256" s="112"/>
      <c r="AN256" s="112"/>
      <c r="AO256" s="112"/>
      <c r="AP256" s="112"/>
      <c r="AQ256" s="112"/>
      <c r="AR256" s="112"/>
      <c r="AS256" s="112"/>
      <c r="AT256" s="112"/>
      <c r="AU256" s="112"/>
      <c r="AV256" s="112"/>
      <c r="AW256" s="112"/>
      <c r="AY256" s="112"/>
      <c r="AZ256" s="112"/>
      <c r="BA256" s="112"/>
      <c r="BB256" s="112"/>
      <c r="BC256" s="112"/>
      <c r="BD256" s="112"/>
      <c r="BE256" s="112"/>
      <c r="BF256" s="112"/>
      <c r="BG256" s="112"/>
      <c r="BI256" s="112"/>
      <c r="BJ256" s="112"/>
      <c r="BK256" s="112"/>
      <c r="BL256" s="112"/>
    </row>
    <row r="257" spans="17:64" x14ac:dyDescent="0.25">
      <c r="Q257" s="112"/>
      <c r="R257" s="112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112"/>
      <c r="AI257" s="112"/>
      <c r="AJ257" s="112"/>
      <c r="AN257" s="112"/>
      <c r="AO257" s="112"/>
      <c r="AP257" s="112"/>
      <c r="AQ257" s="112"/>
      <c r="AR257" s="112"/>
      <c r="AS257" s="112"/>
      <c r="AT257" s="112"/>
      <c r="AU257" s="112"/>
      <c r="AV257" s="112"/>
      <c r="AW257" s="112"/>
      <c r="AY257" s="112"/>
      <c r="AZ257" s="112"/>
      <c r="BA257" s="112"/>
      <c r="BB257" s="112"/>
      <c r="BC257" s="112"/>
      <c r="BD257" s="112"/>
      <c r="BE257" s="112"/>
      <c r="BF257" s="112"/>
      <c r="BG257" s="112"/>
      <c r="BI257" s="112"/>
      <c r="BJ257" s="112"/>
      <c r="BK257" s="112"/>
      <c r="BL257" s="112"/>
    </row>
    <row r="258" spans="17:64" x14ac:dyDescent="0.25"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112"/>
      <c r="AI258" s="112"/>
      <c r="AJ258" s="112"/>
      <c r="AN258" s="112"/>
      <c r="AO258" s="112"/>
      <c r="AP258" s="112"/>
      <c r="AQ258" s="112"/>
      <c r="AR258" s="112"/>
      <c r="AS258" s="112"/>
      <c r="AT258" s="112"/>
      <c r="AU258" s="112"/>
      <c r="AV258" s="112"/>
      <c r="AW258" s="112"/>
      <c r="AY258" s="112"/>
      <c r="AZ258" s="112"/>
      <c r="BA258" s="112"/>
      <c r="BB258" s="112"/>
      <c r="BC258" s="112"/>
      <c r="BD258" s="112"/>
      <c r="BE258" s="112"/>
      <c r="BF258" s="112"/>
      <c r="BG258" s="112"/>
      <c r="BI258" s="112"/>
      <c r="BJ258" s="112"/>
      <c r="BK258" s="112"/>
      <c r="BL258" s="112"/>
    </row>
    <row r="259" spans="17:64" x14ac:dyDescent="0.25">
      <c r="Q259" s="112"/>
      <c r="R259" s="112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112"/>
      <c r="AI259" s="112"/>
      <c r="AJ259" s="112"/>
      <c r="AN259" s="112"/>
      <c r="AO259" s="112"/>
      <c r="AP259" s="112"/>
      <c r="AQ259" s="112"/>
      <c r="AR259" s="112"/>
      <c r="AS259" s="112"/>
      <c r="AT259" s="112"/>
      <c r="AU259" s="112"/>
      <c r="AV259" s="112"/>
      <c r="AW259" s="112"/>
      <c r="AY259" s="112"/>
      <c r="AZ259" s="112"/>
      <c r="BA259" s="112"/>
      <c r="BB259" s="112"/>
      <c r="BC259" s="112"/>
      <c r="BD259" s="112"/>
      <c r="BE259" s="112"/>
      <c r="BF259" s="112"/>
      <c r="BG259" s="112"/>
      <c r="BI259" s="112"/>
      <c r="BJ259" s="112"/>
      <c r="BK259" s="112"/>
      <c r="BL259" s="112"/>
    </row>
    <row r="260" spans="17:64" x14ac:dyDescent="0.25">
      <c r="Q260" s="112"/>
      <c r="R260" s="112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112"/>
      <c r="AI260" s="112"/>
      <c r="AJ260" s="112"/>
      <c r="AN260" s="112"/>
      <c r="AO260" s="112"/>
      <c r="AP260" s="112"/>
      <c r="AQ260" s="112"/>
      <c r="AR260" s="112"/>
      <c r="AS260" s="112"/>
      <c r="AT260" s="112"/>
      <c r="AU260" s="112"/>
      <c r="AV260" s="112"/>
      <c r="AW260" s="112"/>
      <c r="AY260" s="112"/>
      <c r="AZ260" s="112"/>
      <c r="BA260" s="112"/>
      <c r="BB260" s="112"/>
      <c r="BC260" s="112"/>
      <c r="BD260" s="112"/>
      <c r="BE260" s="112"/>
      <c r="BF260" s="112"/>
      <c r="BG260" s="112"/>
      <c r="BI260" s="112"/>
      <c r="BJ260" s="112"/>
      <c r="BK260" s="112"/>
      <c r="BL260" s="112"/>
    </row>
    <row r="261" spans="17:64" x14ac:dyDescent="0.25"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112"/>
      <c r="AI261" s="112"/>
      <c r="AJ261" s="112"/>
      <c r="AN261" s="112"/>
      <c r="AO261" s="112"/>
      <c r="AP261" s="112"/>
      <c r="AQ261" s="112"/>
      <c r="AR261" s="112"/>
      <c r="AS261" s="112"/>
      <c r="AT261" s="112"/>
      <c r="AU261" s="112"/>
      <c r="AV261" s="112"/>
      <c r="AW261" s="112"/>
      <c r="AY261" s="112"/>
      <c r="AZ261" s="112"/>
      <c r="BA261" s="112"/>
      <c r="BB261" s="112"/>
      <c r="BC261" s="112"/>
      <c r="BD261" s="112"/>
      <c r="BE261" s="112"/>
      <c r="BF261" s="112"/>
      <c r="BG261" s="112"/>
      <c r="BI261" s="112"/>
      <c r="BJ261" s="112"/>
      <c r="BK261" s="112"/>
      <c r="BL261" s="112"/>
    </row>
    <row r="262" spans="17:64" x14ac:dyDescent="0.25">
      <c r="Q262" s="112"/>
      <c r="R262" s="112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112"/>
      <c r="AI262" s="112"/>
      <c r="AJ262" s="112"/>
      <c r="AN262" s="112"/>
      <c r="AO262" s="112"/>
      <c r="AP262" s="112"/>
      <c r="AQ262" s="112"/>
      <c r="AR262" s="112"/>
      <c r="AS262" s="112"/>
      <c r="AT262" s="112"/>
      <c r="AU262" s="112"/>
      <c r="AV262" s="112"/>
      <c r="AW262" s="112"/>
      <c r="AY262" s="112"/>
      <c r="AZ262" s="112"/>
      <c r="BA262" s="112"/>
      <c r="BB262" s="112"/>
      <c r="BC262" s="112"/>
      <c r="BD262" s="112"/>
      <c r="BE262" s="112"/>
      <c r="BF262" s="112"/>
      <c r="BG262" s="112"/>
      <c r="BI262" s="112"/>
      <c r="BJ262" s="112"/>
      <c r="BK262" s="112"/>
      <c r="BL262" s="112"/>
    </row>
    <row r="263" spans="17:64" x14ac:dyDescent="0.25"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N263" s="112"/>
      <c r="AO263" s="112"/>
      <c r="AP263" s="112"/>
      <c r="AQ263" s="112"/>
      <c r="AR263" s="112"/>
      <c r="AS263" s="112"/>
      <c r="AT263" s="112"/>
      <c r="AU263" s="112"/>
      <c r="AV263" s="112"/>
      <c r="AW263" s="112"/>
      <c r="AY263" s="112"/>
      <c r="AZ263" s="112"/>
      <c r="BA263" s="112"/>
      <c r="BB263" s="112"/>
      <c r="BC263" s="112"/>
      <c r="BD263" s="112"/>
      <c r="BE263" s="112"/>
      <c r="BF263" s="112"/>
      <c r="BG263" s="112"/>
      <c r="BI263" s="112"/>
      <c r="BJ263" s="112"/>
      <c r="BK263" s="112"/>
      <c r="BL263" s="112"/>
    </row>
    <row r="264" spans="17:64" x14ac:dyDescent="0.25">
      <c r="Q264" s="112"/>
      <c r="R264" s="112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112"/>
      <c r="AI264" s="112"/>
      <c r="AJ264" s="112"/>
      <c r="AN264" s="112"/>
      <c r="AO264" s="112"/>
      <c r="AP264" s="112"/>
      <c r="AQ264" s="112"/>
      <c r="AR264" s="112"/>
      <c r="AS264" s="112"/>
      <c r="AT264" s="112"/>
      <c r="AU264" s="112"/>
      <c r="AV264" s="112"/>
      <c r="AW264" s="112"/>
      <c r="AY264" s="112"/>
      <c r="AZ264" s="112"/>
      <c r="BA264" s="112"/>
      <c r="BB264" s="112"/>
      <c r="BC264" s="112"/>
      <c r="BD264" s="112"/>
      <c r="BE264" s="112"/>
      <c r="BF264" s="112"/>
      <c r="BG264" s="112"/>
      <c r="BI264" s="112"/>
      <c r="BJ264" s="112"/>
      <c r="BK264" s="112"/>
      <c r="BL264" s="112"/>
    </row>
    <row r="265" spans="17:64" x14ac:dyDescent="0.25">
      <c r="Q265" s="112"/>
      <c r="R265" s="112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112"/>
      <c r="AI265" s="112"/>
      <c r="AJ265" s="112"/>
      <c r="AN265" s="112"/>
      <c r="AO265" s="112"/>
      <c r="AP265" s="112"/>
      <c r="AQ265" s="112"/>
      <c r="AR265" s="112"/>
      <c r="AS265" s="112"/>
      <c r="AT265" s="112"/>
      <c r="AU265" s="112"/>
      <c r="AV265" s="112"/>
      <c r="AW265" s="112"/>
      <c r="AY265" s="112"/>
      <c r="AZ265" s="112"/>
      <c r="BA265" s="112"/>
      <c r="BB265" s="112"/>
      <c r="BC265" s="112"/>
      <c r="BD265" s="112"/>
      <c r="BE265" s="112"/>
      <c r="BF265" s="112"/>
      <c r="BG265" s="112"/>
      <c r="BI265" s="112"/>
      <c r="BJ265" s="112"/>
      <c r="BK265" s="112"/>
      <c r="BL265" s="112"/>
    </row>
    <row r="266" spans="17:64" x14ac:dyDescent="0.25">
      <c r="Q266" s="112"/>
      <c r="R266" s="112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112"/>
      <c r="AI266" s="112"/>
      <c r="AJ266" s="112"/>
      <c r="AN266" s="112"/>
      <c r="AO266" s="112"/>
      <c r="AP266" s="112"/>
      <c r="AQ266" s="112"/>
      <c r="AR266" s="112"/>
      <c r="AS266" s="112"/>
      <c r="AT266" s="112"/>
      <c r="AU266" s="112"/>
      <c r="AV266" s="112"/>
      <c r="AW266" s="112"/>
      <c r="AY266" s="112"/>
      <c r="AZ266" s="112"/>
      <c r="BA266" s="112"/>
      <c r="BB266" s="112"/>
      <c r="BC266" s="112"/>
      <c r="BD266" s="112"/>
      <c r="BE266" s="112"/>
      <c r="BF266" s="112"/>
      <c r="BG266" s="112"/>
      <c r="BI266" s="112"/>
      <c r="BJ266" s="112"/>
      <c r="BK266" s="112"/>
      <c r="BL266" s="112"/>
    </row>
    <row r="267" spans="17:64" x14ac:dyDescent="0.25">
      <c r="Q267" s="112"/>
      <c r="R267" s="112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112"/>
      <c r="AI267" s="112"/>
      <c r="AJ267" s="112"/>
      <c r="AN267" s="112"/>
      <c r="AO267" s="112"/>
      <c r="AP267" s="112"/>
      <c r="AQ267" s="112"/>
      <c r="AR267" s="112"/>
      <c r="AS267" s="112"/>
      <c r="AT267" s="112"/>
      <c r="AU267" s="112"/>
      <c r="AV267" s="112"/>
      <c r="AW267" s="112"/>
      <c r="AY267" s="112"/>
      <c r="AZ267" s="112"/>
      <c r="BA267" s="112"/>
      <c r="BB267" s="112"/>
      <c r="BC267" s="112"/>
      <c r="BD267" s="112"/>
      <c r="BE267" s="112"/>
      <c r="BF267" s="112"/>
      <c r="BG267" s="112"/>
      <c r="BI267" s="112"/>
      <c r="BJ267" s="112"/>
      <c r="BK267" s="112"/>
      <c r="BL267" s="112"/>
    </row>
    <row r="268" spans="17:64" x14ac:dyDescent="0.25">
      <c r="Q268" s="112"/>
      <c r="R268" s="112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112"/>
      <c r="AI268" s="112"/>
      <c r="AJ268" s="112"/>
      <c r="AN268" s="112"/>
      <c r="AO268" s="112"/>
      <c r="AP268" s="112"/>
      <c r="AQ268" s="112"/>
      <c r="AR268" s="112"/>
      <c r="AS268" s="112"/>
      <c r="AT268" s="112"/>
      <c r="AU268" s="112"/>
      <c r="AV268" s="112"/>
      <c r="AW268" s="112"/>
      <c r="AY268" s="112"/>
      <c r="AZ268" s="112"/>
      <c r="BA268" s="112"/>
      <c r="BB268" s="112"/>
      <c r="BC268" s="112"/>
      <c r="BD268" s="112"/>
      <c r="BE268" s="112"/>
      <c r="BF268" s="112"/>
      <c r="BG268" s="112"/>
      <c r="BI268" s="112"/>
      <c r="BJ268" s="112"/>
      <c r="BK268" s="112"/>
      <c r="BL268" s="112"/>
    </row>
    <row r="269" spans="17:64" x14ac:dyDescent="0.25">
      <c r="Q269" s="112"/>
      <c r="R269" s="112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112"/>
      <c r="AI269" s="112"/>
      <c r="AJ269" s="112"/>
      <c r="AN269" s="112"/>
      <c r="AO269" s="112"/>
      <c r="AP269" s="112"/>
      <c r="AQ269" s="112"/>
      <c r="AR269" s="112"/>
      <c r="AS269" s="112"/>
      <c r="AT269" s="112"/>
      <c r="AU269" s="112"/>
      <c r="AV269" s="112"/>
      <c r="AW269" s="112"/>
      <c r="AY269" s="112"/>
      <c r="AZ269" s="112"/>
      <c r="BA269" s="112"/>
      <c r="BB269" s="112"/>
      <c r="BC269" s="112"/>
      <c r="BD269" s="112"/>
      <c r="BE269" s="112"/>
      <c r="BF269" s="112"/>
      <c r="BG269" s="112"/>
      <c r="BI269" s="112"/>
      <c r="BJ269" s="112"/>
      <c r="BK269" s="112"/>
      <c r="BL269" s="112"/>
    </row>
    <row r="270" spans="17:64" x14ac:dyDescent="0.25">
      <c r="Q270" s="112"/>
      <c r="R270" s="112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112"/>
      <c r="AI270" s="112"/>
      <c r="AJ270" s="112"/>
      <c r="AN270" s="112"/>
      <c r="AO270" s="112"/>
      <c r="AP270" s="112"/>
      <c r="AQ270" s="112"/>
      <c r="AR270" s="112"/>
      <c r="AS270" s="112"/>
      <c r="AT270" s="112"/>
      <c r="AU270" s="112"/>
      <c r="AV270" s="112"/>
      <c r="AW270" s="112"/>
      <c r="AY270" s="112"/>
      <c r="AZ270" s="112"/>
      <c r="BA270" s="112"/>
      <c r="BB270" s="112"/>
      <c r="BC270" s="112"/>
      <c r="BD270" s="112"/>
      <c r="BE270" s="112"/>
      <c r="BF270" s="112"/>
      <c r="BG270" s="112"/>
      <c r="BI270" s="112"/>
      <c r="BJ270" s="112"/>
      <c r="BK270" s="112"/>
      <c r="BL270" s="112"/>
    </row>
    <row r="271" spans="17:64" x14ac:dyDescent="0.25">
      <c r="Q271" s="112"/>
      <c r="R271" s="112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112"/>
      <c r="AI271" s="112"/>
      <c r="AJ271" s="112"/>
      <c r="AN271" s="112"/>
      <c r="AO271" s="112"/>
      <c r="AP271" s="112"/>
      <c r="AQ271" s="112"/>
      <c r="AR271" s="112"/>
      <c r="AS271" s="112"/>
      <c r="AT271" s="112"/>
      <c r="AU271" s="112"/>
      <c r="AV271" s="112"/>
      <c r="AW271" s="112"/>
      <c r="AY271" s="112"/>
      <c r="AZ271" s="112"/>
      <c r="BA271" s="112"/>
      <c r="BB271" s="112"/>
      <c r="BC271" s="112"/>
      <c r="BD271" s="112"/>
      <c r="BE271" s="112"/>
      <c r="BF271" s="112"/>
      <c r="BG271" s="112"/>
      <c r="BI271" s="112"/>
      <c r="BJ271" s="112"/>
      <c r="BK271" s="112"/>
      <c r="BL271" s="112"/>
    </row>
    <row r="272" spans="17:64" x14ac:dyDescent="0.25">
      <c r="Q272" s="112"/>
      <c r="R272" s="112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112"/>
      <c r="AI272" s="112"/>
      <c r="AJ272" s="112"/>
      <c r="AN272" s="112"/>
      <c r="AO272" s="112"/>
      <c r="AP272" s="112"/>
      <c r="AQ272" s="112"/>
      <c r="AR272" s="112"/>
      <c r="AS272" s="112"/>
      <c r="AT272" s="112"/>
      <c r="AU272" s="112"/>
      <c r="AV272" s="112"/>
      <c r="AW272" s="112"/>
      <c r="AY272" s="112"/>
      <c r="AZ272" s="112"/>
      <c r="BA272" s="112"/>
      <c r="BB272" s="112"/>
      <c r="BC272" s="112"/>
      <c r="BD272" s="112"/>
      <c r="BE272" s="112"/>
      <c r="BF272" s="112"/>
      <c r="BG272" s="112"/>
      <c r="BI272" s="112"/>
      <c r="BJ272" s="112"/>
      <c r="BK272" s="112"/>
      <c r="BL272" s="112"/>
    </row>
    <row r="273" spans="17:64" x14ac:dyDescent="0.25">
      <c r="Q273" s="112"/>
      <c r="R273" s="112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112"/>
      <c r="AI273" s="112"/>
      <c r="AJ273" s="112"/>
      <c r="AN273" s="112"/>
      <c r="AO273" s="112"/>
      <c r="AP273" s="112"/>
      <c r="AQ273" s="112"/>
      <c r="AR273" s="112"/>
      <c r="AS273" s="112"/>
      <c r="AT273" s="112"/>
      <c r="AU273" s="112"/>
      <c r="AV273" s="112"/>
      <c r="AW273" s="112"/>
      <c r="AY273" s="112"/>
      <c r="AZ273" s="112"/>
      <c r="BA273" s="112"/>
      <c r="BB273" s="112"/>
      <c r="BC273" s="112"/>
      <c r="BD273" s="112"/>
      <c r="BE273" s="112"/>
      <c r="BF273" s="112"/>
      <c r="BG273" s="112"/>
      <c r="BI273" s="112"/>
      <c r="BJ273" s="112"/>
      <c r="BK273" s="112"/>
      <c r="BL273" s="112"/>
    </row>
    <row r="274" spans="17:64" x14ac:dyDescent="0.25">
      <c r="Q274" s="112"/>
      <c r="R274" s="112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112"/>
      <c r="AI274" s="112"/>
      <c r="AJ274" s="112"/>
      <c r="AN274" s="112"/>
      <c r="AO274" s="112"/>
      <c r="AP274" s="112"/>
      <c r="AQ274" s="112"/>
      <c r="AR274" s="112"/>
      <c r="AS274" s="112"/>
      <c r="AT274" s="112"/>
      <c r="AU274" s="112"/>
      <c r="AV274" s="112"/>
      <c r="AW274" s="112"/>
      <c r="AY274" s="112"/>
      <c r="AZ274" s="112"/>
      <c r="BA274" s="112"/>
      <c r="BB274" s="112"/>
      <c r="BC274" s="112"/>
      <c r="BD274" s="112"/>
      <c r="BE274" s="112"/>
      <c r="BF274" s="112"/>
      <c r="BG274" s="112"/>
      <c r="BI274" s="112"/>
      <c r="BJ274" s="112"/>
      <c r="BK274" s="112"/>
      <c r="BL274" s="112"/>
    </row>
    <row r="275" spans="17:64" x14ac:dyDescent="0.25"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112"/>
      <c r="AI275" s="112"/>
      <c r="AJ275" s="112"/>
      <c r="AN275" s="112"/>
      <c r="AO275" s="112"/>
      <c r="AP275" s="112"/>
      <c r="AQ275" s="112"/>
      <c r="AR275" s="112"/>
      <c r="AS275" s="112"/>
      <c r="AT275" s="112"/>
      <c r="AU275" s="112"/>
      <c r="AV275" s="112"/>
      <c r="AW275" s="112"/>
      <c r="AY275" s="112"/>
      <c r="AZ275" s="112"/>
      <c r="BA275" s="112"/>
      <c r="BB275" s="112"/>
      <c r="BC275" s="112"/>
      <c r="BD275" s="112"/>
      <c r="BE275" s="112"/>
      <c r="BF275" s="112"/>
      <c r="BG275" s="112"/>
      <c r="BI275" s="112"/>
      <c r="BJ275" s="112"/>
      <c r="BK275" s="112"/>
      <c r="BL275" s="112"/>
    </row>
    <row r="276" spans="17:64" x14ac:dyDescent="0.25">
      <c r="Q276" s="112"/>
      <c r="R276" s="112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112"/>
      <c r="AI276" s="112"/>
      <c r="AJ276" s="112"/>
      <c r="AN276" s="112"/>
      <c r="AO276" s="112"/>
      <c r="AP276" s="112"/>
      <c r="AQ276" s="112"/>
      <c r="AR276" s="112"/>
      <c r="AS276" s="112"/>
      <c r="AT276" s="112"/>
      <c r="AU276" s="112"/>
      <c r="AV276" s="112"/>
      <c r="AW276" s="112"/>
      <c r="AY276" s="112"/>
      <c r="AZ276" s="112"/>
      <c r="BA276" s="112"/>
      <c r="BB276" s="112"/>
      <c r="BC276" s="112"/>
      <c r="BD276" s="112"/>
      <c r="BE276" s="112"/>
      <c r="BF276" s="112"/>
      <c r="BG276" s="112"/>
      <c r="BI276" s="112"/>
      <c r="BJ276" s="112"/>
      <c r="BK276" s="112"/>
      <c r="BL276" s="112"/>
    </row>
    <row r="277" spans="17:64" x14ac:dyDescent="0.25"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112"/>
      <c r="AI277" s="112"/>
      <c r="AJ277" s="112"/>
      <c r="AN277" s="112"/>
      <c r="AO277" s="112"/>
      <c r="AP277" s="112"/>
      <c r="AQ277" s="112"/>
      <c r="AR277" s="112"/>
      <c r="AS277" s="112"/>
      <c r="AT277" s="112"/>
      <c r="AU277" s="112"/>
      <c r="AV277" s="112"/>
      <c r="AW277" s="112"/>
      <c r="AY277" s="112"/>
      <c r="AZ277" s="112"/>
      <c r="BA277" s="112"/>
      <c r="BB277" s="112"/>
      <c r="BC277" s="112"/>
      <c r="BD277" s="112"/>
      <c r="BE277" s="112"/>
      <c r="BF277" s="112"/>
      <c r="BG277" s="112"/>
      <c r="BI277" s="112"/>
      <c r="BJ277" s="112"/>
      <c r="BK277" s="112"/>
      <c r="BL277" s="112"/>
    </row>
    <row r="278" spans="17:64" x14ac:dyDescent="0.25">
      <c r="Q278" s="112"/>
      <c r="R278" s="112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N278" s="112"/>
      <c r="AO278" s="112"/>
      <c r="AP278" s="112"/>
      <c r="AQ278" s="112"/>
      <c r="AR278" s="112"/>
      <c r="AS278" s="112"/>
      <c r="AT278" s="112"/>
      <c r="AU278" s="112"/>
      <c r="AV278" s="112"/>
      <c r="AW278" s="112"/>
      <c r="AY278" s="112"/>
      <c r="AZ278" s="112"/>
      <c r="BA278" s="112"/>
      <c r="BB278" s="112"/>
      <c r="BC278" s="112"/>
      <c r="BD278" s="112"/>
      <c r="BE278" s="112"/>
      <c r="BF278" s="112"/>
      <c r="BG278" s="112"/>
      <c r="BI278" s="112"/>
      <c r="BJ278" s="112"/>
      <c r="BK278" s="112"/>
      <c r="BL278" s="112"/>
    </row>
    <row r="279" spans="17:64" x14ac:dyDescent="0.25"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N279" s="112"/>
      <c r="AO279" s="112"/>
      <c r="AP279" s="112"/>
      <c r="AQ279" s="112"/>
      <c r="AR279" s="112"/>
      <c r="AS279" s="112"/>
      <c r="AT279" s="112"/>
      <c r="AU279" s="112"/>
      <c r="AV279" s="112"/>
      <c r="AW279" s="112"/>
      <c r="AY279" s="112"/>
      <c r="AZ279" s="112"/>
      <c r="BA279" s="112"/>
      <c r="BB279" s="112"/>
      <c r="BC279" s="112"/>
      <c r="BD279" s="112"/>
      <c r="BE279" s="112"/>
      <c r="BF279" s="112"/>
      <c r="BG279" s="112"/>
      <c r="BI279" s="112"/>
      <c r="BJ279" s="112"/>
      <c r="BK279" s="112"/>
      <c r="BL279" s="112"/>
    </row>
    <row r="280" spans="17:64" x14ac:dyDescent="0.25">
      <c r="Q280" s="112"/>
      <c r="R280" s="112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112"/>
      <c r="AI280" s="112"/>
      <c r="AJ280" s="112"/>
      <c r="AN280" s="112"/>
      <c r="AO280" s="112"/>
      <c r="AP280" s="112"/>
      <c r="AQ280" s="112"/>
      <c r="AR280" s="112"/>
      <c r="AS280" s="112"/>
      <c r="AT280" s="112"/>
      <c r="AU280" s="112"/>
      <c r="AV280" s="112"/>
      <c r="AW280" s="112"/>
      <c r="AY280" s="112"/>
      <c r="AZ280" s="112"/>
      <c r="BA280" s="112"/>
      <c r="BB280" s="112"/>
      <c r="BC280" s="112"/>
      <c r="BD280" s="112"/>
      <c r="BE280" s="112"/>
      <c r="BF280" s="112"/>
      <c r="BG280" s="112"/>
      <c r="BI280" s="112"/>
      <c r="BJ280" s="112"/>
      <c r="BK280" s="112"/>
      <c r="BL280" s="112"/>
    </row>
    <row r="281" spans="17:64" x14ac:dyDescent="0.25">
      <c r="Q281" s="112"/>
      <c r="R281" s="112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N281" s="112"/>
      <c r="AO281" s="112"/>
      <c r="AP281" s="112"/>
      <c r="AQ281" s="112"/>
      <c r="AR281" s="112"/>
      <c r="AS281" s="112"/>
      <c r="AT281" s="112"/>
      <c r="AU281" s="112"/>
      <c r="AV281" s="112"/>
      <c r="AW281" s="112"/>
      <c r="AY281" s="112"/>
      <c r="AZ281" s="112"/>
      <c r="BA281" s="112"/>
      <c r="BB281" s="112"/>
      <c r="BC281" s="112"/>
      <c r="BD281" s="112"/>
      <c r="BE281" s="112"/>
      <c r="BF281" s="112"/>
      <c r="BG281" s="112"/>
      <c r="BI281" s="112"/>
      <c r="BJ281" s="112"/>
      <c r="BK281" s="112"/>
      <c r="BL281" s="112"/>
    </row>
    <row r="282" spans="17:64" x14ac:dyDescent="0.25">
      <c r="Q282" s="112"/>
      <c r="R282" s="112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N282" s="112"/>
      <c r="AO282" s="112"/>
      <c r="AP282" s="112"/>
      <c r="AQ282" s="112"/>
      <c r="AR282" s="112"/>
      <c r="AS282" s="112"/>
      <c r="AT282" s="112"/>
      <c r="AU282" s="112"/>
      <c r="AV282" s="112"/>
      <c r="AW282" s="112"/>
      <c r="AY282" s="112"/>
      <c r="AZ282" s="112"/>
      <c r="BA282" s="112"/>
      <c r="BB282" s="112"/>
      <c r="BC282" s="112"/>
      <c r="BD282" s="112"/>
      <c r="BE282" s="112"/>
      <c r="BF282" s="112"/>
      <c r="BG282" s="112"/>
      <c r="BI282" s="112"/>
      <c r="BJ282" s="112"/>
      <c r="BK282" s="112"/>
      <c r="BL282" s="112"/>
    </row>
    <row r="283" spans="17:64" x14ac:dyDescent="0.25"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N283" s="112"/>
      <c r="AO283" s="112"/>
      <c r="AP283" s="112"/>
      <c r="AQ283" s="112"/>
      <c r="AR283" s="112"/>
      <c r="AS283" s="112"/>
      <c r="AT283" s="112"/>
      <c r="AU283" s="112"/>
      <c r="AV283" s="112"/>
      <c r="AW283" s="112"/>
      <c r="AY283" s="112"/>
      <c r="AZ283" s="112"/>
      <c r="BA283" s="112"/>
      <c r="BB283" s="112"/>
      <c r="BC283" s="112"/>
      <c r="BD283" s="112"/>
      <c r="BE283" s="112"/>
      <c r="BF283" s="112"/>
      <c r="BG283" s="112"/>
      <c r="BI283" s="112"/>
      <c r="BJ283" s="112"/>
      <c r="BK283" s="112"/>
      <c r="BL283" s="112"/>
    </row>
    <row r="284" spans="17:64" x14ac:dyDescent="0.25">
      <c r="Q284" s="112"/>
      <c r="R284" s="112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N284" s="112"/>
      <c r="AO284" s="112"/>
      <c r="AP284" s="112"/>
      <c r="AQ284" s="112"/>
      <c r="AR284" s="112"/>
      <c r="AS284" s="112"/>
      <c r="AT284" s="112"/>
      <c r="AU284" s="112"/>
      <c r="AV284" s="112"/>
      <c r="AW284" s="112"/>
      <c r="AY284" s="112"/>
      <c r="AZ284" s="112"/>
      <c r="BA284" s="112"/>
      <c r="BB284" s="112"/>
      <c r="BC284" s="112"/>
      <c r="BD284" s="112"/>
      <c r="BE284" s="112"/>
      <c r="BF284" s="112"/>
      <c r="BG284" s="112"/>
      <c r="BI284" s="112"/>
      <c r="BJ284" s="112"/>
      <c r="BK284" s="112"/>
      <c r="BL284" s="112"/>
    </row>
    <row r="285" spans="17:64" x14ac:dyDescent="0.25">
      <c r="Q285" s="112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N285" s="112"/>
      <c r="AO285" s="112"/>
      <c r="AP285" s="112"/>
      <c r="AQ285" s="112"/>
      <c r="AR285" s="112"/>
      <c r="AS285" s="112"/>
      <c r="AT285" s="112"/>
      <c r="AU285" s="112"/>
      <c r="AV285" s="112"/>
      <c r="AW285" s="112"/>
      <c r="AY285" s="112"/>
      <c r="AZ285" s="112"/>
      <c r="BA285" s="112"/>
      <c r="BB285" s="112"/>
      <c r="BC285" s="112"/>
      <c r="BD285" s="112"/>
      <c r="BE285" s="112"/>
      <c r="BF285" s="112"/>
      <c r="BG285" s="112"/>
      <c r="BI285" s="112"/>
      <c r="BJ285" s="112"/>
      <c r="BK285" s="112"/>
      <c r="BL285" s="112"/>
    </row>
    <row r="286" spans="17:64" x14ac:dyDescent="0.25"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  <c r="AN286" s="112"/>
      <c r="AO286" s="112"/>
      <c r="AP286" s="112"/>
      <c r="AQ286" s="112"/>
      <c r="AR286" s="112"/>
      <c r="AS286" s="112"/>
      <c r="AT286" s="112"/>
      <c r="AU286" s="112"/>
      <c r="AV286" s="112"/>
      <c r="AW286" s="112"/>
      <c r="AY286" s="112"/>
      <c r="AZ286" s="112"/>
      <c r="BA286" s="112"/>
      <c r="BB286" s="112"/>
      <c r="BC286" s="112"/>
      <c r="BD286" s="112"/>
      <c r="BE286" s="112"/>
      <c r="BF286" s="112"/>
      <c r="BG286" s="112"/>
      <c r="BI286" s="112"/>
      <c r="BJ286" s="112"/>
      <c r="BK286" s="112"/>
      <c r="BL286" s="112"/>
    </row>
    <row r="287" spans="17:64" x14ac:dyDescent="0.25"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112"/>
      <c r="AI287" s="112"/>
      <c r="AJ287" s="112"/>
      <c r="AN287" s="112"/>
      <c r="AO287" s="112"/>
      <c r="AP287" s="112"/>
      <c r="AQ287" s="112"/>
      <c r="AR287" s="112"/>
      <c r="AS287" s="112"/>
      <c r="AT287" s="112"/>
      <c r="AU287" s="112"/>
      <c r="AV287" s="112"/>
      <c r="AW287" s="112"/>
      <c r="AY287" s="112"/>
      <c r="AZ287" s="112"/>
      <c r="BA287" s="112"/>
      <c r="BB287" s="112"/>
      <c r="BC287" s="112"/>
      <c r="BD287" s="112"/>
      <c r="BE287" s="112"/>
      <c r="BF287" s="112"/>
      <c r="BG287" s="112"/>
      <c r="BI287" s="112"/>
      <c r="BJ287" s="112"/>
      <c r="BK287" s="112"/>
      <c r="BL287" s="112"/>
    </row>
    <row r="288" spans="17:64" x14ac:dyDescent="0.25"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112"/>
      <c r="AI288" s="112"/>
      <c r="AJ288" s="112"/>
      <c r="AN288" s="112"/>
      <c r="AO288" s="112"/>
      <c r="AP288" s="112"/>
      <c r="AQ288" s="112"/>
      <c r="AR288" s="112"/>
      <c r="AS288" s="112"/>
      <c r="AT288" s="112"/>
      <c r="AU288" s="112"/>
      <c r="AV288" s="112"/>
      <c r="AW288" s="112"/>
      <c r="AY288" s="112"/>
      <c r="AZ288" s="112"/>
      <c r="BA288" s="112"/>
      <c r="BB288" s="112"/>
      <c r="BC288" s="112"/>
      <c r="BD288" s="112"/>
      <c r="BE288" s="112"/>
      <c r="BF288" s="112"/>
      <c r="BG288" s="112"/>
      <c r="BI288" s="112"/>
      <c r="BJ288" s="112"/>
      <c r="BK288" s="112"/>
      <c r="BL288" s="112"/>
    </row>
    <row r="289" spans="17:64" x14ac:dyDescent="0.25"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112"/>
      <c r="AI289" s="112"/>
      <c r="AJ289" s="112"/>
      <c r="AN289" s="112"/>
      <c r="AO289" s="112"/>
      <c r="AP289" s="112"/>
      <c r="AQ289" s="112"/>
      <c r="AR289" s="112"/>
      <c r="AS289" s="112"/>
      <c r="AT289" s="112"/>
      <c r="AU289" s="112"/>
      <c r="AV289" s="112"/>
      <c r="AW289" s="112"/>
      <c r="AY289" s="112"/>
      <c r="AZ289" s="112"/>
      <c r="BA289" s="112"/>
      <c r="BB289" s="112"/>
      <c r="BC289" s="112"/>
      <c r="BD289" s="112"/>
      <c r="BE289" s="112"/>
      <c r="BF289" s="112"/>
      <c r="BG289" s="112"/>
      <c r="BI289" s="112"/>
      <c r="BJ289" s="112"/>
      <c r="BK289" s="112"/>
      <c r="BL289" s="112"/>
    </row>
    <row r="290" spans="17:64" x14ac:dyDescent="0.25"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112"/>
      <c r="AI290" s="112"/>
      <c r="AJ290" s="112"/>
      <c r="AN290" s="112"/>
      <c r="AO290" s="112"/>
      <c r="AP290" s="112"/>
      <c r="AQ290" s="112"/>
      <c r="AR290" s="112"/>
      <c r="AS290" s="112"/>
      <c r="AT290" s="112"/>
      <c r="AU290" s="112"/>
      <c r="AV290" s="112"/>
      <c r="AW290" s="112"/>
      <c r="AY290" s="112"/>
      <c r="AZ290" s="112"/>
      <c r="BA290" s="112"/>
      <c r="BB290" s="112"/>
      <c r="BC290" s="112"/>
      <c r="BD290" s="112"/>
      <c r="BE290" s="112"/>
      <c r="BF290" s="112"/>
      <c r="BG290" s="112"/>
      <c r="BI290" s="112"/>
      <c r="BJ290" s="112"/>
      <c r="BK290" s="112"/>
      <c r="BL290" s="112"/>
    </row>
    <row r="291" spans="17:64" x14ac:dyDescent="0.25">
      <c r="Q291" s="112"/>
      <c r="R291" s="112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112"/>
      <c r="AI291" s="112"/>
      <c r="AJ291" s="112"/>
      <c r="AN291" s="112"/>
      <c r="AO291" s="112"/>
      <c r="AP291" s="112"/>
      <c r="AQ291" s="112"/>
      <c r="AR291" s="112"/>
      <c r="AS291" s="112"/>
      <c r="AT291" s="112"/>
      <c r="AU291" s="112"/>
      <c r="AV291" s="112"/>
      <c r="AW291" s="112"/>
      <c r="AY291" s="112"/>
      <c r="AZ291" s="112"/>
      <c r="BA291" s="112"/>
      <c r="BB291" s="112"/>
      <c r="BC291" s="112"/>
      <c r="BD291" s="112"/>
      <c r="BE291" s="112"/>
      <c r="BF291" s="112"/>
      <c r="BG291" s="112"/>
      <c r="BI291" s="112"/>
      <c r="BJ291" s="112"/>
      <c r="BK291" s="112"/>
      <c r="BL291" s="112"/>
    </row>
    <row r="292" spans="17:64" x14ac:dyDescent="0.25"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112"/>
      <c r="AI292" s="112"/>
      <c r="AJ292" s="112"/>
      <c r="AN292" s="112"/>
      <c r="AO292" s="112"/>
      <c r="AP292" s="112"/>
      <c r="AQ292" s="112"/>
      <c r="AR292" s="112"/>
      <c r="AS292" s="112"/>
      <c r="AT292" s="112"/>
      <c r="AU292" s="112"/>
      <c r="AV292" s="112"/>
      <c r="AW292" s="112"/>
      <c r="AY292" s="112"/>
      <c r="AZ292" s="112"/>
      <c r="BA292" s="112"/>
      <c r="BB292" s="112"/>
      <c r="BC292" s="112"/>
      <c r="BD292" s="112"/>
      <c r="BE292" s="112"/>
      <c r="BF292" s="112"/>
      <c r="BG292" s="112"/>
      <c r="BI292" s="112"/>
      <c r="BJ292" s="112"/>
      <c r="BK292" s="112"/>
      <c r="BL292" s="112"/>
    </row>
    <row r="293" spans="17:64" x14ac:dyDescent="0.25">
      <c r="Q293" s="112"/>
      <c r="R293" s="112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112"/>
      <c r="AI293" s="112"/>
      <c r="AJ293" s="112"/>
      <c r="AN293" s="112"/>
      <c r="AO293" s="112"/>
      <c r="AP293" s="112"/>
      <c r="AQ293" s="112"/>
      <c r="AR293" s="112"/>
      <c r="AS293" s="112"/>
      <c r="AT293" s="112"/>
      <c r="AU293" s="112"/>
      <c r="AV293" s="112"/>
      <c r="AW293" s="112"/>
      <c r="AY293" s="112"/>
      <c r="AZ293" s="112"/>
      <c r="BA293" s="112"/>
      <c r="BB293" s="112"/>
      <c r="BC293" s="112"/>
      <c r="BD293" s="112"/>
      <c r="BE293" s="112"/>
      <c r="BF293" s="112"/>
      <c r="BG293" s="112"/>
      <c r="BI293" s="112"/>
      <c r="BJ293" s="112"/>
      <c r="BK293" s="112"/>
      <c r="BL293" s="112"/>
    </row>
    <row r="294" spans="17:64" x14ac:dyDescent="0.25"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112"/>
      <c r="AI294" s="112"/>
      <c r="AJ294" s="112"/>
      <c r="AN294" s="112"/>
      <c r="AO294" s="112"/>
      <c r="AP294" s="112"/>
      <c r="AQ294" s="112"/>
      <c r="AR294" s="112"/>
      <c r="AS294" s="112"/>
      <c r="AT294" s="112"/>
      <c r="AU294" s="112"/>
      <c r="AV294" s="112"/>
      <c r="AW294" s="112"/>
      <c r="AY294" s="112"/>
      <c r="AZ294" s="112"/>
      <c r="BA294" s="112"/>
      <c r="BB294" s="112"/>
      <c r="BC294" s="112"/>
      <c r="BD294" s="112"/>
      <c r="BE294" s="112"/>
      <c r="BF294" s="112"/>
      <c r="BG294" s="112"/>
      <c r="BI294" s="112"/>
      <c r="BJ294" s="112"/>
      <c r="BK294" s="112"/>
      <c r="BL294" s="112"/>
    </row>
    <row r="295" spans="17:64" x14ac:dyDescent="0.25">
      <c r="Q295" s="112"/>
      <c r="R295" s="112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112"/>
      <c r="AI295" s="112"/>
      <c r="AJ295" s="112"/>
      <c r="AN295" s="112"/>
      <c r="AO295" s="112"/>
      <c r="AP295" s="112"/>
      <c r="AQ295" s="112"/>
      <c r="AR295" s="112"/>
      <c r="AS295" s="112"/>
      <c r="AT295" s="112"/>
      <c r="AU295" s="112"/>
      <c r="AV295" s="112"/>
      <c r="AW295" s="112"/>
      <c r="AY295" s="112"/>
      <c r="AZ295" s="112"/>
      <c r="BA295" s="112"/>
      <c r="BB295" s="112"/>
      <c r="BC295" s="112"/>
      <c r="BD295" s="112"/>
      <c r="BE295" s="112"/>
      <c r="BF295" s="112"/>
      <c r="BG295" s="112"/>
      <c r="BI295" s="112"/>
      <c r="BJ295" s="112"/>
      <c r="BK295" s="112"/>
      <c r="BL295" s="112"/>
    </row>
    <row r="296" spans="17:64" x14ac:dyDescent="0.25">
      <c r="Q296" s="112"/>
      <c r="R296" s="112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112"/>
      <c r="AI296" s="112"/>
      <c r="AJ296" s="112"/>
      <c r="AN296" s="112"/>
      <c r="AO296" s="112"/>
      <c r="AP296" s="112"/>
      <c r="AQ296" s="112"/>
      <c r="AR296" s="112"/>
      <c r="AS296" s="112"/>
      <c r="AT296" s="112"/>
      <c r="AU296" s="112"/>
      <c r="AV296" s="112"/>
      <c r="AW296" s="112"/>
      <c r="AY296" s="112"/>
      <c r="AZ296" s="112"/>
      <c r="BA296" s="112"/>
      <c r="BB296" s="112"/>
      <c r="BC296" s="112"/>
      <c r="BD296" s="112"/>
      <c r="BE296" s="112"/>
      <c r="BF296" s="112"/>
      <c r="BG296" s="112"/>
      <c r="BI296" s="112"/>
      <c r="BJ296" s="112"/>
      <c r="BK296" s="112"/>
      <c r="BL296" s="112"/>
    </row>
    <row r="297" spans="17:64" x14ac:dyDescent="0.25">
      <c r="Q297" s="112"/>
      <c r="R297" s="112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112"/>
      <c r="AI297" s="112"/>
      <c r="AJ297" s="112"/>
      <c r="AN297" s="112"/>
      <c r="AO297" s="112"/>
      <c r="AP297" s="112"/>
      <c r="AQ297" s="112"/>
      <c r="AR297" s="112"/>
      <c r="AS297" s="112"/>
      <c r="AT297" s="112"/>
      <c r="AU297" s="112"/>
      <c r="AV297" s="112"/>
      <c r="AW297" s="112"/>
      <c r="AY297" s="112"/>
      <c r="AZ297" s="112"/>
      <c r="BA297" s="112"/>
      <c r="BB297" s="112"/>
      <c r="BC297" s="112"/>
      <c r="BD297" s="112"/>
      <c r="BE297" s="112"/>
      <c r="BF297" s="112"/>
      <c r="BG297" s="112"/>
      <c r="BI297" s="112"/>
      <c r="BJ297" s="112"/>
      <c r="BK297" s="112"/>
      <c r="BL297" s="112"/>
    </row>
    <row r="298" spans="17:64" x14ac:dyDescent="0.25">
      <c r="Q298" s="112"/>
      <c r="R298" s="112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112"/>
      <c r="AI298" s="112"/>
      <c r="AJ298" s="112"/>
      <c r="AN298" s="112"/>
      <c r="AO298" s="112"/>
      <c r="AP298" s="112"/>
      <c r="AQ298" s="112"/>
      <c r="AR298" s="112"/>
      <c r="AS298" s="112"/>
      <c r="AT298" s="112"/>
      <c r="AU298" s="112"/>
      <c r="AV298" s="112"/>
      <c r="AW298" s="112"/>
      <c r="AY298" s="112"/>
      <c r="AZ298" s="112"/>
      <c r="BA298" s="112"/>
      <c r="BB298" s="112"/>
      <c r="BC298" s="112"/>
      <c r="BD298" s="112"/>
      <c r="BE298" s="112"/>
      <c r="BF298" s="112"/>
      <c r="BG298" s="112"/>
      <c r="BI298" s="112"/>
      <c r="BJ298" s="112"/>
      <c r="BK298" s="112"/>
      <c r="BL298" s="112"/>
    </row>
    <row r="299" spans="17:64" x14ac:dyDescent="0.25">
      <c r="Q299" s="112"/>
      <c r="R299" s="112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112"/>
      <c r="AI299" s="112"/>
      <c r="AJ299" s="112"/>
      <c r="AN299" s="112"/>
      <c r="AO299" s="112"/>
      <c r="AP299" s="112"/>
      <c r="AQ299" s="112"/>
      <c r="AR299" s="112"/>
      <c r="AS299" s="112"/>
      <c r="AT299" s="112"/>
      <c r="AU299" s="112"/>
      <c r="AV299" s="112"/>
      <c r="AW299" s="112"/>
      <c r="AY299" s="112"/>
      <c r="AZ299" s="112"/>
      <c r="BA299" s="112"/>
      <c r="BB299" s="112"/>
      <c r="BC299" s="112"/>
      <c r="BD299" s="112"/>
      <c r="BE299" s="112"/>
      <c r="BF299" s="112"/>
      <c r="BG299" s="112"/>
      <c r="BI299" s="112"/>
      <c r="BJ299" s="112"/>
      <c r="BK299" s="112"/>
      <c r="BL299" s="112"/>
    </row>
    <row r="300" spans="17:64" x14ac:dyDescent="0.25">
      <c r="Q300" s="112"/>
      <c r="R300" s="112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112"/>
      <c r="AI300" s="112"/>
      <c r="AJ300" s="112"/>
      <c r="AN300" s="112"/>
      <c r="AO300" s="112"/>
      <c r="AP300" s="112"/>
      <c r="AQ300" s="112"/>
      <c r="AR300" s="112"/>
      <c r="AS300" s="112"/>
      <c r="AT300" s="112"/>
      <c r="AU300" s="112"/>
      <c r="AV300" s="112"/>
      <c r="AW300" s="112"/>
      <c r="AY300" s="112"/>
      <c r="AZ300" s="112"/>
      <c r="BA300" s="112"/>
      <c r="BB300" s="112"/>
      <c r="BC300" s="112"/>
      <c r="BD300" s="112"/>
      <c r="BE300" s="112"/>
      <c r="BF300" s="112"/>
      <c r="BG300" s="112"/>
      <c r="BI300" s="112"/>
      <c r="BJ300" s="112"/>
      <c r="BK300" s="112"/>
      <c r="BL300" s="112"/>
    </row>
    <row r="301" spans="17:64" x14ac:dyDescent="0.25"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N301" s="112"/>
      <c r="AO301" s="112"/>
      <c r="AP301" s="112"/>
      <c r="AQ301" s="112"/>
      <c r="AR301" s="112"/>
      <c r="AS301" s="112"/>
      <c r="AT301" s="112"/>
      <c r="AU301" s="112"/>
      <c r="AV301" s="112"/>
      <c r="AW301" s="112"/>
      <c r="AY301" s="112"/>
      <c r="AZ301" s="112"/>
      <c r="BA301" s="112"/>
      <c r="BB301" s="112"/>
      <c r="BC301" s="112"/>
      <c r="BD301" s="112"/>
      <c r="BE301" s="112"/>
      <c r="BF301" s="112"/>
      <c r="BG301" s="112"/>
      <c r="BI301" s="112"/>
      <c r="BJ301" s="112"/>
      <c r="BK301" s="112"/>
      <c r="BL301" s="112"/>
    </row>
    <row r="302" spans="17:64" x14ac:dyDescent="0.25">
      <c r="Q302" s="112"/>
      <c r="R302" s="112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N302" s="112"/>
      <c r="AO302" s="112"/>
      <c r="AP302" s="112"/>
      <c r="AQ302" s="112"/>
      <c r="AR302" s="112"/>
      <c r="AS302" s="112"/>
      <c r="AT302" s="112"/>
      <c r="AU302" s="112"/>
      <c r="AV302" s="112"/>
      <c r="AW302" s="112"/>
      <c r="AY302" s="112"/>
      <c r="AZ302" s="112"/>
      <c r="BA302" s="112"/>
      <c r="BB302" s="112"/>
      <c r="BC302" s="112"/>
      <c r="BD302" s="112"/>
      <c r="BE302" s="112"/>
      <c r="BF302" s="112"/>
      <c r="BG302" s="112"/>
      <c r="BI302" s="112"/>
      <c r="BJ302" s="112"/>
      <c r="BK302" s="112"/>
      <c r="BL302" s="112"/>
    </row>
    <row r="303" spans="17:64" x14ac:dyDescent="0.25">
      <c r="Q303" s="112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N303" s="112"/>
      <c r="AO303" s="112"/>
      <c r="AP303" s="112"/>
      <c r="AQ303" s="112"/>
      <c r="AR303" s="112"/>
      <c r="AS303" s="112"/>
      <c r="AT303" s="112"/>
      <c r="AU303" s="112"/>
      <c r="AV303" s="112"/>
      <c r="AW303" s="112"/>
      <c r="AY303" s="112"/>
      <c r="AZ303" s="112"/>
      <c r="BA303" s="112"/>
      <c r="BB303" s="112"/>
      <c r="BC303" s="112"/>
      <c r="BD303" s="112"/>
      <c r="BE303" s="112"/>
      <c r="BF303" s="112"/>
      <c r="BG303" s="112"/>
      <c r="BI303" s="112"/>
      <c r="BJ303" s="112"/>
      <c r="BK303" s="112"/>
      <c r="BL303" s="112"/>
    </row>
    <row r="304" spans="17:64" x14ac:dyDescent="0.25"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112"/>
      <c r="AI304" s="112"/>
      <c r="AJ304" s="112"/>
      <c r="AN304" s="112"/>
      <c r="AO304" s="112"/>
      <c r="AP304" s="112"/>
      <c r="AQ304" s="112"/>
      <c r="AR304" s="112"/>
      <c r="AS304" s="112"/>
      <c r="AT304" s="112"/>
      <c r="AU304" s="112"/>
      <c r="AV304" s="112"/>
      <c r="AW304" s="112"/>
      <c r="AY304" s="112"/>
      <c r="AZ304" s="112"/>
      <c r="BA304" s="112"/>
      <c r="BB304" s="112"/>
      <c r="BC304" s="112"/>
      <c r="BD304" s="112"/>
      <c r="BE304" s="112"/>
      <c r="BF304" s="112"/>
      <c r="BG304" s="112"/>
      <c r="BI304" s="112"/>
      <c r="BJ304" s="112"/>
      <c r="BK304" s="112"/>
      <c r="BL304" s="112"/>
    </row>
    <row r="305" spans="17:64" x14ac:dyDescent="0.25"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112"/>
      <c r="AI305" s="112"/>
      <c r="AJ305" s="112"/>
      <c r="AN305" s="112"/>
      <c r="AO305" s="112"/>
      <c r="AP305" s="112"/>
      <c r="AQ305" s="112"/>
      <c r="AR305" s="112"/>
      <c r="AS305" s="112"/>
      <c r="AT305" s="112"/>
      <c r="AU305" s="112"/>
      <c r="AV305" s="112"/>
      <c r="AW305" s="112"/>
      <c r="AY305" s="112"/>
      <c r="AZ305" s="112"/>
      <c r="BA305" s="112"/>
      <c r="BB305" s="112"/>
      <c r="BC305" s="112"/>
      <c r="BD305" s="112"/>
      <c r="BE305" s="112"/>
      <c r="BF305" s="112"/>
      <c r="BG305" s="112"/>
      <c r="BI305" s="112"/>
      <c r="BJ305" s="112"/>
      <c r="BK305" s="112"/>
      <c r="BL305" s="112"/>
    </row>
    <row r="306" spans="17:64" x14ac:dyDescent="0.25"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112"/>
      <c r="AI306" s="112"/>
      <c r="AJ306" s="112"/>
      <c r="AN306" s="112"/>
      <c r="AO306" s="112"/>
      <c r="AP306" s="112"/>
      <c r="AQ306" s="112"/>
      <c r="AR306" s="112"/>
      <c r="AS306" s="112"/>
      <c r="AT306" s="112"/>
      <c r="AU306" s="112"/>
      <c r="AV306" s="112"/>
      <c r="AW306" s="112"/>
      <c r="AY306" s="112"/>
      <c r="AZ306" s="112"/>
      <c r="BA306" s="112"/>
      <c r="BB306" s="112"/>
      <c r="BC306" s="112"/>
      <c r="BD306" s="112"/>
      <c r="BE306" s="112"/>
      <c r="BF306" s="112"/>
      <c r="BG306" s="112"/>
      <c r="BI306" s="112"/>
      <c r="BJ306" s="112"/>
      <c r="BK306" s="112"/>
      <c r="BL306" s="112"/>
    </row>
    <row r="307" spans="17:64" x14ac:dyDescent="0.25"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112"/>
      <c r="AI307" s="112"/>
      <c r="AJ307" s="112"/>
      <c r="AN307" s="112"/>
      <c r="AO307" s="112"/>
      <c r="AP307" s="112"/>
      <c r="AQ307" s="112"/>
      <c r="AR307" s="112"/>
      <c r="AS307" s="112"/>
      <c r="AT307" s="112"/>
      <c r="AU307" s="112"/>
      <c r="AV307" s="112"/>
      <c r="AW307" s="112"/>
      <c r="AY307" s="112"/>
      <c r="AZ307" s="112"/>
      <c r="BA307" s="112"/>
      <c r="BB307" s="112"/>
      <c r="BC307" s="112"/>
      <c r="BD307" s="112"/>
      <c r="BE307" s="112"/>
      <c r="BF307" s="112"/>
      <c r="BG307" s="112"/>
      <c r="BI307" s="112"/>
      <c r="BJ307" s="112"/>
      <c r="BK307" s="112"/>
      <c r="BL307" s="112"/>
    </row>
    <row r="308" spans="17:64" x14ac:dyDescent="0.25"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112"/>
      <c r="AI308" s="112"/>
      <c r="AJ308" s="112"/>
      <c r="AN308" s="112"/>
      <c r="AO308" s="112"/>
      <c r="AP308" s="112"/>
      <c r="AQ308" s="112"/>
      <c r="AR308" s="112"/>
      <c r="AS308" s="112"/>
      <c r="AT308" s="112"/>
      <c r="AU308" s="112"/>
      <c r="AV308" s="112"/>
      <c r="AW308" s="112"/>
      <c r="AY308" s="112"/>
      <c r="AZ308" s="112"/>
      <c r="BA308" s="112"/>
      <c r="BB308" s="112"/>
      <c r="BC308" s="112"/>
      <c r="BD308" s="112"/>
      <c r="BE308" s="112"/>
      <c r="BF308" s="112"/>
      <c r="BG308" s="112"/>
      <c r="BI308" s="112"/>
      <c r="BJ308" s="112"/>
      <c r="BK308" s="112"/>
      <c r="BL308" s="112"/>
    </row>
    <row r="309" spans="17:64" x14ac:dyDescent="0.25"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112"/>
      <c r="AI309" s="112"/>
      <c r="AJ309" s="112"/>
      <c r="AN309" s="112"/>
      <c r="AO309" s="112"/>
      <c r="AP309" s="112"/>
      <c r="AQ309" s="112"/>
      <c r="AR309" s="112"/>
      <c r="AS309" s="112"/>
      <c r="AT309" s="112"/>
      <c r="AU309" s="112"/>
      <c r="AV309" s="112"/>
      <c r="AW309" s="112"/>
      <c r="AY309" s="112"/>
      <c r="AZ309" s="112"/>
      <c r="BA309" s="112"/>
      <c r="BB309" s="112"/>
      <c r="BC309" s="112"/>
      <c r="BD309" s="112"/>
      <c r="BE309" s="112"/>
      <c r="BF309" s="112"/>
      <c r="BG309" s="112"/>
      <c r="BI309" s="112"/>
      <c r="BJ309" s="112"/>
      <c r="BK309" s="112"/>
      <c r="BL309" s="112"/>
    </row>
    <row r="310" spans="17:64" x14ac:dyDescent="0.25">
      <c r="Q310" s="112"/>
      <c r="R310" s="112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112"/>
      <c r="AI310" s="112"/>
      <c r="AJ310" s="112"/>
      <c r="AN310" s="112"/>
      <c r="AO310" s="112"/>
      <c r="AP310" s="112"/>
      <c r="AQ310" s="112"/>
      <c r="AR310" s="112"/>
      <c r="AS310" s="112"/>
      <c r="AT310" s="112"/>
      <c r="AU310" s="112"/>
      <c r="AV310" s="112"/>
      <c r="AW310" s="112"/>
      <c r="AY310" s="112"/>
      <c r="AZ310" s="112"/>
      <c r="BA310" s="112"/>
      <c r="BB310" s="112"/>
      <c r="BC310" s="112"/>
      <c r="BD310" s="112"/>
      <c r="BE310" s="112"/>
      <c r="BF310" s="112"/>
      <c r="BG310" s="112"/>
      <c r="BI310" s="112"/>
      <c r="BJ310" s="112"/>
      <c r="BK310" s="112"/>
      <c r="BL310" s="112"/>
    </row>
    <row r="311" spans="17:64" x14ac:dyDescent="0.25"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112"/>
      <c r="AI311" s="112"/>
      <c r="AJ311" s="112"/>
      <c r="AN311" s="112"/>
      <c r="AO311" s="112"/>
      <c r="AP311" s="112"/>
      <c r="AQ311" s="112"/>
      <c r="AR311" s="112"/>
      <c r="AS311" s="112"/>
      <c r="AT311" s="112"/>
      <c r="AU311" s="112"/>
      <c r="AV311" s="112"/>
      <c r="AW311" s="112"/>
      <c r="AY311" s="112"/>
      <c r="AZ311" s="112"/>
      <c r="BA311" s="112"/>
      <c r="BB311" s="112"/>
      <c r="BC311" s="112"/>
      <c r="BD311" s="112"/>
      <c r="BE311" s="112"/>
      <c r="BF311" s="112"/>
      <c r="BG311" s="112"/>
      <c r="BI311" s="112"/>
      <c r="BJ311" s="112"/>
      <c r="BK311" s="112"/>
      <c r="BL311" s="112"/>
    </row>
    <row r="312" spans="17:64" x14ac:dyDescent="0.25">
      <c r="Q312" s="112"/>
      <c r="R312" s="112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112"/>
      <c r="AI312" s="112"/>
      <c r="AJ312" s="112"/>
      <c r="AN312" s="112"/>
      <c r="AO312" s="112"/>
      <c r="AP312" s="112"/>
      <c r="AQ312" s="112"/>
      <c r="AR312" s="112"/>
      <c r="AS312" s="112"/>
      <c r="AT312" s="112"/>
      <c r="AU312" s="112"/>
      <c r="AV312" s="112"/>
      <c r="AW312" s="112"/>
      <c r="AY312" s="112"/>
      <c r="AZ312" s="112"/>
      <c r="BA312" s="112"/>
      <c r="BB312" s="112"/>
      <c r="BC312" s="112"/>
      <c r="BD312" s="112"/>
      <c r="BE312" s="112"/>
      <c r="BF312" s="112"/>
      <c r="BG312" s="112"/>
      <c r="BI312" s="112"/>
      <c r="BJ312" s="112"/>
      <c r="BK312" s="112"/>
      <c r="BL312" s="112"/>
    </row>
    <row r="313" spans="17:64" x14ac:dyDescent="0.25">
      <c r="Q313" s="112"/>
      <c r="R313" s="112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112"/>
      <c r="AI313" s="112"/>
      <c r="AJ313" s="112"/>
      <c r="AN313" s="112"/>
      <c r="AO313" s="112"/>
      <c r="AP313" s="112"/>
      <c r="AQ313" s="112"/>
      <c r="AR313" s="112"/>
      <c r="AS313" s="112"/>
      <c r="AT313" s="112"/>
      <c r="AU313" s="112"/>
      <c r="AV313" s="112"/>
      <c r="AW313" s="112"/>
      <c r="AY313" s="112"/>
      <c r="AZ313" s="112"/>
      <c r="BA313" s="112"/>
      <c r="BB313" s="112"/>
      <c r="BC313" s="112"/>
      <c r="BD313" s="112"/>
      <c r="BE313" s="112"/>
      <c r="BF313" s="112"/>
      <c r="BG313" s="112"/>
      <c r="BI313" s="112"/>
      <c r="BJ313" s="112"/>
      <c r="BK313" s="112"/>
      <c r="BL313" s="112"/>
    </row>
    <row r="314" spans="17:64" x14ac:dyDescent="0.25">
      <c r="Q314" s="112"/>
      <c r="R314" s="112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112"/>
      <c r="AI314" s="112"/>
      <c r="AJ314" s="112"/>
      <c r="AN314" s="112"/>
      <c r="AO314" s="112"/>
      <c r="AP314" s="112"/>
      <c r="AQ314" s="112"/>
      <c r="AR314" s="112"/>
      <c r="AS314" s="112"/>
      <c r="AT314" s="112"/>
      <c r="AU314" s="112"/>
      <c r="AV314" s="112"/>
      <c r="AW314" s="112"/>
      <c r="AY314" s="112"/>
      <c r="AZ314" s="112"/>
      <c r="BA314" s="112"/>
      <c r="BB314" s="112"/>
      <c r="BC314" s="112"/>
      <c r="BD314" s="112"/>
      <c r="BE314" s="112"/>
      <c r="BF314" s="112"/>
      <c r="BG314" s="112"/>
      <c r="BI314" s="112"/>
      <c r="BJ314" s="112"/>
      <c r="BK314" s="112"/>
      <c r="BL314" s="112"/>
    </row>
    <row r="315" spans="17:64" x14ac:dyDescent="0.25">
      <c r="Q315" s="112"/>
      <c r="R315" s="112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112"/>
      <c r="AI315" s="112"/>
      <c r="AJ315" s="112"/>
      <c r="AN315" s="112"/>
      <c r="AO315" s="112"/>
      <c r="AP315" s="112"/>
      <c r="AQ315" s="112"/>
      <c r="AR315" s="112"/>
      <c r="AS315" s="112"/>
      <c r="AT315" s="112"/>
      <c r="AU315" s="112"/>
      <c r="AV315" s="112"/>
      <c r="AW315" s="112"/>
      <c r="AY315" s="112"/>
      <c r="AZ315" s="112"/>
      <c r="BA315" s="112"/>
      <c r="BB315" s="112"/>
      <c r="BC315" s="112"/>
      <c r="BD315" s="112"/>
      <c r="BE315" s="112"/>
      <c r="BF315" s="112"/>
      <c r="BG315" s="112"/>
      <c r="BI315" s="112"/>
      <c r="BJ315" s="112"/>
      <c r="BK315" s="112"/>
      <c r="BL315" s="112"/>
    </row>
    <row r="316" spans="17:64" x14ac:dyDescent="0.25">
      <c r="Q316" s="112"/>
      <c r="R316" s="112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112"/>
      <c r="AI316" s="112"/>
      <c r="AJ316" s="112"/>
      <c r="AN316" s="112"/>
      <c r="AO316" s="112"/>
      <c r="AP316" s="112"/>
      <c r="AQ316" s="112"/>
      <c r="AR316" s="112"/>
      <c r="AS316" s="112"/>
      <c r="AT316" s="112"/>
      <c r="AU316" s="112"/>
      <c r="AV316" s="112"/>
      <c r="AW316" s="112"/>
      <c r="AY316" s="112"/>
      <c r="AZ316" s="112"/>
      <c r="BA316" s="112"/>
      <c r="BB316" s="112"/>
      <c r="BC316" s="112"/>
      <c r="BD316" s="112"/>
      <c r="BE316" s="112"/>
      <c r="BF316" s="112"/>
      <c r="BG316" s="112"/>
      <c r="BI316" s="112"/>
      <c r="BJ316" s="112"/>
      <c r="BK316" s="112"/>
      <c r="BL316" s="112"/>
    </row>
    <row r="317" spans="17:64" x14ac:dyDescent="0.25">
      <c r="Q317" s="112"/>
      <c r="R317" s="112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112"/>
      <c r="AI317" s="112"/>
      <c r="AJ317" s="112"/>
      <c r="AN317" s="112"/>
      <c r="AO317" s="112"/>
      <c r="AP317" s="112"/>
      <c r="AQ317" s="112"/>
      <c r="AR317" s="112"/>
      <c r="AS317" s="112"/>
      <c r="AT317" s="112"/>
      <c r="AU317" s="112"/>
      <c r="AV317" s="112"/>
      <c r="AW317" s="112"/>
      <c r="AY317" s="112"/>
      <c r="AZ317" s="112"/>
      <c r="BA317" s="112"/>
      <c r="BB317" s="112"/>
      <c r="BC317" s="112"/>
      <c r="BD317" s="112"/>
      <c r="BE317" s="112"/>
      <c r="BF317" s="112"/>
      <c r="BG317" s="112"/>
      <c r="BI317" s="112"/>
      <c r="BJ317" s="112"/>
      <c r="BK317" s="112"/>
      <c r="BL317" s="112"/>
    </row>
    <row r="318" spans="17:64" x14ac:dyDescent="0.25">
      <c r="Q318" s="112"/>
      <c r="R318" s="112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112"/>
      <c r="AI318" s="112"/>
      <c r="AJ318" s="112"/>
      <c r="AN318" s="112"/>
      <c r="AO318" s="112"/>
      <c r="AP318" s="112"/>
      <c r="AQ318" s="112"/>
      <c r="AR318" s="112"/>
      <c r="AS318" s="112"/>
      <c r="AT318" s="112"/>
      <c r="AU318" s="112"/>
      <c r="AV318" s="112"/>
      <c r="AW318" s="112"/>
      <c r="AY318" s="112"/>
      <c r="AZ318" s="112"/>
      <c r="BA318" s="112"/>
      <c r="BB318" s="112"/>
      <c r="BC318" s="112"/>
      <c r="BD318" s="112"/>
      <c r="BE318" s="112"/>
      <c r="BF318" s="112"/>
      <c r="BG318" s="112"/>
      <c r="BI318" s="112"/>
      <c r="BJ318" s="112"/>
      <c r="BK318" s="112"/>
      <c r="BL318" s="112"/>
    </row>
    <row r="319" spans="17:64" x14ac:dyDescent="0.25">
      <c r="Q319" s="112"/>
      <c r="R319" s="112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112"/>
      <c r="AI319" s="112"/>
      <c r="AJ319" s="112"/>
      <c r="AN319" s="112"/>
      <c r="AO319" s="112"/>
      <c r="AP319" s="112"/>
      <c r="AQ319" s="112"/>
      <c r="AR319" s="112"/>
      <c r="AS319" s="112"/>
      <c r="AT319" s="112"/>
      <c r="AU319" s="112"/>
      <c r="AV319" s="112"/>
      <c r="AW319" s="112"/>
      <c r="AY319" s="112"/>
      <c r="AZ319" s="112"/>
      <c r="BA319" s="112"/>
      <c r="BB319" s="112"/>
      <c r="BC319" s="112"/>
      <c r="BD319" s="112"/>
      <c r="BE319" s="112"/>
      <c r="BF319" s="112"/>
      <c r="BG319" s="112"/>
      <c r="BI319" s="112"/>
      <c r="BJ319" s="112"/>
      <c r="BK319" s="112"/>
      <c r="BL319" s="112"/>
    </row>
    <row r="320" spans="17:64" x14ac:dyDescent="0.25">
      <c r="Q320" s="112"/>
      <c r="R320" s="112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112"/>
      <c r="AI320" s="112"/>
      <c r="AJ320" s="112"/>
      <c r="AN320" s="112"/>
      <c r="AO320" s="112"/>
      <c r="AP320" s="112"/>
      <c r="AQ320" s="112"/>
      <c r="AR320" s="112"/>
      <c r="AS320" s="112"/>
      <c r="AT320" s="112"/>
      <c r="AU320" s="112"/>
      <c r="AV320" s="112"/>
      <c r="AW320" s="112"/>
      <c r="AY320" s="112"/>
      <c r="AZ320" s="112"/>
      <c r="BA320" s="112"/>
      <c r="BB320" s="112"/>
      <c r="BC320" s="112"/>
      <c r="BD320" s="112"/>
      <c r="BE320" s="112"/>
      <c r="BF320" s="112"/>
      <c r="BG320" s="112"/>
      <c r="BI320" s="112"/>
      <c r="BJ320" s="112"/>
      <c r="BK320" s="112"/>
      <c r="BL320" s="112"/>
    </row>
    <row r="321" spans="17:64" x14ac:dyDescent="0.25">
      <c r="Q321" s="112"/>
      <c r="R321" s="112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112"/>
      <c r="AI321" s="112"/>
      <c r="AJ321" s="112"/>
      <c r="AN321" s="112"/>
      <c r="AO321" s="112"/>
      <c r="AP321" s="112"/>
      <c r="AQ321" s="112"/>
      <c r="AR321" s="112"/>
      <c r="AS321" s="112"/>
      <c r="AT321" s="112"/>
      <c r="AU321" s="112"/>
      <c r="AV321" s="112"/>
      <c r="AW321" s="112"/>
      <c r="AY321" s="112"/>
      <c r="AZ321" s="112"/>
      <c r="BA321" s="112"/>
      <c r="BB321" s="112"/>
      <c r="BC321" s="112"/>
      <c r="BD321" s="112"/>
      <c r="BE321" s="112"/>
      <c r="BF321" s="112"/>
      <c r="BG321" s="112"/>
      <c r="BI321" s="112"/>
      <c r="BJ321" s="112"/>
      <c r="BK321" s="112"/>
      <c r="BL321" s="112"/>
    </row>
    <row r="322" spans="17:64" x14ac:dyDescent="0.25">
      <c r="Q322" s="112"/>
      <c r="R322" s="112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112"/>
      <c r="AI322" s="112"/>
      <c r="AJ322" s="112"/>
      <c r="AN322" s="112"/>
      <c r="AO322" s="112"/>
      <c r="AP322" s="112"/>
      <c r="AQ322" s="112"/>
      <c r="AR322" s="112"/>
      <c r="AS322" s="112"/>
      <c r="AT322" s="112"/>
      <c r="AU322" s="112"/>
      <c r="AV322" s="112"/>
      <c r="AW322" s="112"/>
      <c r="AY322" s="112"/>
      <c r="AZ322" s="112"/>
      <c r="BA322" s="112"/>
      <c r="BB322" s="112"/>
      <c r="BC322" s="112"/>
      <c r="BD322" s="112"/>
      <c r="BE322" s="112"/>
      <c r="BF322" s="112"/>
      <c r="BG322" s="112"/>
      <c r="BI322" s="112"/>
      <c r="BJ322" s="112"/>
      <c r="BK322" s="112"/>
      <c r="BL322" s="112"/>
    </row>
    <row r="323" spans="17:64" x14ac:dyDescent="0.25">
      <c r="Q323" s="112"/>
      <c r="R323" s="112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112"/>
      <c r="AI323" s="112"/>
      <c r="AJ323" s="112"/>
      <c r="AN323" s="112"/>
      <c r="AO323" s="112"/>
      <c r="AP323" s="112"/>
      <c r="AQ323" s="112"/>
      <c r="AR323" s="112"/>
      <c r="AS323" s="112"/>
      <c r="AT323" s="112"/>
      <c r="AU323" s="112"/>
      <c r="AV323" s="112"/>
      <c r="AW323" s="112"/>
      <c r="AY323" s="112"/>
      <c r="AZ323" s="112"/>
      <c r="BA323" s="112"/>
      <c r="BB323" s="112"/>
      <c r="BC323" s="112"/>
      <c r="BD323" s="112"/>
      <c r="BE323" s="112"/>
      <c r="BF323" s="112"/>
      <c r="BG323" s="112"/>
      <c r="BI323" s="112"/>
      <c r="BJ323" s="112"/>
      <c r="BK323" s="112"/>
      <c r="BL323" s="112"/>
    </row>
    <row r="324" spans="17:64" x14ac:dyDescent="0.25">
      <c r="Q324" s="112"/>
      <c r="R324" s="112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112"/>
      <c r="AI324" s="112"/>
      <c r="AJ324" s="112"/>
      <c r="AN324" s="112"/>
      <c r="AO324" s="112"/>
      <c r="AP324" s="112"/>
      <c r="AQ324" s="112"/>
      <c r="AR324" s="112"/>
      <c r="AS324" s="112"/>
      <c r="AT324" s="112"/>
      <c r="AU324" s="112"/>
      <c r="AV324" s="112"/>
      <c r="AW324" s="112"/>
      <c r="AY324" s="112"/>
      <c r="AZ324" s="112"/>
      <c r="BA324" s="112"/>
      <c r="BB324" s="112"/>
      <c r="BC324" s="112"/>
      <c r="BD324" s="112"/>
      <c r="BE324" s="112"/>
      <c r="BF324" s="112"/>
      <c r="BG324" s="112"/>
      <c r="BI324" s="112"/>
      <c r="BJ324" s="112"/>
      <c r="BK324" s="112"/>
      <c r="BL324" s="112"/>
    </row>
    <row r="325" spans="17:64" x14ac:dyDescent="0.25">
      <c r="Q325" s="112"/>
      <c r="R325" s="112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112"/>
      <c r="AI325" s="112"/>
      <c r="AJ325" s="112"/>
      <c r="AN325" s="112"/>
      <c r="AO325" s="112"/>
      <c r="AP325" s="112"/>
      <c r="AQ325" s="112"/>
      <c r="AR325" s="112"/>
      <c r="AS325" s="112"/>
      <c r="AT325" s="112"/>
      <c r="AU325" s="112"/>
      <c r="AV325" s="112"/>
      <c r="AW325" s="112"/>
      <c r="AY325" s="112"/>
      <c r="AZ325" s="112"/>
      <c r="BA325" s="112"/>
      <c r="BB325" s="112"/>
      <c r="BC325" s="112"/>
      <c r="BD325" s="112"/>
      <c r="BE325" s="112"/>
      <c r="BF325" s="112"/>
      <c r="BG325" s="112"/>
      <c r="BI325" s="112"/>
      <c r="BJ325" s="112"/>
      <c r="BK325" s="112"/>
      <c r="BL325" s="112"/>
    </row>
    <row r="326" spans="17:64" x14ac:dyDescent="0.25"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112"/>
      <c r="AI326" s="112"/>
      <c r="AJ326" s="112"/>
      <c r="AN326" s="112"/>
      <c r="AO326" s="112"/>
      <c r="AP326" s="112"/>
      <c r="AQ326" s="112"/>
      <c r="AR326" s="112"/>
      <c r="AS326" s="112"/>
      <c r="AT326" s="112"/>
      <c r="AU326" s="112"/>
      <c r="AV326" s="112"/>
      <c r="AW326" s="112"/>
      <c r="AY326" s="112"/>
      <c r="AZ326" s="112"/>
      <c r="BA326" s="112"/>
      <c r="BB326" s="112"/>
      <c r="BC326" s="112"/>
      <c r="BD326" s="112"/>
      <c r="BE326" s="112"/>
      <c r="BF326" s="112"/>
      <c r="BG326" s="112"/>
      <c r="BI326" s="112"/>
      <c r="BJ326" s="112"/>
      <c r="BK326" s="112"/>
      <c r="BL326" s="112"/>
    </row>
    <row r="327" spans="17:64" x14ac:dyDescent="0.25"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112"/>
      <c r="AI327" s="112"/>
      <c r="AJ327" s="112"/>
      <c r="AN327" s="112"/>
      <c r="AO327" s="112"/>
      <c r="AP327" s="112"/>
      <c r="AQ327" s="112"/>
      <c r="AR327" s="112"/>
      <c r="AS327" s="112"/>
      <c r="AT327" s="112"/>
      <c r="AU327" s="112"/>
      <c r="AV327" s="112"/>
      <c r="AW327" s="112"/>
      <c r="AY327" s="112"/>
      <c r="AZ327" s="112"/>
      <c r="BA327" s="112"/>
      <c r="BB327" s="112"/>
      <c r="BC327" s="112"/>
      <c r="BD327" s="112"/>
      <c r="BE327" s="112"/>
      <c r="BF327" s="112"/>
      <c r="BG327" s="112"/>
      <c r="BI327" s="112"/>
      <c r="BJ327" s="112"/>
      <c r="BK327" s="112"/>
      <c r="BL327" s="112"/>
    </row>
    <row r="328" spans="17:64" x14ac:dyDescent="0.25">
      <c r="Q328" s="112"/>
      <c r="R328" s="112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112"/>
      <c r="AI328" s="112"/>
      <c r="AJ328" s="112"/>
      <c r="AN328" s="112"/>
      <c r="AO328" s="112"/>
      <c r="AP328" s="112"/>
      <c r="AQ328" s="112"/>
      <c r="AR328" s="112"/>
      <c r="AS328" s="112"/>
      <c r="AT328" s="112"/>
      <c r="AU328" s="112"/>
      <c r="AV328" s="112"/>
      <c r="AW328" s="112"/>
      <c r="AY328" s="112"/>
      <c r="AZ328" s="112"/>
      <c r="BA328" s="112"/>
      <c r="BB328" s="112"/>
      <c r="BC328" s="112"/>
      <c r="BD328" s="112"/>
      <c r="BE328" s="112"/>
      <c r="BF328" s="112"/>
      <c r="BG328" s="112"/>
      <c r="BI328" s="112"/>
      <c r="BJ328" s="112"/>
      <c r="BK328" s="112"/>
      <c r="BL328" s="112"/>
    </row>
    <row r="329" spans="17:64" x14ac:dyDescent="0.25"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112"/>
      <c r="AI329" s="112"/>
      <c r="AJ329" s="112"/>
      <c r="AN329" s="112"/>
      <c r="AO329" s="112"/>
      <c r="AP329" s="112"/>
      <c r="AQ329" s="112"/>
      <c r="AR329" s="112"/>
      <c r="AS329" s="112"/>
      <c r="AT329" s="112"/>
      <c r="AU329" s="112"/>
      <c r="AV329" s="112"/>
      <c r="AW329" s="112"/>
      <c r="AY329" s="112"/>
      <c r="AZ329" s="112"/>
      <c r="BA329" s="112"/>
      <c r="BB329" s="112"/>
      <c r="BC329" s="112"/>
      <c r="BD329" s="112"/>
      <c r="BE329" s="112"/>
      <c r="BF329" s="112"/>
      <c r="BG329" s="112"/>
      <c r="BI329" s="112"/>
      <c r="BJ329" s="112"/>
      <c r="BK329" s="112"/>
      <c r="BL329" s="112"/>
    </row>
    <row r="330" spans="17:64" x14ac:dyDescent="0.25"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112"/>
      <c r="AI330" s="112"/>
      <c r="AJ330" s="112"/>
      <c r="AN330" s="112"/>
      <c r="AO330" s="112"/>
      <c r="AP330" s="112"/>
      <c r="AQ330" s="112"/>
      <c r="AR330" s="112"/>
      <c r="AS330" s="112"/>
      <c r="AT330" s="112"/>
      <c r="AU330" s="112"/>
      <c r="AV330" s="112"/>
      <c r="AW330" s="112"/>
      <c r="AY330" s="112"/>
      <c r="AZ330" s="112"/>
      <c r="BA330" s="112"/>
      <c r="BB330" s="112"/>
      <c r="BC330" s="112"/>
      <c r="BD330" s="112"/>
      <c r="BE330" s="112"/>
      <c r="BF330" s="112"/>
      <c r="BG330" s="112"/>
      <c r="BI330" s="112"/>
      <c r="BJ330" s="112"/>
      <c r="BK330" s="112"/>
      <c r="BL330" s="112"/>
    </row>
    <row r="331" spans="17:64" x14ac:dyDescent="0.25"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112"/>
      <c r="AI331" s="112"/>
      <c r="AJ331" s="112"/>
      <c r="AN331" s="112"/>
      <c r="AO331" s="112"/>
      <c r="AP331" s="112"/>
      <c r="AQ331" s="112"/>
      <c r="AR331" s="112"/>
      <c r="AS331" s="112"/>
      <c r="AT331" s="112"/>
      <c r="AU331" s="112"/>
      <c r="AV331" s="112"/>
      <c r="AW331" s="112"/>
      <c r="AY331" s="112"/>
      <c r="AZ331" s="112"/>
      <c r="BA331" s="112"/>
      <c r="BB331" s="112"/>
      <c r="BC331" s="112"/>
      <c r="BD331" s="112"/>
      <c r="BE331" s="112"/>
      <c r="BF331" s="112"/>
      <c r="BG331" s="112"/>
      <c r="BI331" s="112"/>
      <c r="BJ331" s="112"/>
      <c r="BK331" s="112"/>
      <c r="BL331" s="112"/>
    </row>
    <row r="332" spans="17:64" x14ac:dyDescent="0.25"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112"/>
      <c r="AJ332" s="112"/>
      <c r="AN332" s="112"/>
      <c r="AO332" s="112"/>
      <c r="AP332" s="112"/>
      <c r="AQ332" s="112"/>
      <c r="AR332" s="112"/>
      <c r="AS332" s="112"/>
      <c r="AT332" s="112"/>
      <c r="AU332" s="112"/>
      <c r="AV332" s="112"/>
      <c r="AW332" s="112"/>
      <c r="AY332" s="112"/>
      <c r="AZ332" s="112"/>
      <c r="BA332" s="112"/>
      <c r="BB332" s="112"/>
      <c r="BC332" s="112"/>
      <c r="BD332" s="112"/>
      <c r="BE332" s="112"/>
      <c r="BF332" s="112"/>
      <c r="BG332" s="112"/>
      <c r="BI332" s="112"/>
      <c r="BJ332" s="112"/>
      <c r="BK332" s="112"/>
      <c r="BL332" s="112"/>
    </row>
    <row r="333" spans="17:64" x14ac:dyDescent="0.25"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112"/>
      <c r="AJ333" s="112"/>
      <c r="AN333" s="112"/>
      <c r="AO333" s="112"/>
      <c r="AP333" s="112"/>
      <c r="AQ333" s="112"/>
      <c r="AR333" s="112"/>
      <c r="AS333" s="112"/>
      <c r="AT333" s="112"/>
      <c r="AU333" s="112"/>
      <c r="AV333" s="112"/>
      <c r="AW333" s="112"/>
      <c r="AY333" s="112"/>
      <c r="AZ333" s="112"/>
      <c r="BA333" s="112"/>
      <c r="BB333" s="112"/>
      <c r="BC333" s="112"/>
      <c r="BD333" s="112"/>
      <c r="BE333" s="112"/>
      <c r="BF333" s="112"/>
      <c r="BG333" s="112"/>
      <c r="BI333" s="112"/>
      <c r="BJ333" s="112"/>
      <c r="BK333" s="112"/>
      <c r="BL333" s="112"/>
    </row>
    <row r="334" spans="17:64" x14ac:dyDescent="0.25"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112"/>
      <c r="AI334" s="112"/>
      <c r="AJ334" s="112"/>
      <c r="AN334" s="112"/>
      <c r="AO334" s="112"/>
      <c r="AP334" s="112"/>
      <c r="AQ334" s="112"/>
      <c r="AR334" s="112"/>
      <c r="AS334" s="112"/>
      <c r="AT334" s="112"/>
      <c r="AU334" s="112"/>
      <c r="AV334" s="112"/>
      <c r="AW334" s="112"/>
      <c r="AY334" s="112"/>
      <c r="AZ334" s="112"/>
      <c r="BA334" s="112"/>
      <c r="BB334" s="112"/>
      <c r="BC334" s="112"/>
      <c r="BD334" s="112"/>
      <c r="BE334" s="112"/>
      <c r="BF334" s="112"/>
      <c r="BG334" s="112"/>
      <c r="BI334" s="112"/>
      <c r="BJ334" s="112"/>
      <c r="BK334" s="112"/>
      <c r="BL334" s="112"/>
    </row>
    <row r="335" spans="17:64" x14ac:dyDescent="0.25">
      <c r="Q335" s="112"/>
      <c r="R335" s="112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112"/>
      <c r="AI335" s="112"/>
      <c r="AJ335" s="112"/>
      <c r="AN335" s="112"/>
      <c r="AO335" s="112"/>
      <c r="AP335" s="112"/>
      <c r="AQ335" s="112"/>
      <c r="AR335" s="112"/>
      <c r="AS335" s="112"/>
      <c r="AT335" s="112"/>
      <c r="AU335" s="112"/>
      <c r="AV335" s="112"/>
      <c r="AW335" s="112"/>
      <c r="AY335" s="112"/>
      <c r="AZ335" s="112"/>
      <c r="BA335" s="112"/>
      <c r="BB335" s="112"/>
      <c r="BC335" s="112"/>
      <c r="BD335" s="112"/>
      <c r="BE335" s="112"/>
      <c r="BF335" s="112"/>
      <c r="BG335" s="112"/>
      <c r="BI335" s="112"/>
      <c r="BJ335" s="112"/>
      <c r="BK335" s="112"/>
      <c r="BL335" s="112"/>
    </row>
    <row r="336" spans="17:64" x14ac:dyDescent="0.25">
      <c r="Q336" s="112"/>
      <c r="R336" s="112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112"/>
      <c r="AI336" s="112"/>
      <c r="AJ336" s="112"/>
      <c r="AN336" s="112"/>
      <c r="AO336" s="112"/>
      <c r="AP336" s="112"/>
      <c r="AQ336" s="112"/>
      <c r="AR336" s="112"/>
      <c r="AS336" s="112"/>
      <c r="AT336" s="112"/>
      <c r="AU336" s="112"/>
      <c r="AV336" s="112"/>
      <c r="AW336" s="112"/>
      <c r="AY336" s="112"/>
      <c r="AZ336" s="112"/>
      <c r="BA336" s="112"/>
      <c r="BB336" s="112"/>
      <c r="BC336" s="112"/>
      <c r="BD336" s="112"/>
      <c r="BE336" s="112"/>
      <c r="BF336" s="112"/>
      <c r="BG336" s="112"/>
      <c r="BI336" s="112"/>
      <c r="BJ336" s="112"/>
      <c r="BK336" s="112"/>
      <c r="BL336" s="112"/>
    </row>
    <row r="337" spans="17:64" x14ac:dyDescent="0.25">
      <c r="Q337" s="112"/>
      <c r="R337" s="112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112"/>
      <c r="AI337" s="112"/>
      <c r="AJ337" s="112"/>
      <c r="AN337" s="112"/>
      <c r="AO337" s="112"/>
      <c r="AP337" s="112"/>
      <c r="AQ337" s="112"/>
      <c r="AR337" s="112"/>
      <c r="AS337" s="112"/>
      <c r="AT337" s="112"/>
      <c r="AU337" s="112"/>
      <c r="AV337" s="112"/>
      <c r="AW337" s="112"/>
      <c r="AY337" s="112"/>
      <c r="AZ337" s="112"/>
      <c r="BA337" s="112"/>
      <c r="BB337" s="112"/>
      <c r="BC337" s="112"/>
      <c r="BD337" s="112"/>
      <c r="BE337" s="112"/>
      <c r="BF337" s="112"/>
      <c r="BG337" s="112"/>
      <c r="BI337" s="112"/>
      <c r="BJ337" s="112"/>
      <c r="BK337" s="112"/>
      <c r="BL337" s="112"/>
    </row>
    <row r="338" spans="17:64" x14ac:dyDescent="0.25">
      <c r="Q338" s="112"/>
      <c r="R338" s="112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I338" s="112"/>
      <c r="AJ338" s="112"/>
      <c r="AN338" s="112"/>
      <c r="AO338" s="112"/>
      <c r="AP338" s="112"/>
      <c r="AQ338" s="112"/>
      <c r="AR338" s="112"/>
      <c r="AS338" s="112"/>
      <c r="AT338" s="112"/>
      <c r="AU338" s="112"/>
      <c r="AV338" s="112"/>
      <c r="AW338" s="112"/>
      <c r="AY338" s="112"/>
      <c r="AZ338" s="112"/>
      <c r="BA338" s="112"/>
      <c r="BB338" s="112"/>
      <c r="BC338" s="112"/>
      <c r="BD338" s="112"/>
      <c r="BE338" s="112"/>
      <c r="BF338" s="112"/>
      <c r="BG338" s="112"/>
      <c r="BI338" s="112"/>
      <c r="BJ338" s="112"/>
      <c r="BK338" s="112"/>
      <c r="BL338" s="112"/>
    </row>
    <row r="339" spans="17:64" x14ac:dyDescent="0.25">
      <c r="Q339" s="112"/>
      <c r="R339" s="112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I339" s="112"/>
      <c r="AJ339" s="112"/>
      <c r="AN339" s="112"/>
      <c r="AO339" s="112"/>
      <c r="AP339" s="112"/>
      <c r="AQ339" s="112"/>
      <c r="AR339" s="112"/>
      <c r="AS339" s="112"/>
      <c r="AT339" s="112"/>
      <c r="AU339" s="112"/>
      <c r="AV339" s="112"/>
      <c r="AW339" s="112"/>
      <c r="AY339" s="112"/>
      <c r="AZ339" s="112"/>
      <c r="BA339" s="112"/>
      <c r="BB339" s="112"/>
      <c r="BC339" s="112"/>
      <c r="BD339" s="112"/>
      <c r="BE339" s="112"/>
      <c r="BF339" s="112"/>
      <c r="BG339" s="112"/>
      <c r="BI339" s="112"/>
      <c r="BJ339" s="112"/>
      <c r="BK339" s="112"/>
      <c r="BL339" s="112"/>
    </row>
    <row r="340" spans="17:64" x14ac:dyDescent="0.25">
      <c r="Q340" s="112"/>
      <c r="R340" s="112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112"/>
      <c r="AI340" s="112"/>
      <c r="AJ340" s="112"/>
      <c r="AN340" s="112"/>
      <c r="AO340" s="112"/>
      <c r="AP340" s="112"/>
      <c r="AQ340" s="112"/>
      <c r="AR340" s="112"/>
      <c r="AS340" s="112"/>
      <c r="AT340" s="112"/>
      <c r="AU340" s="112"/>
      <c r="AV340" s="112"/>
      <c r="AW340" s="112"/>
      <c r="AY340" s="112"/>
      <c r="AZ340" s="112"/>
      <c r="BA340" s="112"/>
      <c r="BB340" s="112"/>
      <c r="BC340" s="112"/>
      <c r="BD340" s="112"/>
      <c r="BE340" s="112"/>
      <c r="BF340" s="112"/>
      <c r="BG340" s="112"/>
      <c r="BI340" s="112"/>
      <c r="BJ340" s="112"/>
      <c r="BK340" s="112"/>
      <c r="BL340" s="112"/>
    </row>
    <row r="341" spans="17:64" x14ac:dyDescent="0.25">
      <c r="Q341" s="112"/>
      <c r="R341" s="112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112"/>
      <c r="AI341" s="112"/>
      <c r="AJ341" s="112"/>
      <c r="AN341" s="112"/>
      <c r="AO341" s="112"/>
      <c r="AP341" s="112"/>
      <c r="AQ341" s="112"/>
      <c r="AR341" s="112"/>
      <c r="AS341" s="112"/>
      <c r="AT341" s="112"/>
      <c r="AU341" s="112"/>
      <c r="AV341" s="112"/>
      <c r="AW341" s="112"/>
      <c r="AY341" s="112"/>
      <c r="AZ341" s="112"/>
      <c r="BA341" s="112"/>
      <c r="BB341" s="112"/>
      <c r="BC341" s="112"/>
      <c r="BD341" s="112"/>
      <c r="BE341" s="112"/>
      <c r="BF341" s="112"/>
      <c r="BG341" s="112"/>
      <c r="BI341" s="112"/>
      <c r="BJ341" s="112"/>
      <c r="BK341" s="112"/>
      <c r="BL341" s="112"/>
    </row>
    <row r="342" spans="17:64" x14ac:dyDescent="0.25">
      <c r="Q342" s="112"/>
      <c r="R342" s="112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112"/>
      <c r="AI342" s="112"/>
      <c r="AJ342" s="112"/>
      <c r="AN342" s="112"/>
      <c r="AO342" s="112"/>
      <c r="AP342" s="112"/>
      <c r="AQ342" s="112"/>
      <c r="AR342" s="112"/>
      <c r="AS342" s="112"/>
      <c r="AT342" s="112"/>
      <c r="AU342" s="112"/>
      <c r="AV342" s="112"/>
      <c r="AW342" s="112"/>
      <c r="AY342" s="112"/>
      <c r="AZ342" s="112"/>
      <c r="BA342" s="112"/>
      <c r="BB342" s="112"/>
      <c r="BC342" s="112"/>
      <c r="BD342" s="112"/>
      <c r="BE342" s="112"/>
      <c r="BF342" s="112"/>
      <c r="BG342" s="112"/>
      <c r="BI342" s="112"/>
      <c r="BJ342" s="112"/>
      <c r="BK342" s="112"/>
      <c r="BL342" s="112"/>
    </row>
    <row r="343" spans="17:64" x14ac:dyDescent="0.25"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112"/>
      <c r="AI343" s="112"/>
      <c r="AJ343" s="112"/>
      <c r="AN343" s="112"/>
      <c r="AO343" s="112"/>
      <c r="AP343" s="112"/>
      <c r="AQ343" s="112"/>
      <c r="AR343" s="112"/>
      <c r="AS343" s="112"/>
      <c r="AT343" s="112"/>
      <c r="AU343" s="112"/>
      <c r="AV343" s="112"/>
      <c r="AW343" s="112"/>
      <c r="AY343" s="112"/>
      <c r="AZ343" s="112"/>
      <c r="BA343" s="112"/>
      <c r="BB343" s="112"/>
      <c r="BC343" s="112"/>
      <c r="BD343" s="112"/>
      <c r="BE343" s="112"/>
      <c r="BF343" s="112"/>
      <c r="BG343" s="112"/>
      <c r="BI343" s="112"/>
      <c r="BJ343" s="112"/>
      <c r="BK343" s="112"/>
      <c r="BL343" s="112"/>
    </row>
    <row r="344" spans="17:64" x14ac:dyDescent="0.25">
      <c r="Q344" s="112"/>
      <c r="R344" s="112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112"/>
      <c r="AI344" s="112"/>
      <c r="AJ344" s="112"/>
      <c r="AN344" s="112"/>
      <c r="AO344" s="112"/>
      <c r="AP344" s="112"/>
      <c r="AQ344" s="112"/>
      <c r="AR344" s="112"/>
      <c r="AS344" s="112"/>
      <c r="AT344" s="112"/>
      <c r="AU344" s="112"/>
      <c r="AV344" s="112"/>
      <c r="AW344" s="112"/>
      <c r="AY344" s="112"/>
      <c r="AZ344" s="112"/>
      <c r="BA344" s="112"/>
      <c r="BB344" s="112"/>
      <c r="BC344" s="112"/>
      <c r="BD344" s="112"/>
      <c r="BE344" s="112"/>
      <c r="BF344" s="112"/>
      <c r="BG344" s="112"/>
      <c r="BI344" s="112"/>
      <c r="BJ344" s="112"/>
      <c r="BK344" s="112"/>
      <c r="BL344" s="112"/>
    </row>
    <row r="345" spans="17:64" x14ac:dyDescent="0.25">
      <c r="Q345" s="112"/>
      <c r="R345" s="112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112"/>
      <c r="AI345" s="112"/>
      <c r="AJ345" s="112"/>
      <c r="AN345" s="112"/>
      <c r="AO345" s="112"/>
      <c r="AP345" s="112"/>
      <c r="AQ345" s="112"/>
      <c r="AR345" s="112"/>
      <c r="AS345" s="112"/>
      <c r="AT345" s="112"/>
      <c r="AU345" s="112"/>
      <c r="AV345" s="112"/>
      <c r="AW345" s="112"/>
      <c r="AY345" s="112"/>
      <c r="AZ345" s="112"/>
      <c r="BA345" s="112"/>
      <c r="BB345" s="112"/>
      <c r="BC345" s="112"/>
      <c r="BD345" s="112"/>
      <c r="BE345" s="112"/>
      <c r="BF345" s="112"/>
      <c r="BG345" s="112"/>
      <c r="BI345" s="112"/>
      <c r="BJ345" s="112"/>
      <c r="BK345" s="112"/>
      <c r="BL345" s="112"/>
    </row>
    <row r="346" spans="17:64" x14ac:dyDescent="0.25"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112"/>
      <c r="AI346" s="112"/>
      <c r="AJ346" s="112"/>
      <c r="AN346" s="112"/>
      <c r="AO346" s="112"/>
      <c r="AP346" s="112"/>
      <c r="AQ346" s="112"/>
      <c r="AR346" s="112"/>
      <c r="AS346" s="112"/>
      <c r="AT346" s="112"/>
      <c r="AU346" s="112"/>
      <c r="AV346" s="112"/>
      <c r="AW346" s="112"/>
      <c r="AY346" s="112"/>
      <c r="AZ346" s="112"/>
      <c r="BA346" s="112"/>
      <c r="BB346" s="112"/>
      <c r="BC346" s="112"/>
      <c r="BD346" s="112"/>
      <c r="BE346" s="112"/>
      <c r="BF346" s="112"/>
      <c r="BG346" s="112"/>
      <c r="BI346" s="112"/>
      <c r="BJ346" s="112"/>
      <c r="BK346" s="112"/>
      <c r="BL346" s="112"/>
    </row>
    <row r="347" spans="17:64" x14ac:dyDescent="0.25">
      <c r="Q347" s="112"/>
      <c r="R347" s="112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112"/>
      <c r="AI347" s="112"/>
      <c r="AJ347" s="112"/>
      <c r="AN347" s="112"/>
      <c r="AO347" s="112"/>
      <c r="AP347" s="112"/>
      <c r="AQ347" s="112"/>
      <c r="AR347" s="112"/>
      <c r="AS347" s="112"/>
      <c r="AT347" s="112"/>
      <c r="AU347" s="112"/>
      <c r="AV347" s="112"/>
      <c r="AW347" s="112"/>
      <c r="AY347" s="112"/>
      <c r="AZ347" s="112"/>
      <c r="BA347" s="112"/>
      <c r="BB347" s="112"/>
      <c r="BC347" s="112"/>
      <c r="BD347" s="112"/>
      <c r="BE347" s="112"/>
      <c r="BF347" s="112"/>
      <c r="BG347" s="112"/>
      <c r="BI347" s="112"/>
      <c r="BJ347" s="112"/>
      <c r="BK347" s="112"/>
      <c r="BL347" s="112"/>
    </row>
    <row r="348" spans="17:64" x14ac:dyDescent="0.25">
      <c r="Q348" s="112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112"/>
      <c r="AI348" s="112"/>
      <c r="AJ348" s="112"/>
      <c r="AN348" s="112"/>
      <c r="AO348" s="112"/>
      <c r="AP348" s="112"/>
      <c r="AQ348" s="112"/>
      <c r="AR348" s="112"/>
      <c r="AS348" s="112"/>
      <c r="AT348" s="112"/>
      <c r="AU348" s="112"/>
      <c r="AV348" s="112"/>
      <c r="AW348" s="112"/>
      <c r="AY348" s="112"/>
      <c r="AZ348" s="112"/>
      <c r="BA348" s="112"/>
      <c r="BB348" s="112"/>
      <c r="BC348" s="112"/>
      <c r="BD348" s="112"/>
      <c r="BE348" s="112"/>
      <c r="BF348" s="112"/>
      <c r="BG348" s="112"/>
      <c r="BI348" s="112"/>
      <c r="BJ348" s="112"/>
      <c r="BK348" s="112"/>
      <c r="BL348" s="112"/>
    </row>
    <row r="349" spans="17:64" x14ac:dyDescent="0.25"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112"/>
      <c r="AI349" s="112"/>
      <c r="AJ349" s="112"/>
      <c r="AN349" s="112"/>
      <c r="AO349" s="112"/>
      <c r="AP349" s="112"/>
      <c r="AQ349" s="112"/>
      <c r="AR349" s="112"/>
      <c r="AS349" s="112"/>
      <c r="AT349" s="112"/>
      <c r="AU349" s="112"/>
      <c r="AV349" s="112"/>
      <c r="AW349" s="112"/>
      <c r="AY349" s="112"/>
      <c r="AZ349" s="112"/>
      <c r="BA349" s="112"/>
      <c r="BB349" s="112"/>
      <c r="BC349" s="112"/>
      <c r="BD349" s="112"/>
      <c r="BE349" s="112"/>
      <c r="BF349" s="112"/>
      <c r="BG349" s="112"/>
      <c r="BI349" s="112"/>
      <c r="BJ349" s="112"/>
      <c r="BK349" s="112"/>
      <c r="BL349" s="112"/>
    </row>
    <row r="350" spans="17:64" x14ac:dyDescent="0.25"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112"/>
      <c r="AI350" s="112"/>
      <c r="AJ350" s="112"/>
      <c r="AN350" s="112"/>
      <c r="AO350" s="112"/>
      <c r="AP350" s="112"/>
      <c r="AQ350" s="112"/>
      <c r="AR350" s="112"/>
      <c r="AS350" s="112"/>
      <c r="AT350" s="112"/>
      <c r="AU350" s="112"/>
      <c r="AV350" s="112"/>
      <c r="AW350" s="112"/>
      <c r="AY350" s="112"/>
      <c r="AZ350" s="112"/>
      <c r="BA350" s="112"/>
      <c r="BB350" s="112"/>
      <c r="BC350" s="112"/>
      <c r="BD350" s="112"/>
      <c r="BE350" s="112"/>
      <c r="BF350" s="112"/>
      <c r="BG350" s="112"/>
      <c r="BI350" s="112"/>
      <c r="BJ350" s="112"/>
      <c r="BK350" s="112"/>
      <c r="BL350" s="112"/>
    </row>
    <row r="351" spans="17:64" x14ac:dyDescent="0.25"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112"/>
      <c r="AI351" s="112"/>
      <c r="AJ351" s="112"/>
      <c r="AN351" s="112"/>
      <c r="AO351" s="112"/>
      <c r="AP351" s="112"/>
      <c r="AQ351" s="112"/>
      <c r="AR351" s="112"/>
      <c r="AS351" s="112"/>
      <c r="AT351" s="112"/>
      <c r="AU351" s="112"/>
      <c r="AV351" s="112"/>
      <c r="AW351" s="112"/>
      <c r="AY351" s="112"/>
      <c r="AZ351" s="112"/>
      <c r="BA351" s="112"/>
      <c r="BB351" s="112"/>
      <c r="BC351" s="112"/>
      <c r="BD351" s="112"/>
      <c r="BE351" s="112"/>
      <c r="BF351" s="112"/>
      <c r="BG351" s="112"/>
      <c r="BI351" s="112"/>
      <c r="BJ351" s="112"/>
      <c r="BK351" s="112"/>
      <c r="BL351" s="112"/>
    </row>
    <row r="352" spans="17:64" x14ac:dyDescent="0.25"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112"/>
      <c r="AI352" s="112"/>
      <c r="AJ352" s="112"/>
      <c r="AN352" s="112"/>
      <c r="AO352" s="112"/>
      <c r="AP352" s="112"/>
      <c r="AQ352" s="112"/>
      <c r="AR352" s="112"/>
      <c r="AS352" s="112"/>
      <c r="AT352" s="112"/>
      <c r="AU352" s="112"/>
      <c r="AV352" s="112"/>
      <c r="AW352" s="112"/>
      <c r="AY352" s="112"/>
      <c r="AZ352" s="112"/>
      <c r="BA352" s="112"/>
      <c r="BB352" s="112"/>
      <c r="BC352" s="112"/>
      <c r="BD352" s="112"/>
      <c r="BE352" s="112"/>
      <c r="BF352" s="112"/>
      <c r="BG352" s="112"/>
      <c r="BI352" s="112"/>
      <c r="BJ352" s="112"/>
      <c r="BK352" s="112"/>
      <c r="BL352" s="112"/>
    </row>
    <row r="353" spans="17:64" x14ac:dyDescent="0.25"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112"/>
      <c r="AI353" s="112"/>
      <c r="AJ353" s="112"/>
      <c r="AN353" s="112"/>
      <c r="AO353" s="112"/>
      <c r="AP353" s="112"/>
      <c r="AQ353" s="112"/>
      <c r="AR353" s="112"/>
      <c r="AS353" s="112"/>
      <c r="AT353" s="112"/>
      <c r="AU353" s="112"/>
      <c r="AV353" s="112"/>
      <c r="AW353" s="112"/>
      <c r="AY353" s="112"/>
      <c r="AZ353" s="112"/>
      <c r="BA353" s="112"/>
      <c r="BB353" s="112"/>
      <c r="BC353" s="112"/>
      <c r="BD353" s="112"/>
      <c r="BE353" s="112"/>
      <c r="BF353" s="112"/>
      <c r="BG353" s="112"/>
      <c r="BI353" s="112"/>
      <c r="BJ353" s="112"/>
      <c r="BK353" s="112"/>
      <c r="BL353" s="112"/>
    </row>
    <row r="354" spans="17:64" x14ac:dyDescent="0.25">
      <c r="Q354" s="112"/>
      <c r="R354" s="112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112"/>
      <c r="AI354" s="112"/>
      <c r="AJ354" s="112"/>
      <c r="AN354" s="112"/>
      <c r="AO354" s="112"/>
      <c r="AP354" s="112"/>
      <c r="AQ354" s="112"/>
      <c r="AR354" s="112"/>
      <c r="AS354" s="112"/>
      <c r="AT354" s="112"/>
      <c r="AU354" s="112"/>
      <c r="AV354" s="112"/>
      <c r="AW354" s="112"/>
      <c r="AY354" s="112"/>
      <c r="AZ354" s="112"/>
      <c r="BA354" s="112"/>
      <c r="BB354" s="112"/>
      <c r="BC354" s="112"/>
      <c r="BD354" s="112"/>
      <c r="BE354" s="112"/>
      <c r="BF354" s="112"/>
      <c r="BG354" s="112"/>
      <c r="BI354" s="112"/>
      <c r="BJ354" s="112"/>
      <c r="BK354" s="112"/>
      <c r="BL354" s="112"/>
    </row>
    <row r="355" spans="17:64" x14ac:dyDescent="0.25">
      <c r="Q355" s="112"/>
      <c r="R355" s="112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112"/>
      <c r="AI355" s="112"/>
      <c r="AJ355" s="112"/>
      <c r="AN355" s="112"/>
      <c r="AO355" s="112"/>
      <c r="AP355" s="112"/>
      <c r="AQ355" s="112"/>
      <c r="AR355" s="112"/>
      <c r="AS355" s="112"/>
      <c r="AT355" s="112"/>
      <c r="AU355" s="112"/>
      <c r="AV355" s="112"/>
      <c r="AW355" s="112"/>
      <c r="AY355" s="112"/>
      <c r="AZ355" s="112"/>
      <c r="BA355" s="112"/>
      <c r="BB355" s="112"/>
      <c r="BC355" s="112"/>
      <c r="BD355" s="112"/>
      <c r="BE355" s="112"/>
      <c r="BF355" s="112"/>
      <c r="BG355" s="112"/>
      <c r="BI355" s="112"/>
      <c r="BJ355" s="112"/>
      <c r="BK355" s="112"/>
      <c r="BL355" s="112"/>
    </row>
    <row r="356" spans="17:64" x14ac:dyDescent="0.25">
      <c r="Q356" s="112"/>
      <c r="R356" s="112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112"/>
      <c r="AI356" s="112"/>
      <c r="AJ356" s="112"/>
      <c r="AN356" s="112"/>
      <c r="AO356" s="112"/>
      <c r="AP356" s="112"/>
      <c r="AQ356" s="112"/>
      <c r="AR356" s="112"/>
      <c r="AS356" s="112"/>
      <c r="AT356" s="112"/>
      <c r="AU356" s="112"/>
      <c r="AV356" s="112"/>
      <c r="AW356" s="112"/>
      <c r="AY356" s="112"/>
      <c r="AZ356" s="112"/>
      <c r="BA356" s="112"/>
      <c r="BB356" s="112"/>
      <c r="BC356" s="112"/>
      <c r="BD356" s="112"/>
      <c r="BE356" s="112"/>
      <c r="BF356" s="112"/>
      <c r="BG356" s="112"/>
      <c r="BI356" s="112"/>
      <c r="BJ356" s="112"/>
      <c r="BK356" s="112"/>
      <c r="BL356" s="112"/>
    </row>
    <row r="357" spans="17:64" x14ac:dyDescent="0.25">
      <c r="Q357" s="112"/>
      <c r="R357" s="112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112"/>
      <c r="AI357" s="112"/>
      <c r="AJ357" s="112"/>
      <c r="AN357" s="112"/>
      <c r="AO357" s="112"/>
      <c r="AP357" s="112"/>
      <c r="AQ357" s="112"/>
      <c r="AR357" s="112"/>
      <c r="AS357" s="112"/>
      <c r="AT357" s="112"/>
      <c r="AU357" s="112"/>
      <c r="AV357" s="112"/>
      <c r="AW357" s="112"/>
      <c r="AY357" s="112"/>
      <c r="AZ357" s="112"/>
      <c r="BA357" s="112"/>
      <c r="BB357" s="112"/>
      <c r="BC357" s="112"/>
      <c r="BD357" s="112"/>
      <c r="BE357" s="112"/>
      <c r="BF357" s="112"/>
      <c r="BG357" s="112"/>
      <c r="BI357" s="112"/>
      <c r="BJ357" s="112"/>
      <c r="BK357" s="112"/>
      <c r="BL357" s="112"/>
    </row>
    <row r="358" spans="17:64" x14ac:dyDescent="0.25">
      <c r="Q358" s="112"/>
      <c r="R358" s="112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112"/>
      <c r="AI358" s="112"/>
      <c r="AJ358" s="112"/>
      <c r="AN358" s="112"/>
      <c r="AO358" s="112"/>
      <c r="AP358" s="112"/>
      <c r="AQ358" s="112"/>
      <c r="AR358" s="112"/>
      <c r="AS358" s="112"/>
      <c r="AT358" s="112"/>
      <c r="AU358" s="112"/>
      <c r="AV358" s="112"/>
      <c r="AW358" s="112"/>
      <c r="AY358" s="112"/>
      <c r="AZ358" s="112"/>
      <c r="BA358" s="112"/>
      <c r="BB358" s="112"/>
      <c r="BC358" s="112"/>
      <c r="BD358" s="112"/>
      <c r="BE358" s="112"/>
      <c r="BF358" s="112"/>
      <c r="BG358" s="112"/>
      <c r="BI358" s="112"/>
      <c r="BJ358" s="112"/>
      <c r="BK358" s="112"/>
      <c r="BL358" s="112"/>
    </row>
    <row r="359" spans="17:64" x14ac:dyDescent="0.25">
      <c r="Q359" s="112"/>
      <c r="R359" s="112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112"/>
      <c r="AI359" s="112"/>
      <c r="AJ359" s="112"/>
      <c r="AN359" s="112"/>
      <c r="AO359" s="112"/>
      <c r="AP359" s="112"/>
      <c r="AQ359" s="112"/>
      <c r="AR359" s="112"/>
      <c r="AS359" s="112"/>
      <c r="AT359" s="112"/>
      <c r="AU359" s="112"/>
      <c r="AV359" s="112"/>
      <c r="AW359" s="112"/>
      <c r="AY359" s="112"/>
      <c r="AZ359" s="112"/>
      <c r="BA359" s="112"/>
      <c r="BB359" s="112"/>
      <c r="BC359" s="112"/>
      <c r="BD359" s="112"/>
      <c r="BE359" s="112"/>
      <c r="BF359" s="112"/>
      <c r="BG359" s="112"/>
      <c r="BI359" s="112"/>
      <c r="BJ359" s="112"/>
      <c r="BK359" s="112"/>
      <c r="BL359" s="112"/>
    </row>
    <row r="360" spans="17:64" x14ac:dyDescent="0.25">
      <c r="Q360" s="112"/>
      <c r="R360" s="112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112"/>
      <c r="AI360" s="112"/>
      <c r="AJ360" s="112"/>
      <c r="AN360" s="112"/>
      <c r="AO360" s="112"/>
      <c r="AP360" s="112"/>
      <c r="AQ360" s="112"/>
      <c r="AR360" s="112"/>
      <c r="AS360" s="112"/>
      <c r="AT360" s="112"/>
      <c r="AU360" s="112"/>
      <c r="AV360" s="112"/>
      <c r="AW360" s="112"/>
      <c r="AY360" s="112"/>
      <c r="AZ360" s="112"/>
      <c r="BA360" s="112"/>
      <c r="BB360" s="112"/>
      <c r="BC360" s="112"/>
      <c r="BD360" s="112"/>
      <c r="BE360" s="112"/>
      <c r="BF360" s="112"/>
      <c r="BG360" s="112"/>
      <c r="BI360" s="112"/>
      <c r="BJ360" s="112"/>
      <c r="BK360" s="112"/>
      <c r="BL360" s="112"/>
    </row>
    <row r="361" spans="17:64" x14ac:dyDescent="0.25">
      <c r="Q361" s="112"/>
      <c r="R361" s="112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112"/>
      <c r="AI361" s="112"/>
      <c r="AJ361" s="112"/>
      <c r="AN361" s="112"/>
      <c r="AO361" s="112"/>
      <c r="AP361" s="112"/>
      <c r="AQ361" s="112"/>
      <c r="AR361" s="112"/>
      <c r="AS361" s="112"/>
      <c r="AT361" s="112"/>
      <c r="AU361" s="112"/>
      <c r="AV361" s="112"/>
      <c r="AW361" s="112"/>
      <c r="AY361" s="112"/>
      <c r="AZ361" s="112"/>
      <c r="BA361" s="112"/>
      <c r="BB361" s="112"/>
      <c r="BC361" s="112"/>
      <c r="BD361" s="112"/>
      <c r="BE361" s="112"/>
      <c r="BF361" s="112"/>
      <c r="BG361" s="112"/>
      <c r="BI361" s="112"/>
      <c r="BJ361" s="112"/>
      <c r="BK361" s="112"/>
      <c r="BL361" s="112"/>
    </row>
    <row r="362" spans="17:64" x14ac:dyDescent="0.25">
      <c r="Q362" s="112"/>
      <c r="R362" s="112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112"/>
      <c r="AI362" s="112"/>
      <c r="AJ362" s="112"/>
      <c r="AN362" s="112"/>
      <c r="AO362" s="112"/>
      <c r="AP362" s="112"/>
      <c r="AQ362" s="112"/>
      <c r="AR362" s="112"/>
      <c r="AS362" s="112"/>
      <c r="AT362" s="112"/>
      <c r="AU362" s="112"/>
      <c r="AV362" s="112"/>
      <c r="AW362" s="112"/>
      <c r="AY362" s="112"/>
      <c r="AZ362" s="112"/>
      <c r="BA362" s="112"/>
      <c r="BB362" s="112"/>
      <c r="BC362" s="112"/>
      <c r="BD362" s="112"/>
      <c r="BE362" s="112"/>
      <c r="BF362" s="112"/>
      <c r="BG362" s="112"/>
      <c r="BI362" s="112"/>
      <c r="BJ362" s="112"/>
      <c r="BK362" s="112"/>
      <c r="BL362" s="112"/>
    </row>
    <row r="363" spans="17:64" x14ac:dyDescent="0.25">
      <c r="Q363" s="112"/>
      <c r="R363" s="112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112"/>
      <c r="AI363" s="112"/>
      <c r="AJ363" s="112"/>
      <c r="AN363" s="112"/>
      <c r="AO363" s="112"/>
      <c r="AP363" s="112"/>
      <c r="AQ363" s="112"/>
      <c r="AR363" s="112"/>
      <c r="AS363" s="112"/>
      <c r="AT363" s="112"/>
      <c r="AU363" s="112"/>
      <c r="AV363" s="112"/>
      <c r="AW363" s="112"/>
      <c r="AY363" s="112"/>
      <c r="AZ363" s="112"/>
      <c r="BA363" s="112"/>
      <c r="BB363" s="112"/>
      <c r="BC363" s="112"/>
      <c r="BD363" s="112"/>
      <c r="BE363" s="112"/>
      <c r="BF363" s="112"/>
      <c r="BG363" s="112"/>
      <c r="BI363" s="112"/>
      <c r="BJ363" s="112"/>
      <c r="BK363" s="112"/>
      <c r="BL363" s="112"/>
    </row>
    <row r="364" spans="17:64" x14ac:dyDescent="0.25">
      <c r="Q364" s="112"/>
      <c r="R364" s="112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112"/>
      <c r="AI364" s="112"/>
      <c r="AJ364" s="112"/>
      <c r="AN364" s="112"/>
      <c r="AO364" s="112"/>
      <c r="AP364" s="112"/>
      <c r="AQ364" s="112"/>
      <c r="AR364" s="112"/>
      <c r="AS364" s="112"/>
      <c r="AT364" s="112"/>
      <c r="AU364" s="112"/>
      <c r="AV364" s="112"/>
      <c r="AW364" s="112"/>
      <c r="AY364" s="112"/>
      <c r="AZ364" s="112"/>
      <c r="BA364" s="112"/>
      <c r="BB364" s="112"/>
      <c r="BC364" s="112"/>
      <c r="BD364" s="112"/>
      <c r="BE364" s="112"/>
      <c r="BF364" s="112"/>
      <c r="BG364" s="112"/>
      <c r="BI364" s="112"/>
      <c r="BJ364" s="112"/>
      <c r="BK364" s="112"/>
      <c r="BL364" s="112"/>
    </row>
    <row r="365" spans="17:64" x14ac:dyDescent="0.25"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112"/>
      <c r="AI365" s="112"/>
      <c r="AJ365" s="112"/>
      <c r="AN365" s="112"/>
      <c r="AO365" s="112"/>
      <c r="AP365" s="112"/>
      <c r="AQ365" s="112"/>
      <c r="AR365" s="112"/>
      <c r="AS365" s="112"/>
      <c r="AT365" s="112"/>
      <c r="AU365" s="112"/>
      <c r="AV365" s="112"/>
      <c r="AW365" s="112"/>
      <c r="AY365" s="112"/>
      <c r="AZ365" s="112"/>
      <c r="BA365" s="112"/>
      <c r="BB365" s="112"/>
      <c r="BC365" s="112"/>
      <c r="BD365" s="112"/>
      <c r="BE365" s="112"/>
      <c r="BF365" s="112"/>
      <c r="BG365" s="112"/>
      <c r="BI365" s="112"/>
      <c r="BJ365" s="112"/>
      <c r="BK365" s="112"/>
      <c r="BL365" s="112"/>
    </row>
    <row r="366" spans="17:64" x14ac:dyDescent="0.25">
      <c r="Q366" s="112"/>
      <c r="R366" s="112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112"/>
      <c r="AI366" s="112"/>
      <c r="AJ366" s="112"/>
      <c r="AN366" s="112"/>
      <c r="AO366" s="112"/>
      <c r="AP366" s="112"/>
      <c r="AQ366" s="112"/>
      <c r="AR366" s="112"/>
      <c r="AS366" s="112"/>
      <c r="AT366" s="112"/>
      <c r="AU366" s="112"/>
      <c r="AV366" s="112"/>
      <c r="AW366" s="112"/>
      <c r="AY366" s="112"/>
      <c r="AZ366" s="112"/>
      <c r="BA366" s="112"/>
      <c r="BB366" s="112"/>
      <c r="BC366" s="112"/>
      <c r="BD366" s="112"/>
      <c r="BE366" s="112"/>
      <c r="BF366" s="112"/>
      <c r="BG366" s="112"/>
      <c r="BI366" s="112"/>
      <c r="BJ366" s="112"/>
      <c r="BK366" s="112"/>
      <c r="BL366" s="112"/>
    </row>
    <row r="367" spans="17:64" x14ac:dyDescent="0.25">
      <c r="Q367" s="112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112"/>
      <c r="AI367" s="112"/>
      <c r="AJ367" s="112"/>
      <c r="AN367" s="112"/>
      <c r="AO367" s="112"/>
      <c r="AP367" s="112"/>
      <c r="AQ367" s="112"/>
      <c r="AR367" s="112"/>
      <c r="AS367" s="112"/>
      <c r="AT367" s="112"/>
      <c r="AU367" s="112"/>
      <c r="AV367" s="112"/>
      <c r="AW367" s="112"/>
      <c r="AY367" s="112"/>
      <c r="AZ367" s="112"/>
      <c r="BA367" s="112"/>
      <c r="BB367" s="112"/>
      <c r="BC367" s="112"/>
      <c r="BD367" s="112"/>
      <c r="BE367" s="112"/>
      <c r="BF367" s="112"/>
      <c r="BG367" s="112"/>
      <c r="BI367" s="112"/>
      <c r="BJ367" s="112"/>
      <c r="BK367" s="112"/>
      <c r="BL367" s="112"/>
    </row>
    <row r="368" spans="17:64" x14ac:dyDescent="0.25"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112"/>
      <c r="AI368" s="112"/>
      <c r="AJ368" s="112"/>
      <c r="AN368" s="112"/>
      <c r="AO368" s="112"/>
      <c r="AP368" s="112"/>
      <c r="AQ368" s="112"/>
      <c r="AR368" s="112"/>
      <c r="AS368" s="112"/>
      <c r="AT368" s="112"/>
      <c r="AU368" s="112"/>
      <c r="AV368" s="112"/>
      <c r="AW368" s="112"/>
      <c r="AY368" s="112"/>
      <c r="AZ368" s="112"/>
      <c r="BA368" s="112"/>
      <c r="BB368" s="112"/>
      <c r="BC368" s="112"/>
      <c r="BD368" s="112"/>
      <c r="BE368" s="112"/>
      <c r="BF368" s="112"/>
      <c r="BG368" s="112"/>
      <c r="BI368" s="112"/>
      <c r="BJ368" s="112"/>
      <c r="BK368" s="112"/>
      <c r="BL368" s="112"/>
    </row>
    <row r="369" spans="17:64" x14ac:dyDescent="0.25"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112"/>
      <c r="AI369" s="112"/>
      <c r="AJ369" s="112"/>
      <c r="AN369" s="112"/>
      <c r="AO369" s="112"/>
      <c r="AP369" s="112"/>
      <c r="AQ369" s="112"/>
      <c r="AR369" s="112"/>
      <c r="AS369" s="112"/>
      <c r="AT369" s="112"/>
      <c r="AU369" s="112"/>
      <c r="AV369" s="112"/>
      <c r="AW369" s="112"/>
      <c r="AY369" s="112"/>
      <c r="AZ369" s="112"/>
      <c r="BA369" s="112"/>
      <c r="BB369" s="112"/>
      <c r="BC369" s="112"/>
      <c r="BD369" s="112"/>
      <c r="BE369" s="112"/>
      <c r="BF369" s="112"/>
      <c r="BG369" s="112"/>
      <c r="BI369" s="112"/>
      <c r="BJ369" s="112"/>
      <c r="BK369" s="112"/>
      <c r="BL369" s="112"/>
    </row>
    <row r="370" spans="17:64" x14ac:dyDescent="0.25"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112"/>
      <c r="AI370" s="112"/>
      <c r="AJ370" s="112"/>
      <c r="AN370" s="112"/>
      <c r="AO370" s="112"/>
      <c r="AP370" s="112"/>
      <c r="AQ370" s="112"/>
      <c r="AR370" s="112"/>
      <c r="AS370" s="112"/>
      <c r="AT370" s="112"/>
      <c r="AU370" s="112"/>
      <c r="AV370" s="112"/>
      <c r="AW370" s="112"/>
      <c r="AY370" s="112"/>
      <c r="AZ370" s="112"/>
      <c r="BA370" s="112"/>
      <c r="BB370" s="112"/>
      <c r="BC370" s="112"/>
      <c r="BD370" s="112"/>
      <c r="BE370" s="112"/>
      <c r="BF370" s="112"/>
      <c r="BG370" s="112"/>
      <c r="BI370" s="112"/>
      <c r="BJ370" s="112"/>
      <c r="BK370" s="112"/>
      <c r="BL370" s="112"/>
    </row>
    <row r="371" spans="17:64" x14ac:dyDescent="0.25"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112"/>
      <c r="AI371" s="112"/>
      <c r="AJ371" s="112"/>
      <c r="AN371" s="112"/>
      <c r="AO371" s="112"/>
      <c r="AP371" s="112"/>
      <c r="AQ371" s="112"/>
      <c r="AR371" s="112"/>
      <c r="AS371" s="112"/>
      <c r="AT371" s="112"/>
      <c r="AU371" s="112"/>
      <c r="AV371" s="112"/>
      <c r="AW371" s="112"/>
      <c r="AY371" s="112"/>
      <c r="AZ371" s="112"/>
      <c r="BA371" s="112"/>
      <c r="BB371" s="112"/>
      <c r="BC371" s="112"/>
      <c r="BD371" s="112"/>
      <c r="BE371" s="112"/>
      <c r="BF371" s="112"/>
      <c r="BG371" s="112"/>
      <c r="BI371" s="112"/>
      <c r="BJ371" s="112"/>
      <c r="BK371" s="112"/>
      <c r="BL371" s="112"/>
    </row>
    <row r="372" spans="17:64" x14ac:dyDescent="0.25"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112"/>
      <c r="AI372" s="112"/>
      <c r="AJ372" s="112"/>
      <c r="AN372" s="112"/>
      <c r="AO372" s="112"/>
      <c r="AP372" s="112"/>
      <c r="AQ372" s="112"/>
      <c r="AR372" s="112"/>
      <c r="AS372" s="112"/>
      <c r="AT372" s="112"/>
      <c r="AU372" s="112"/>
      <c r="AV372" s="112"/>
      <c r="AW372" s="112"/>
      <c r="AY372" s="112"/>
      <c r="AZ372" s="112"/>
      <c r="BA372" s="112"/>
      <c r="BB372" s="112"/>
      <c r="BC372" s="112"/>
      <c r="BD372" s="112"/>
      <c r="BE372" s="112"/>
      <c r="BF372" s="112"/>
      <c r="BG372" s="112"/>
      <c r="BI372" s="112"/>
      <c r="BJ372" s="112"/>
      <c r="BK372" s="112"/>
      <c r="BL372" s="112"/>
    </row>
    <row r="373" spans="17:64" x14ac:dyDescent="0.25">
      <c r="Q373" s="112"/>
      <c r="R373" s="112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112"/>
      <c r="AI373" s="112"/>
      <c r="AJ373" s="112"/>
      <c r="AN373" s="112"/>
      <c r="AO373" s="112"/>
      <c r="AP373" s="112"/>
      <c r="AQ373" s="112"/>
      <c r="AR373" s="112"/>
      <c r="AS373" s="112"/>
      <c r="AT373" s="112"/>
      <c r="AU373" s="112"/>
      <c r="AV373" s="112"/>
      <c r="AW373" s="112"/>
      <c r="AY373" s="112"/>
      <c r="AZ373" s="112"/>
      <c r="BA373" s="112"/>
      <c r="BB373" s="112"/>
      <c r="BC373" s="112"/>
      <c r="BD373" s="112"/>
      <c r="BE373" s="112"/>
      <c r="BF373" s="112"/>
      <c r="BG373" s="112"/>
      <c r="BI373" s="112"/>
      <c r="BJ373" s="112"/>
      <c r="BK373" s="112"/>
      <c r="BL373" s="112"/>
    </row>
    <row r="374" spans="17:64" x14ac:dyDescent="0.25">
      <c r="Q374" s="112"/>
      <c r="R374" s="112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112"/>
      <c r="AI374" s="112"/>
      <c r="AJ374" s="112"/>
      <c r="AN374" s="112"/>
      <c r="AO374" s="112"/>
      <c r="AP374" s="112"/>
      <c r="AQ374" s="112"/>
      <c r="AR374" s="112"/>
      <c r="AS374" s="112"/>
      <c r="AT374" s="112"/>
      <c r="AU374" s="112"/>
      <c r="AV374" s="112"/>
      <c r="AW374" s="112"/>
      <c r="AY374" s="112"/>
      <c r="AZ374" s="112"/>
      <c r="BA374" s="112"/>
      <c r="BB374" s="112"/>
      <c r="BC374" s="112"/>
      <c r="BD374" s="112"/>
      <c r="BE374" s="112"/>
      <c r="BF374" s="112"/>
      <c r="BG374" s="112"/>
      <c r="BI374" s="112"/>
      <c r="BJ374" s="112"/>
      <c r="BK374" s="112"/>
      <c r="BL374" s="112"/>
    </row>
    <row r="375" spans="17:64" x14ac:dyDescent="0.25">
      <c r="Q375" s="112"/>
      <c r="R375" s="112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112"/>
      <c r="AI375" s="112"/>
      <c r="AJ375" s="112"/>
      <c r="AN375" s="112"/>
      <c r="AO375" s="112"/>
      <c r="AP375" s="112"/>
      <c r="AQ375" s="112"/>
      <c r="AR375" s="112"/>
      <c r="AS375" s="112"/>
      <c r="AT375" s="112"/>
      <c r="AU375" s="112"/>
      <c r="AV375" s="112"/>
      <c r="AW375" s="112"/>
      <c r="AY375" s="112"/>
      <c r="AZ375" s="112"/>
      <c r="BA375" s="112"/>
      <c r="BB375" s="112"/>
      <c r="BC375" s="112"/>
      <c r="BD375" s="112"/>
      <c r="BE375" s="112"/>
      <c r="BF375" s="112"/>
      <c r="BG375" s="112"/>
      <c r="BI375" s="112"/>
      <c r="BJ375" s="112"/>
      <c r="BK375" s="112"/>
      <c r="BL375" s="112"/>
    </row>
    <row r="376" spans="17:64" x14ac:dyDescent="0.25">
      <c r="Q376" s="112"/>
      <c r="R376" s="112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112"/>
      <c r="AI376" s="112"/>
      <c r="AJ376" s="112"/>
      <c r="AN376" s="112"/>
      <c r="AO376" s="112"/>
      <c r="AP376" s="112"/>
      <c r="AQ376" s="112"/>
      <c r="AR376" s="112"/>
      <c r="AS376" s="112"/>
      <c r="AT376" s="112"/>
      <c r="AU376" s="112"/>
      <c r="AV376" s="112"/>
      <c r="AW376" s="112"/>
      <c r="AY376" s="112"/>
      <c r="AZ376" s="112"/>
      <c r="BA376" s="112"/>
      <c r="BB376" s="112"/>
      <c r="BC376" s="112"/>
      <c r="BD376" s="112"/>
      <c r="BE376" s="112"/>
      <c r="BF376" s="112"/>
      <c r="BG376" s="112"/>
      <c r="BI376" s="112"/>
      <c r="BJ376" s="112"/>
      <c r="BK376" s="112"/>
      <c r="BL376" s="112"/>
    </row>
    <row r="377" spans="17:64" x14ac:dyDescent="0.25">
      <c r="Q377" s="112"/>
      <c r="R377" s="112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112"/>
      <c r="AI377" s="112"/>
      <c r="AJ377" s="112"/>
      <c r="AN377" s="112"/>
      <c r="AO377" s="112"/>
      <c r="AP377" s="112"/>
      <c r="AQ377" s="112"/>
      <c r="AR377" s="112"/>
      <c r="AS377" s="112"/>
      <c r="AT377" s="112"/>
      <c r="AU377" s="112"/>
      <c r="AV377" s="112"/>
      <c r="AW377" s="112"/>
      <c r="AY377" s="112"/>
      <c r="AZ377" s="112"/>
      <c r="BA377" s="112"/>
      <c r="BB377" s="112"/>
      <c r="BC377" s="112"/>
      <c r="BD377" s="112"/>
      <c r="BE377" s="112"/>
      <c r="BF377" s="112"/>
      <c r="BG377" s="112"/>
      <c r="BI377" s="112"/>
      <c r="BJ377" s="112"/>
      <c r="BK377" s="112"/>
      <c r="BL377" s="112"/>
    </row>
    <row r="378" spans="17:64" x14ac:dyDescent="0.25">
      <c r="Q378" s="112"/>
      <c r="R378" s="112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112"/>
      <c r="AI378" s="112"/>
      <c r="AJ378" s="112"/>
      <c r="AN378" s="112"/>
      <c r="AO378" s="112"/>
      <c r="AP378" s="112"/>
      <c r="AQ378" s="112"/>
      <c r="AR378" s="112"/>
      <c r="AS378" s="112"/>
      <c r="AT378" s="112"/>
      <c r="AU378" s="112"/>
      <c r="AV378" s="112"/>
      <c r="AW378" s="112"/>
      <c r="AY378" s="112"/>
      <c r="AZ378" s="112"/>
      <c r="BA378" s="112"/>
      <c r="BB378" s="112"/>
      <c r="BC378" s="112"/>
      <c r="BD378" s="112"/>
      <c r="BE378" s="112"/>
      <c r="BF378" s="112"/>
      <c r="BG378" s="112"/>
      <c r="BI378" s="112"/>
      <c r="BJ378" s="112"/>
      <c r="BK378" s="112"/>
      <c r="BL378" s="112"/>
    </row>
    <row r="379" spans="17:64" x14ac:dyDescent="0.25">
      <c r="Q379" s="112"/>
      <c r="R379" s="112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112"/>
      <c r="AI379" s="112"/>
      <c r="AJ379" s="112"/>
      <c r="AN379" s="112"/>
      <c r="AO379" s="112"/>
      <c r="AP379" s="112"/>
      <c r="AQ379" s="112"/>
      <c r="AR379" s="112"/>
      <c r="AS379" s="112"/>
      <c r="AT379" s="112"/>
      <c r="AU379" s="112"/>
      <c r="AV379" s="112"/>
      <c r="AW379" s="112"/>
      <c r="AY379" s="112"/>
      <c r="AZ379" s="112"/>
      <c r="BA379" s="112"/>
      <c r="BB379" s="112"/>
      <c r="BC379" s="112"/>
      <c r="BD379" s="112"/>
      <c r="BE379" s="112"/>
      <c r="BF379" s="112"/>
      <c r="BG379" s="112"/>
      <c r="BI379" s="112"/>
      <c r="BJ379" s="112"/>
      <c r="BK379" s="112"/>
      <c r="BL379" s="112"/>
    </row>
    <row r="380" spans="17:64" x14ac:dyDescent="0.25">
      <c r="Q380" s="112"/>
      <c r="R380" s="112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112"/>
      <c r="AI380" s="112"/>
      <c r="AJ380" s="112"/>
      <c r="AN380" s="112"/>
      <c r="AO380" s="112"/>
      <c r="AP380" s="112"/>
      <c r="AQ380" s="112"/>
      <c r="AR380" s="112"/>
      <c r="AS380" s="112"/>
      <c r="AT380" s="112"/>
      <c r="AU380" s="112"/>
      <c r="AV380" s="112"/>
      <c r="AW380" s="112"/>
      <c r="AY380" s="112"/>
      <c r="AZ380" s="112"/>
      <c r="BA380" s="112"/>
      <c r="BB380" s="112"/>
      <c r="BC380" s="112"/>
      <c r="BD380" s="112"/>
      <c r="BE380" s="112"/>
      <c r="BF380" s="112"/>
      <c r="BG380" s="112"/>
      <c r="BI380" s="112"/>
      <c r="BJ380" s="112"/>
      <c r="BK380" s="112"/>
      <c r="BL380" s="112"/>
    </row>
    <row r="381" spans="17:64" x14ac:dyDescent="0.25">
      <c r="Q381" s="112"/>
      <c r="R381" s="112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112"/>
      <c r="AI381" s="112"/>
      <c r="AJ381" s="112"/>
      <c r="AN381" s="112"/>
      <c r="AO381" s="112"/>
      <c r="AP381" s="112"/>
      <c r="AQ381" s="112"/>
      <c r="AR381" s="112"/>
      <c r="AS381" s="112"/>
      <c r="AT381" s="112"/>
      <c r="AU381" s="112"/>
      <c r="AV381" s="112"/>
      <c r="AW381" s="112"/>
      <c r="AY381" s="112"/>
      <c r="AZ381" s="112"/>
      <c r="BA381" s="112"/>
      <c r="BB381" s="112"/>
      <c r="BC381" s="112"/>
      <c r="BD381" s="112"/>
      <c r="BE381" s="112"/>
      <c r="BF381" s="112"/>
      <c r="BG381" s="112"/>
      <c r="BI381" s="112"/>
      <c r="BJ381" s="112"/>
      <c r="BK381" s="112"/>
      <c r="BL381" s="112"/>
    </row>
    <row r="382" spans="17:64" x14ac:dyDescent="0.25">
      <c r="Q382" s="112"/>
      <c r="R382" s="112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112"/>
      <c r="AI382" s="112"/>
      <c r="AJ382" s="112"/>
      <c r="AN382" s="112"/>
      <c r="AO382" s="112"/>
      <c r="AP382" s="112"/>
      <c r="AQ382" s="112"/>
      <c r="AR382" s="112"/>
      <c r="AS382" s="112"/>
      <c r="AT382" s="112"/>
      <c r="AU382" s="112"/>
      <c r="AV382" s="112"/>
      <c r="AW382" s="112"/>
      <c r="AY382" s="112"/>
      <c r="AZ382" s="112"/>
      <c r="BA382" s="112"/>
      <c r="BB382" s="112"/>
      <c r="BC382" s="112"/>
      <c r="BD382" s="112"/>
      <c r="BE382" s="112"/>
      <c r="BF382" s="112"/>
      <c r="BG382" s="112"/>
      <c r="BI382" s="112"/>
      <c r="BJ382" s="112"/>
      <c r="BK382" s="112"/>
      <c r="BL382" s="112"/>
    </row>
    <row r="383" spans="17:64" x14ac:dyDescent="0.25"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112"/>
      <c r="AI383" s="112"/>
      <c r="AJ383" s="112"/>
      <c r="AN383" s="112"/>
      <c r="AO383" s="112"/>
      <c r="AP383" s="112"/>
      <c r="AQ383" s="112"/>
      <c r="AR383" s="112"/>
      <c r="AS383" s="112"/>
      <c r="AT383" s="112"/>
      <c r="AU383" s="112"/>
      <c r="AV383" s="112"/>
      <c r="AW383" s="112"/>
      <c r="AY383" s="112"/>
      <c r="AZ383" s="112"/>
      <c r="BA383" s="112"/>
      <c r="BB383" s="112"/>
      <c r="BC383" s="112"/>
      <c r="BD383" s="112"/>
      <c r="BE383" s="112"/>
      <c r="BF383" s="112"/>
      <c r="BG383" s="112"/>
      <c r="BI383" s="112"/>
      <c r="BJ383" s="112"/>
      <c r="BK383" s="112"/>
      <c r="BL383" s="112"/>
    </row>
    <row r="384" spans="17:64" x14ac:dyDescent="0.25">
      <c r="Q384" s="112"/>
      <c r="R384" s="112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112"/>
      <c r="AI384" s="112"/>
      <c r="AJ384" s="112"/>
      <c r="AN384" s="112"/>
      <c r="AO384" s="112"/>
      <c r="AP384" s="112"/>
      <c r="AQ384" s="112"/>
      <c r="AR384" s="112"/>
      <c r="AS384" s="112"/>
      <c r="AT384" s="112"/>
      <c r="AU384" s="112"/>
      <c r="AV384" s="112"/>
      <c r="AW384" s="112"/>
      <c r="AY384" s="112"/>
      <c r="AZ384" s="112"/>
      <c r="BA384" s="112"/>
      <c r="BB384" s="112"/>
      <c r="BC384" s="112"/>
      <c r="BD384" s="112"/>
      <c r="BE384" s="112"/>
      <c r="BF384" s="112"/>
      <c r="BG384" s="112"/>
      <c r="BI384" s="112"/>
      <c r="BJ384" s="112"/>
      <c r="BK384" s="112"/>
      <c r="BL384" s="112"/>
    </row>
    <row r="385" spans="17:64" x14ac:dyDescent="0.25">
      <c r="Q385" s="112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112"/>
      <c r="AI385" s="112"/>
      <c r="AJ385" s="112"/>
      <c r="AN385" s="112"/>
      <c r="AO385" s="112"/>
      <c r="AP385" s="112"/>
      <c r="AQ385" s="112"/>
      <c r="AR385" s="112"/>
      <c r="AS385" s="112"/>
      <c r="AT385" s="112"/>
      <c r="AU385" s="112"/>
      <c r="AV385" s="112"/>
      <c r="AW385" s="112"/>
      <c r="AY385" s="112"/>
      <c r="AZ385" s="112"/>
      <c r="BA385" s="112"/>
      <c r="BB385" s="112"/>
      <c r="BC385" s="112"/>
      <c r="BD385" s="112"/>
      <c r="BE385" s="112"/>
      <c r="BF385" s="112"/>
      <c r="BG385" s="112"/>
      <c r="BI385" s="112"/>
      <c r="BJ385" s="112"/>
      <c r="BK385" s="112"/>
      <c r="BL385" s="112"/>
    </row>
    <row r="386" spans="17:64" x14ac:dyDescent="0.25"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112"/>
      <c r="AI386" s="112"/>
      <c r="AJ386" s="112"/>
      <c r="AN386" s="112"/>
      <c r="AO386" s="112"/>
      <c r="AP386" s="112"/>
      <c r="AQ386" s="112"/>
      <c r="AR386" s="112"/>
      <c r="AS386" s="112"/>
      <c r="AT386" s="112"/>
      <c r="AU386" s="112"/>
      <c r="AV386" s="112"/>
      <c r="AW386" s="112"/>
      <c r="AY386" s="112"/>
      <c r="AZ386" s="112"/>
      <c r="BA386" s="112"/>
      <c r="BB386" s="112"/>
      <c r="BC386" s="112"/>
      <c r="BD386" s="112"/>
      <c r="BE386" s="112"/>
      <c r="BF386" s="112"/>
      <c r="BG386" s="112"/>
      <c r="BI386" s="112"/>
      <c r="BJ386" s="112"/>
      <c r="BK386" s="112"/>
      <c r="BL386" s="112"/>
    </row>
    <row r="387" spans="17:64" x14ac:dyDescent="0.25"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112"/>
      <c r="AI387" s="112"/>
      <c r="AJ387" s="112"/>
      <c r="AN387" s="112"/>
      <c r="AO387" s="112"/>
      <c r="AP387" s="112"/>
      <c r="AQ387" s="112"/>
      <c r="AR387" s="112"/>
      <c r="AS387" s="112"/>
      <c r="AT387" s="112"/>
      <c r="AU387" s="112"/>
      <c r="AV387" s="112"/>
      <c r="AW387" s="112"/>
      <c r="AY387" s="112"/>
      <c r="AZ387" s="112"/>
      <c r="BA387" s="112"/>
      <c r="BB387" s="112"/>
      <c r="BC387" s="112"/>
      <c r="BD387" s="112"/>
      <c r="BE387" s="112"/>
      <c r="BF387" s="112"/>
      <c r="BG387" s="112"/>
      <c r="BI387" s="112"/>
      <c r="BJ387" s="112"/>
      <c r="BK387" s="112"/>
      <c r="BL387" s="112"/>
    </row>
    <row r="388" spans="17:64" x14ac:dyDescent="0.25"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112"/>
      <c r="AI388" s="112"/>
      <c r="AJ388" s="112"/>
      <c r="AN388" s="112"/>
      <c r="AO388" s="112"/>
      <c r="AP388" s="112"/>
      <c r="AQ388" s="112"/>
      <c r="AR388" s="112"/>
      <c r="AS388" s="112"/>
      <c r="AT388" s="112"/>
      <c r="AU388" s="112"/>
      <c r="AV388" s="112"/>
      <c r="AW388" s="112"/>
      <c r="AY388" s="112"/>
      <c r="AZ388" s="112"/>
      <c r="BA388" s="112"/>
      <c r="BB388" s="112"/>
      <c r="BC388" s="112"/>
      <c r="BD388" s="112"/>
      <c r="BE388" s="112"/>
      <c r="BF388" s="112"/>
      <c r="BG388" s="112"/>
      <c r="BI388" s="112"/>
      <c r="BJ388" s="112"/>
      <c r="BK388" s="112"/>
      <c r="BL388" s="112"/>
    </row>
    <row r="389" spans="17:64" x14ac:dyDescent="0.25"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112"/>
      <c r="AI389" s="112"/>
      <c r="AJ389" s="112"/>
      <c r="AN389" s="112"/>
      <c r="AO389" s="112"/>
      <c r="AP389" s="112"/>
      <c r="AQ389" s="112"/>
      <c r="AR389" s="112"/>
      <c r="AS389" s="112"/>
      <c r="AT389" s="112"/>
      <c r="AU389" s="112"/>
      <c r="AV389" s="112"/>
      <c r="AW389" s="112"/>
      <c r="AY389" s="112"/>
      <c r="AZ389" s="112"/>
      <c r="BA389" s="112"/>
      <c r="BB389" s="112"/>
      <c r="BC389" s="112"/>
      <c r="BD389" s="112"/>
      <c r="BE389" s="112"/>
      <c r="BF389" s="112"/>
      <c r="BG389" s="112"/>
      <c r="BI389" s="112"/>
      <c r="BJ389" s="112"/>
      <c r="BK389" s="112"/>
      <c r="BL389" s="112"/>
    </row>
    <row r="390" spans="17:64" x14ac:dyDescent="0.25"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112"/>
      <c r="AI390" s="112"/>
      <c r="AJ390" s="112"/>
      <c r="AN390" s="112"/>
      <c r="AO390" s="112"/>
      <c r="AP390" s="112"/>
      <c r="AQ390" s="112"/>
      <c r="AR390" s="112"/>
      <c r="AS390" s="112"/>
      <c r="AT390" s="112"/>
      <c r="AU390" s="112"/>
      <c r="AV390" s="112"/>
      <c r="AW390" s="112"/>
      <c r="AY390" s="112"/>
      <c r="AZ390" s="112"/>
      <c r="BA390" s="112"/>
      <c r="BB390" s="112"/>
      <c r="BC390" s="112"/>
      <c r="BD390" s="112"/>
      <c r="BE390" s="112"/>
      <c r="BF390" s="112"/>
      <c r="BG390" s="112"/>
      <c r="BI390" s="112"/>
      <c r="BJ390" s="112"/>
      <c r="BK390" s="112"/>
      <c r="BL390" s="112"/>
    </row>
    <row r="391" spans="17:64" x14ac:dyDescent="0.25">
      <c r="Q391" s="112"/>
      <c r="R391" s="112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112"/>
      <c r="AI391" s="112"/>
      <c r="AJ391" s="112"/>
      <c r="AN391" s="112"/>
      <c r="AO391" s="112"/>
      <c r="AP391" s="112"/>
      <c r="AQ391" s="112"/>
      <c r="AR391" s="112"/>
      <c r="AS391" s="112"/>
      <c r="AT391" s="112"/>
      <c r="AU391" s="112"/>
      <c r="AV391" s="112"/>
      <c r="AW391" s="112"/>
      <c r="AY391" s="112"/>
      <c r="AZ391" s="112"/>
      <c r="BA391" s="112"/>
      <c r="BB391" s="112"/>
      <c r="BC391" s="112"/>
      <c r="BD391" s="112"/>
      <c r="BE391" s="112"/>
      <c r="BF391" s="112"/>
      <c r="BG391" s="112"/>
      <c r="BI391" s="112"/>
      <c r="BJ391" s="112"/>
      <c r="BK391" s="112"/>
      <c r="BL391" s="112"/>
    </row>
    <row r="392" spans="17:64" x14ac:dyDescent="0.25">
      <c r="Q392" s="112"/>
      <c r="R392" s="112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112"/>
      <c r="AI392" s="112"/>
      <c r="AJ392" s="112"/>
      <c r="AN392" s="112"/>
      <c r="AO392" s="112"/>
      <c r="AP392" s="112"/>
      <c r="AQ392" s="112"/>
      <c r="AR392" s="112"/>
      <c r="AS392" s="112"/>
      <c r="AT392" s="112"/>
      <c r="AU392" s="112"/>
      <c r="AV392" s="112"/>
      <c r="AW392" s="112"/>
      <c r="AY392" s="112"/>
      <c r="AZ392" s="112"/>
      <c r="BA392" s="112"/>
      <c r="BB392" s="112"/>
      <c r="BC392" s="112"/>
      <c r="BD392" s="112"/>
      <c r="BE392" s="112"/>
      <c r="BF392" s="112"/>
      <c r="BG392" s="112"/>
      <c r="BI392" s="112"/>
      <c r="BJ392" s="112"/>
      <c r="BK392" s="112"/>
      <c r="BL392" s="112"/>
    </row>
    <row r="393" spans="17:64" x14ac:dyDescent="0.25">
      <c r="Q393" s="112"/>
      <c r="R393" s="112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112"/>
      <c r="AI393" s="112"/>
      <c r="AJ393" s="112"/>
      <c r="AN393" s="112"/>
      <c r="AO393" s="112"/>
      <c r="AP393" s="112"/>
      <c r="AQ393" s="112"/>
      <c r="AR393" s="112"/>
      <c r="AS393" s="112"/>
      <c r="AT393" s="112"/>
      <c r="AU393" s="112"/>
      <c r="AV393" s="112"/>
      <c r="AW393" s="112"/>
      <c r="AY393" s="112"/>
      <c r="AZ393" s="112"/>
      <c r="BA393" s="112"/>
      <c r="BB393" s="112"/>
      <c r="BC393" s="112"/>
      <c r="BD393" s="112"/>
      <c r="BE393" s="112"/>
      <c r="BF393" s="112"/>
      <c r="BG393" s="112"/>
      <c r="BI393" s="112"/>
      <c r="BJ393" s="112"/>
      <c r="BK393" s="112"/>
      <c r="BL393" s="112"/>
    </row>
    <row r="394" spans="17:64" x14ac:dyDescent="0.25">
      <c r="Q394" s="112"/>
      <c r="R394" s="112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112"/>
      <c r="AI394" s="112"/>
      <c r="AJ394" s="112"/>
      <c r="AN394" s="112"/>
      <c r="AO394" s="112"/>
      <c r="AP394" s="112"/>
      <c r="AQ394" s="112"/>
      <c r="AR394" s="112"/>
      <c r="AS394" s="112"/>
      <c r="AT394" s="112"/>
      <c r="AU394" s="112"/>
      <c r="AV394" s="112"/>
      <c r="AW394" s="112"/>
      <c r="AY394" s="112"/>
      <c r="AZ394" s="112"/>
      <c r="BA394" s="112"/>
      <c r="BB394" s="112"/>
      <c r="BC394" s="112"/>
      <c r="BD394" s="112"/>
      <c r="BE394" s="112"/>
      <c r="BF394" s="112"/>
      <c r="BG394" s="112"/>
      <c r="BI394" s="112"/>
      <c r="BJ394" s="112"/>
      <c r="BK394" s="112"/>
      <c r="BL394" s="112"/>
    </row>
    <row r="395" spans="17:64" x14ac:dyDescent="0.25">
      <c r="Q395" s="112"/>
      <c r="R395" s="112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112"/>
      <c r="AI395" s="112"/>
      <c r="AJ395" s="112"/>
      <c r="AN395" s="112"/>
      <c r="AO395" s="112"/>
      <c r="AP395" s="112"/>
      <c r="AQ395" s="112"/>
      <c r="AR395" s="112"/>
      <c r="AS395" s="112"/>
      <c r="AT395" s="112"/>
      <c r="AU395" s="112"/>
      <c r="AV395" s="112"/>
      <c r="AW395" s="112"/>
      <c r="AY395" s="112"/>
      <c r="AZ395" s="112"/>
      <c r="BA395" s="112"/>
      <c r="BB395" s="112"/>
      <c r="BC395" s="112"/>
      <c r="BD395" s="112"/>
      <c r="BE395" s="112"/>
      <c r="BF395" s="112"/>
      <c r="BG395" s="112"/>
      <c r="BI395" s="112"/>
      <c r="BJ395" s="112"/>
      <c r="BK395" s="112"/>
      <c r="BL395" s="112"/>
    </row>
    <row r="396" spans="17:64" x14ac:dyDescent="0.25">
      <c r="Q396" s="112"/>
      <c r="R396" s="112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112"/>
      <c r="AI396" s="112"/>
      <c r="AJ396" s="112"/>
      <c r="AN396" s="112"/>
      <c r="AO396" s="112"/>
      <c r="AP396" s="112"/>
      <c r="AQ396" s="112"/>
      <c r="AR396" s="112"/>
      <c r="AS396" s="112"/>
      <c r="AT396" s="112"/>
      <c r="AU396" s="112"/>
      <c r="AV396" s="112"/>
      <c r="AW396" s="112"/>
      <c r="AY396" s="112"/>
      <c r="AZ396" s="112"/>
      <c r="BA396" s="112"/>
      <c r="BB396" s="112"/>
      <c r="BC396" s="112"/>
      <c r="BD396" s="112"/>
      <c r="BE396" s="112"/>
      <c r="BF396" s="112"/>
      <c r="BG396" s="112"/>
      <c r="BI396" s="112"/>
      <c r="BJ396" s="112"/>
      <c r="BK396" s="112"/>
      <c r="BL396" s="112"/>
    </row>
    <row r="397" spans="17:64" x14ac:dyDescent="0.25">
      <c r="Q397" s="112"/>
      <c r="R397" s="112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112"/>
      <c r="AI397" s="112"/>
      <c r="AJ397" s="112"/>
      <c r="AN397" s="112"/>
      <c r="AO397" s="112"/>
      <c r="AP397" s="112"/>
      <c r="AQ397" s="112"/>
      <c r="AR397" s="112"/>
      <c r="AS397" s="112"/>
      <c r="AT397" s="112"/>
      <c r="AU397" s="112"/>
      <c r="AV397" s="112"/>
      <c r="AW397" s="112"/>
      <c r="AY397" s="112"/>
      <c r="AZ397" s="112"/>
      <c r="BA397" s="112"/>
      <c r="BB397" s="112"/>
      <c r="BC397" s="112"/>
      <c r="BD397" s="112"/>
      <c r="BE397" s="112"/>
      <c r="BF397" s="112"/>
      <c r="BG397" s="112"/>
      <c r="BI397" s="112"/>
      <c r="BJ397" s="112"/>
      <c r="BK397" s="112"/>
      <c r="BL397" s="112"/>
    </row>
    <row r="398" spans="17:64" x14ac:dyDescent="0.25">
      <c r="Q398" s="112"/>
      <c r="R398" s="112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112"/>
      <c r="AI398" s="112"/>
      <c r="AJ398" s="112"/>
      <c r="AN398" s="112"/>
      <c r="AO398" s="112"/>
      <c r="AP398" s="112"/>
      <c r="AQ398" s="112"/>
      <c r="AR398" s="112"/>
      <c r="AS398" s="112"/>
      <c r="AT398" s="112"/>
      <c r="AU398" s="112"/>
      <c r="AV398" s="112"/>
      <c r="AW398" s="112"/>
      <c r="AY398" s="112"/>
      <c r="AZ398" s="112"/>
      <c r="BA398" s="112"/>
      <c r="BB398" s="112"/>
      <c r="BC398" s="112"/>
      <c r="BD398" s="112"/>
      <c r="BE398" s="112"/>
      <c r="BF398" s="112"/>
      <c r="BG398" s="112"/>
      <c r="BI398" s="112"/>
      <c r="BJ398" s="112"/>
      <c r="BK398" s="112"/>
      <c r="BL398" s="112"/>
    </row>
    <row r="399" spans="17:64" x14ac:dyDescent="0.25">
      <c r="Q399" s="112"/>
      <c r="R399" s="112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112"/>
      <c r="AI399" s="112"/>
      <c r="AJ399" s="112"/>
      <c r="AN399" s="112"/>
      <c r="AO399" s="112"/>
      <c r="AP399" s="112"/>
      <c r="AQ399" s="112"/>
      <c r="AR399" s="112"/>
      <c r="AS399" s="112"/>
      <c r="AT399" s="112"/>
      <c r="AU399" s="112"/>
      <c r="AV399" s="112"/>
      <c r="AW399" s="112"/>
      <c r="AY399" s="112"/>
      <c r="AZ399" s="112"/>
      <c r="BA399" s="112"/>
      <c r="BB399" s="112"/>
      <c r="BC399" s="112"/>
      <c r="BD399" s="112"/>
      <c r="BE399" s="112"/>
      <c r="BF399" s="112"/>
      <c r="BG399" s="112"/>
      <c r="BI399" s="112"/>
      <c r="BJ399" s="112"/>
      <c r="BK399" s="112"/>
      <c r="BL399" s="112"/>
    </row>
    <row r="400" spans="17:64" x14ac:dyDescent="0.25">
      <c r="Q400" s="112"/>
      <c r="R400" s="112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112"/>
      <c r="AI400" s="112"/>
      <c r="AJ400" s="112"/>
      <c r="AN400" s="112"/>
      <c r="AO400" s="112"/>
      <c r="AP400" s="112"/>
      <c r="AQ400" s="112"/>
      <c r="AR400" s="112"/>
      <c r="AS400" s="112"/>
      <c r="AT400" s="112"/>
      <c r="AU400" s="112"/>
      <c r="AV400" s="112"/>
      <c r="AW400" s="112"/>
      <c r="AY400" s="112"/>
      <c r="AZ400" s="112"/>
      <c r="BA400" s="112"/>
      <c r="BB400" s="112"/>
      <c r="BC400" s="112"/>
      <c r="BD400" s="112"/>
      <c r="BE400" s="112"/>
      <c r="BF400" s="112"/>
      <c r="BG400" s="112"/>
      <c r="BI400" s="112"/>
      <c r="BJ400" s="112"/>
      <c r="BK400" s="112"/>
      <c r="BL400" s="112"/>
    </row>
    <row r="401" spans="17:64" x14ac:dyDescent="0.25">
      <c r="Q401" s="112"/>
      <c r="R401" s="112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112"/>
      <c r="AI401" s="112"/>
      <c r="AJ401" s="112"/>
      <c r="AN401" s="112"/>
      <c r="AO401" s="112"/>
      <c r="AP401" s="112"/>
      <c r="AQ401" s="112"/>
      <c r="AR401" s="112"/>
      <c r="AS401" s="112"/>
      <c r="AT401" s="112"/>
      <c r="AU401" s="112"/>
      <c r="AV401" s="112"/>
      <c r="AW401" s="112"/>
      <c r="AY401" s="112"/>
      <c r="AZ401" s="112"/>
      <c r="BA401" s="112"/>
      <c r="BB401" s="112"/>
      <c r="BC401" s="112"/>
      <c r="BD401" s="112"/>
      <c r="BE401" s="112"/>
      <c r="BF401" s="112"/>
      <c r="BG401" s="112"/>
      <c r="BI401" s="112"/>
      <c r="BJ401" s="112"/>
      <c r="BK401" s="112"/>
      <c r="BL401" s="112"/>
    </row>
    <row r="402" spans="17:64" x14ac:dyDescent="0.25">
      <c r="Q402" s="112"/>
      <c r="R402" s="112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112"/>
      <c r="AI402" s="112"/>
      <c r="AJ402" s="112"/>
      <c r="AN402" s="112"/>
      <c r="AO402" s="112"/>
      <c r="AP402" s="112"/>
      <c r="AQ402" s="112"/>
      <c r="AR402" s="112"/>
      <c r="AS402" s="112"/>
      <c r="AT402" s="112"/>
      <c r="AU402" s="112"/>
      <c r="AV402" s="112"/>
      <c r="AW402" s="112"/>
      <c r="AY402" s="112"/>
      <c r="AZ402" s="112"/>
      <c r="BA402" s="112"/>
      <c r="BB402" s="112"/>
      <c r="BC402" s="112"/>
      <c r="BD402" s="112"/>
      <c r="BE402" s="112"/>
      <c r="BF402" s="112"/>
      <c r="BG402" s="112"/>
      <c r="BI402" s="112"/>
      <c r="BJ402" s="112"/>
      <c r="BK402" s="112"/>
      <c r="BL402" s="112"/>
    </row>
    <row r="403" spans="17:64" x14ac:dyDescent="0.25">
      <c r="Q403" s="112"/>
      <c r="R403" s="112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112"/>
      <c r="AI403" s="112"/>
      <c r="AJ403" s="112"/>
      <c r="AN403" s="112"/>
      <c r="AO403" s="112"/>
      <c r="AP403" s="112"/>
      <c r="AQ403" s="112"/>
      <c r="AR403" s="112"/>
      <c r="AS403" s="112"/>
      <c r="AT403" s="112"/>
      <c r="AU403" s="112"/>
      <c r="AV403" s="112"/>
      <c r="AW403" s="112"/>
      <c r="AY403" s="112"/>
      <c r="AZ403" s="112"/>
      <c r="BA403" s="112"/>
      <c r="BB403" s="112"/>
      <c r="BC403" s="112"/>
      <c r="BD403" s="112"/>
      <c r="BE403" s="112"/>
      <c r="BF403" s="112"/>
      <c r="BG403" s="112"/>
      <c r="BI403" s="112"/>
      <c r="BJ403" s="112"/>
      <c r="BK403" s="112"/>
      <c r="BL403" s="112"/>
    </row>
    <row r="404" spans="17:64" x14ac:dyDescent="0.25"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112"/>
      <c r="AI404" s="112"/>
      <c r="AJ404" s="112"/>
      <c r="AN404" s="112"/>
      <c r="AO404" s="112"/>
      <c r="AP404" s="112"/>
      <c r="AQ404" s="112"/>
      <c r="AR404" s="112"/>
      <c r="AS404" s="112"/>
      <c r="AT404" s="112"/>
      <c r="AU404" s="112"/>
      <c r="AV404" s="112"/>
      <c r="AW404" s="112"/>
      <c r="AY404" s="112"/>
      <c r="AZ404" s="112"/>
      <c r="BA404" s="112"/>
      <c r="BB404" s="112"/>
      <c r="BC404" s="112"/>
      <c r="BD404" s="112"/>
      <c r="BE404" s="112"/>
      <c r="BF404" s="112"/>
      <c r="BG404" s="112"/>
      <c r="BI404" s="112"/>
      <c r="BJ404" s="112"/>
      <c r="BK404" s="112"/>
      <c r="BL404" s="112"/>
    </row>
    <row r="405" spans="17:64" x14ac:dyDescent="0.25">
      <c r="Q405" s="112"/>
      <c r="R405" s="112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112"/>
      <c r="AI405" s="112"/>
      <c r="AJ405" s="112"/>
      <c r="AN405" s="112"/>
      <c r="AO405" s="112"/>
      <c r="AP405" s="112"/>
      <c r="AQ405" s="112"/>
      <c r="AR405" s="112"/>
      <c r="AS405" s="112"/>
      <c r="AT405" s="112"/>
      <c r="AU405" s="112"/>
      <c r="AV405" s="112"/>
      <c r="AW405" s="112"/>
      <c r="AY405" s="112"/>
      <c r="AZ405" s="112"/>
      <c r="BA405" s="112"/>
      <c r="BB405" s="112"/>
      <c r="BC405" s="112"/>
      <c r="BD405" s="112"/>
      <c r="BE405" s="112"/>
      <c r="BF405" s="112"/>
      <c r="BG405" s="112"/>
      <c r="BI405" s="112"/>
      <c r="BJ405" s="112"/>
      <c r="BK405" s="112"/>
      <c r="BL405" s="112"/>
    </row>
    <row r="406" spans="17:64" x14ac:dyDescent="0.25">
      <c r="Q406" s="112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112"/>
      <c r="AI406" s="112"/>
      <c r="AJ406" s="112"/>
      <c r="AN406" s="112"/>
      <c r="AO406" s="112"/>
      <c r="AP406" s="112"/>
      <c r="AQ406" s="112"/>
      <c r="AR406" s="112"/>
      <c r="AS406" s="112"/>
      <c r="AT406" s="112"/>
      <c r="AU406" s="112"/>
      <c r="AV406" s="112"/>
      <c r="AW406" s="112"/>
      <c r="AY406" s="112"/>
      <c r="AZ406" s="112"/>
      <c r="BA406" s="112"/>
      <c r="BB406" s="112"/>
      <c r="BC406" s="112"/>
      <c r="BD406" s="112"/>
      <c r="BE406" s="112"/>
      <c r="BF406" s="112"/>
      <c r="BG406" s="112"/>
      <c r="BI406" s="112"/>
      <c r="BJ406" s="112"/>
      <c r="BK406" s="112"/>
      <c r="BL406" s="112"/>
    </row>
    <row r="407" spans="17:64" x14ac:dyDescent="0.25"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112"/>
      <c r="AI407" s="112"/>
      <c r="AJ407" s="112"/>
      <c r="AN407" s="112"/>
      <c r="AO407" s="112"/>
      <c r="AP407" s="112"/>
      <c r="AQ407" s="112"/>
      <c r="AR407" s="112"/>
      <c r="AS407" s="112"/>
      <c r="AT407" s="112"/>
      <c r="AU407" s="112"/>
      <c r="AV407" s="112"/>
      <c r="AW407" s="112"/>
      <c r="AY407" s="112"/>
      <c r="AZ407" s="112"/>
      <c r="BA407" s="112"/>
      <c r="BB407" s="112"/>
      <c r="BC407" s="112"/>
      <c r="BD407" s="112"/>
      <c r="BE407" s="112"/>
      <c r="BF407" s="112"/>
      <c r="BG407" s="112"/>
      <c r="BI407" s="112"/>
      <c r="BJ407" s="112"/>
      <c r="BK407" s="112"/>
      <c r="BL407" s="112"/>
    </row>
    <row r="408" spans="17:64" x14ac:dyDescent="0.25"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112"/>
      <c r="AI408" s="112"/>
      <c r="AJ408" s="112"/>
      <c r="AN408" s="112"/>
      <c r="AO408" s="112"/>
      <c r="AP408" s="112"/>
      <c r="AQ408" s="112"/>
      <c r="AR408" s="112"/>
      <c r="AS408" s="112"/>
      <c r="AT408" s="112"/>
      <c r="AU408" s="112"/>
      <c r="AV408" s="112"/>
      <c r="AW408" s="112"/>
      <c r="AY408" s="112"/>
      <c r="AZ408" s="112"/>
      <c r="BA408" s="112"/>
      <c r="BB408" s="112"/>
      <c r="BC408" s="112"/>
      <c r="BD408" s="112"/>
      <c r="BE408" s="112"/>
      <c r="BF408" s="112"/>
      <c r="BG408" s="112"/>
      <c r="BI408" s="112"/>
      <c r="BJ408" s="112"/>
      <c r="BK408" s="112"/>
      <c r="BL408" s="112"/>
    </row>
    <row r="409" spans="17:64" x14ac:dyDescent="0.25"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112"/>
      <c r="AI409" s="112"/>
      <c r="AJ409" s="112"/>
      <c r="AN409" s="112"/>
      <c r="AO409" s="112"/>
      <c r="AP409" s="112"/>
      <c r="AQ409" s="112"/>
      <c r="AR409" s="112"/>
      <c r="AS409" s="112"/>
      <c r="AT409" s="112"/>
      <c r="AU409" s="112"/>
      <c r="AV409" s="112"/>
      <c r="AW409" s="112"/>
      <c r="AY409" s="112"/>
      <c r="AZ409" s="112"/>
      <c r="BA409" s="112"/>
      <c r="BB409" s="112"/>
      <c r="BC409" s="112"/>
      <c r="BD409" s="112"/>
      <c r="BE409" s="112"/>
      <c r="BF409" s="112"/>
      <c r="BG409" s="112"/>
      <c r="BI409" s="112"/>
      <c r="BJ409" s="112"/>
      <c r="BK409" s="112"/>
      <c r="BL409" s="112"/>
    </row>
    <row r="410" spans="17:64" x14ac:dyDescent="0.25"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112"/>
      <c r="AI410" s="112"/>
      <c r="AJ410" s="112"/>
      <c r="AN410" s="112"/>
      <c r="AO410" s="112"/>
      <c r="AP410" s="112"/>
      <c r="AQ410" s="112"/>
      <c r="AR410" s="112"/>
      <c r="AS410" s="112"/>
      <c r="AT410" s="112"/>
      <c r="AU410" s="112"/>
      <c r="AV410" s="112"/>
      <c r="AW410" s="112"/>
      <c r="AY410" s="112"/>
      <c r="AZ410" s="112"/>
      <c r="BA410" s="112"/>
      <c r="BB410" s="112"/>
      <c r="BC410" s="112"/>
      <c r="BD410" s="112"/>
      <c r="BE410" s="112"/>
      <c r="BF410" s="112"/>
      <c r="BG410" s="112"/>
      <c r="BI410" s="112"/>
      <c r="BJ410" s="112"/>
      <c r="BK410" s="112"/>
      <c r="BL410" s="112"/>
    </row>
    <row r="411" spans="17:64" x14ac:dyDescent="0.25"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112"/>
      <c r="AI411" s="112"/>
      <c r="AJ411" s="112"/>
      <c r="AN411" s="112"/>
      <c r="AO411" s="112"/>
      <c r="AP411" s="112"/>
      <c r="AQ411" s="112"/>
      <c r="AR411" s="112"/>
      <c r="AS411" s="112"/>
      <c r="AT411" s="112"/>
      <c r="AU411" s="112"/>
      <c r="AV411" s="112"/>
      <c r="AW411" s="112"/>
      <c r="AY411" s="112"/>
      <c r="AZ411" s="112"/>
      <c r="BA411" s="112"/>
      <c r="BB411" s="112"/>
      <c r="BC411" s="112"/>
      <c r="BD411" s="112"/>
      <c r="BE411" s="112"/>
      <c r="BF411" s="112"/>
      <c r="BG411" s="112"/>
      <c r="BI411" s="112"/>
      <c r="BJ411" s="112"/>
      <c r="BK411" s="112"/>
      <c r="BL411" s="112"/>
    </row>
    <row r="412" spans="17:64" x14ac:dyDescent="0.25">
      <c r="Q412" s="112"/>
      <c r="R412" s="112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112"/>
      <c r="AI412" s="112"/>
      <c r="AJ412" s="112"/>
      <c r="AN412" s="112"/>
      <c r="AO412" s="112"/>
      <c r="AP412" s="112"/>
      <c r="AQ412" s="112"/>
      <c r="AR412" s="112"/>
      <c r="AS412" s="112"/>
      <c r="AT412" s="112"/>
      <c r="AU412" s="112"/>
      <c r="AV412" s="112"/>
      <c r="AW412" s="112"/>
      <c r="AY412" s="112"/>
      <c r="AZ412" s="112"/>
      <c r="BA412" s="112"/>
      <c r="BB412" s="112"/>
      <c r="BC412" s="112"/>
      <c r="BD412" s="112"/>
      <c r="BE412" s="112"/>
      <c r="BF412" s="112"/>
      <c r="BG412" s="112"/>
      <c r="BI412" s="112"/>
      <c r="BJ412" s="112"/>
      <c r="BK412" s="112"/>
      <c r="BL412" s="112"/>
    </row>
    <row r="413" spans="17:64" x14ac:dyDescent="0.25">
      <c r="Q413" s="112"/>
      <c r="R413" s="112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112"/>
      <c r="AI413" s="112"/>
      <c r="AJ413" s="112"/>
      <c r="AN413" s="112"/>
      <c r="AO413" s="112"/>
      <c r="AP413" s="112"/>
      <c r="AQ413" s="112"/>
      <c r="AR413" s="112"/>
      <c r="AS413" s="112"/>
      <c r="AT413" s="112"/>
      <c r="AU413" s="112"/>
      <c r="AV413" s="112"/>
      <c r="AW413" s="112"/>
      <c r="AY413" s="112"/>
      <c r="AZ413" s="112"/>
      <c r="BA413" s="112"/>
      <c r="BB413" s="112"/>
      <c r="BC413" s="112"/>
      <c r="BD413" s="112"/>
      <c r="BE413" s="112"/>
      <c r="BF413" s="112"/>
      <c r="BG413" s="112"/>
      <c r="BI413" s="112"/>
      <c r="BJ413" s="112"/>
      <c r="BK413" s="112"/>
      <c r="BL413" s="112"/>
    </row>
    <row r="414" spans="17:64" x14ac:dyDescent="0.25">
      <c r="Q414" s="112"/>
      <c r="R414" s="112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112"/>
      <c r="AI414" s="112"/>
      <c r="AJ414" s="112"/>
      <c r="AN414" s="112"/>
      <c r="AO414" s="112"/>
      <c r="AP414" s="112"/>
      <c r="AQ414" s="112"/>
      <c r="AR414" s="112"/>
      <c r="AS414" s="112"/>
      <c r="AT414" s="112"/>
      <c r="AU414" s="112"/>
      <c r="AV414" s="112"/>
      <c r="AW414" s="112"/>
      <c r="AY414" s="112"/>
      <c r="AZ414" s="112"/>
      <c r="BA414" s="112"/>
      <c r="BB414" s="112"/>
      <c r="BC414" s="112"/>
      <c r="BD414" s="112"/>
      <c r="BE414" s="112"/>
      <c r="BF414" s="112"/>
      <c r="BG414" s="112"/>
      <c r="BI414" s="112"/>
      <c r="BJ414" s="112"/>
      <c r="BK414" s="112"/>
      <c r="BL414" s="112"/>
    </row>
    <row r="415" spans="17:64" x14ac:dyDescent="0.25">
      <c r="Q415" s="112"/>
      <c r="R415" s="112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112"/>
      <c r="AI415" s="112"/>
      <c r="AJ415" s="112"/>
      <c r="AN415" s="112"/>
      <c r="AO415" s="112"/>
      <c r="AP415" s="112"/>
      <c r="AQ415" s="112"/>
      <c r="AR415" s="112"/>
      <c r="AS415" s="112"/>
      <c r="AT415" s="112"/>
      <c r="AU415" s="112"/>
      <c r="AV415" s="112"/>
      <c r="AW415" s="112"/>
      <c r="AY415" s="112"/>
      <c r="AZ415" s="112"/>
      <c r="BA415" s="112"/>
      <c r="BB415" s="112"/>
      <c r="BC415" s="112"/>
      <c r="BD415" s="112"/>
      <c r="BE415" s="112"/>
      <c r="BF415" s="112"/>
      <c r="BG415" s="112"/>
      <c r="BI415" s="112"/>
      <c r="BJ415" s="112"/>
      <c r="BK415" s="112"/>
      <c r="BL415" s="112"/>
    </row>
    <row r="416" spans="17:64" x14ac:dyDescent="0.25">
      <c r="Q416" s="112"/>
      <c r="R416" s="112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112"/>
      <c r="AI416" s="112"/>
      <c r="AJ416" s="112"/>
      <c r="AN416" s="112"/>
      <c r="AO416" s="112"/>
      <c r="AP416" s="112"/>
      <c r="AQ416" s="112"/>
      <c r="AR416" s="112"/>
      <c r="AS416" s="112"/>
      <c r="AT416" s="112"/>
      <c r="AU416" s="112"/>
      <c r="AV416" s="112"/>
      <c r="AW416" s="112"/>
      <c r="AY416" s="112"/>
      <c r="AZ416" s="112"/>
      <c r="BA416" s="112"/>
      <c r="BB416" s="112"/>
      <c r="BC416" s="112"/>
      <c r="BD416" s="112"/>
      <c r="BE416" s="112"/>
      <c r="BF416" s="112"/>
      <c r="BG416" s="112"/>
      <c r="BI416" s="112"/>
      <c r="BJ416" s="112"/>
      <c r="BK416" s="112"/>
      <c r="BL416" s="112"/>
    </row>
    <row r="417" spans="17:64" x14ac:dyDescent="0.25">
      <c r="Q417" s="112"/>
      <c r="R417" s="112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112"/>
      <c r="AI417" s="112"/>
      <c r="AJ417" s="112"/>
      <c r="AN417" s="112"/>
      <c r="AO417" s="112"/>
      <c r="AP417" s="112"/>
      <c r="AQ417" s="112"/>
      <c r="AR417" s="112"/>
      <c r="AS417" s="112"/>
      <c r="AT417" s="112"/>
      <c r="AU417" s="112"/>
      <c r="AV417" s="112"/>
      <c r="AW417" s="112"/>
      <c r="AY417" s="112"/>
      <c r="AZ417" s="112"/>
      <c r="BA417" s="112"/>
      <c r="BB417" s="112"/>
      <c r="BC417" s="112"/>
      <c r="BD417" s="112"/>
      <c r="BE417" s="112"/>
      <c r="BF417" s="112"/>
      <c r="BG417" s="112"/>
      <c r="BI417" s="112"/>
      <c r="BJ417" s="112"/>
      <c r="BK417" s="112"/>
      <c r="BL417" s="112"/>
    </row>
    <row r="418" spans="17:64" x14ac:dyDescent="0.25">
      <c r="Q418" s="112"/>
      <c r="R418" s="112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112"/>
      <c r="AI418" s="112"/>
      <c r="AJ418" s="112"/>
      <c r="AN418" s="112"/>
      <c r="AO418" s="112"/>
      <c r="AP418" s="112"/>
      <c r="AQ418" s="112"/>
      <c r="AR418" s="112"/>
      <c r="AS418" s="112"/>
      <c r="AT418" s="112"/>
      <c r="AU418" s="112"/>
      <c r="AV418" s="112"/>
      <c r="AW418" s="112"/>
      <c r="AY418" s="112"/>
      <c r="AZ418" s="112"/>
      <c r="BA418" s="112"/>
      <c r="BB418" s="112"/>
      <c r="BC418" s="112"/>
      <c r="BD418" s="112"/>
      <c r="BE418" s="112"/>
      <c r="BF418" s="112"/>
      <c r="BG418" s="112"/>
      <c r="BI418" s="112"/>
      <c r="BJ418" s="112"/>
      <c r="BK418" s="112"/>
      <c r="BL418" s="112"/>
    </row>
    <row r="419" spans="17:64" x14ac:dyDescent="0.25">
      <c r="Q419" s="112"/>
      <c r="R419" s="112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112"/>
      <c r="AI419" s="112"/>
      <c r="AJ419" s="112"/>
      <c r="AN419" s="112"/>
      <c r="AO419" s="112"/>
      <c r="AP419" s="112"/>
      <c r="AQ419" s="112"/>
      <c r="AR419" s="112"/>
      <c r="AS419" s="112"/>
      <c r="AT419" s="112"/>
      <c r="AU419" s="112"/>
      <c r="AV419" s="112"/>
      <c r="AW419" s="112"/>
      <c r="AY419" s="112"/>
      <c r="AZ419" s="112"/>
      <c r="BA419" s="112"/>
      <c r="BB419" s="112"/>
      <c r="BC419" s="112"/>
      <c r="BD419" s="112"/>
      <c r="BE419" s="112"/>
      <c r="BF419" s="112"/>
      <c r="BG419" s="112"/>
      <c r="BI419" s="112"/>
      <c r="BJ419" s="112"/>
      <c r="BK419" s="112"/>
      <c r="BL419" s="112"/>
    </row>
    <row r="420" spans="17:64" x14ac:dyDescent="0.25">
      <c r="Q420" s="112"/>
      <c r="R420" s="112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112"/>
      <c r="AI420" s="112"/>
      <c r="AJ420" s="112"/>
      <c r="AN420" s="112"/>
      <c r="AO420" s="112"/>
      <c r="AP420" s="112"/>
      <c r="AQ420" s="112"/>
      <c r="AR420" s="112"/>
      <c r="AS420" s="112"/>
      <c r="AT420" s="112"/>
      <c r="AU420" s="112"/>
      <c r="AV420" s="112"/>
      <c r="AW420" s="112"/>
      <c r="AY420" s="112"/>
      <c r="AZ420" s="112"/>
      <c r="BA420" s="112"/>
      <c r="BB420" s="112"/>
      <c r="BC420" s="112"/>
      <c r="BD420" s="112"/>
      <c r="BE420" s="112"/>
      <c r="BF420" s="112"/>
      <c r="BG420" s="112"/>
      <c r="BI420" s="112"/>
      <c r="BJ420" s="112"/>
      <c r="BK420" s="112"/>
      <c r="BL420" s="112"/>
    </row>
    <row r="421" spans="17:64" x14ac:dyDescent="0.25">
      <c r="Q421" s="112"/>
      <c r="R421" s="112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112"/>
      <c r="AI421" s="112"/>
      <c r="AJ421" s="112"/>
      <c r="AN421" s="112"/>
      <c r="AO421" s="112"/>
      <c r="AP421" s="112"/>
      <c r="AQ421" s="112"/>
      <c r="AR421" s="112"/>
      <c r="AS421" s="112"/>
      <c r="AT421" s="112"/>
      <c r="AU421" s="112"/>
      <c r="AV421" s="112"/>
      <c r="AW421" s="112"/>
      <c r="AY421" s="112"/>
      <c r="AZ421" s="112"/>
      <c r="BA421" s="112"/>
      <c r="BB421" s="112"/>
      <c r="BC421" s="112"/>
      <c r="BD421" s="112"/>
      <c r="BE421" s="112"/>
      <c r="BF421" s="112"/>
      <c r="BG421" s="112"/>
      <c r="BI421" s="112"/>
      <c r="BJ421" s="112"/>
      <c r="BK421" s="112"/>
      <c r="BL421" s="112"/>
    </row>
    <row r="422" spans="17:64" x14ac:dyDescent="0.25"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112"/>
      <c r="AI422" s="112"/>
      <c r="AJ422" s="112"/>
      <c r="AN422" s="112"/>
      <c r="AO422" s="112"/>
      <c r="AP422" s="112"/>
      <c r="AQ422" s="112"/>
      <c r="AR422" s="112"/>
      <c r="AS422" s="112"/>
      <c r="AT422" s="112"/>
      <c r="AU422" s="112"/>
      <c r="AV422" s="112"/>
      <c r="AW422" s="112"/>
      <c r="AY422" s="112"/>
      <c r="AZ422" s="112"/>
      <c r="BA422" s="112"/>
      <c r="BB422" s="112"/>
      <c r="BC422" s="112"/>
      <c r="BD422" s="112"/>
      <c r="BE422" s="112"/>
      <c r="BF422" s="112"/>
      <c r="BG422" s="112"/>
      <c r="BI422" s="112"/>
      <c r="BJ422" s="112"/>
      <c r="BK422" s="112"/>
      <c r="BL422" s="112"/>
    </row>
    <row r="423" spans="17:64" x14ac:dyDescent="0.25">
      <c r="Q423" s="112"/>
      <c r="R423" s="112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112"/>
      <c r="AI423" s="112"/>
      <c r="AJ423" s="112"/>
      <c r="AN423" s="112"/>
      <c r="AO423" s="112"/>
      <c r="AP423" s="112"/>
      <c r="AQ423" s="112"/>
      <c r="AR423" s="112"/>
      <c r="AS423" s="112"/>
      <c r="AT423" s="112"/>
      <c r="AU423" s="112"/>
      <c r="AV423" s="112"/>
      <c r="AW423" s="112"/>
      <c r="AY423" s="112"/>
      <c r="AZ423" s="112"/>
      <c r="BA423" s="112"/>
      <c r="BB423" s="112"/>
      <c r="BC423" s="112"/>
      <c r="BD423" s="112"/>
      <c r="BE423" s="112"/>
      <c r="BF423" s="112"/>
      <c r="BG423" s="112"/>
      <c r="BI423" s="112"/>
      <c r="BJ423" s="112"/>
      <c r="BK423" s="112"/>
      <c r="BL423" s="112"/>
    </row>
    <row r="424" spans="17:64" x14ac:dyDescent="0.25">
      <c r="Q424" s="112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112"/>
      <c r="AI424" s="112"/>
      <c r="AJ424" s="112"/>
      <c r="AN424" s="112"/>
      <c r="AO424" s="112"/>
      <c r="AP424" s="112"/>
      <c r="AQ424" s="112"/>
      <c r="AR424" s="112"/>
      <c r="AS424" s="112"/>
      <c r="AT424" s="112"/>
      <c r="AU424" s="112"/>
      <c r="AV424" s="112"/>
      <c r="AW424" s="112"/>
      <c r="AY424" s="112"/>
      <c r="AZ424" s="112"/>
      <c r="BA424" s="112"/>
      <c r="BB424" s="112"/>
      <c r="BC424" s="112"/>
      <c r="BD424" s="112"/>
      <c r="BE424" s="112"/>
      <c r="BF424" s="112"/>
      <c r="BG424" s="112"/>
      <c r="BI424" s="112"/>
      <c r="BJ424" s="112"/>
      <c r="BK424" s="112"/>
      <c r="BL424" s="112"/>
    </row>
    <row r="425" spans="17:64" x14ac:dyDescent="0.25"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Y425" s="112"/>
      <c r="AZ425" s="112"/>
      <c r="BA425" s="112"/>
      <c r="BB425" s="112"/>
      <c r="BC425" s="112"/>
      <c r="BD425" s="112"/>
      <c r="BE425" s="112"/>
      <c r="BF425" s="112"/>
      <c r="BG425" s="112"/>
      <c r="BI425" s="112"/>
      <c r="BJ425" s="112"/>
      <c r="BK425" s="112"/>
      <c r="BL425" s="112"/>
    </row>
    <row r="426" spans="17:64" x14ac:dyDescent="0.25"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112"/>
      <c r="AI426" s="112"/>
      <c r="AJ426" s="112"/>
      <c r="AN426" s="112"/>
      <c r="AO426" s="112"/>
      <c r="AP426" s="112"/>
      <c r="AQ426" s="112"/>
      <c r="AR426" s="112"/>
      <c r="AS426" s="112"/>
      <c r="AT426" s="112"/>
      <c r="AU426" s="112"/>
      <c r="AV426" s="112"/>
      <c r="AW426" s="112"/>
      <c r="AY426" s="112"/>
      <c r="AZ426" s="112"/>
      <c r="BA426" s="112"/>
      <c r="BB426" s="112"/>
      <c r="BC426" s="112"/>
      <c r="BD426" s="112"/>
      <c r="BE426" s="112"/>
      <c r="BF426" s="112"/>
      <c r="BG426" s="112"/>
      <c r="BI426" s="112"/>
      <c r="BJ426" s="112"/>
      <c r="BK426" s="112"/>
      <c r="BL426" s="112"/>
    </row>
    <row r="427" spans="17:64" x14ac:dyDescent="0.25"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112"/>
      <c r="AI427" s="112"/>
      <c r="AJ427" s="112"/>
      <c r="AN427" s="112"/>
      <c r="AO427" s="112"/>
      <c r="AP427" s="112"/>
      <c r="AQ427" s="112"/>
      <c r="AR427" s="112"/>
      <c r="AS427" s="112"/>
      <c r="AT427" s="112"/>
      <c r="AU427" s="112"/>
      <c r="AV427" s="112"/>
      <c r="AW427" s="112"/>
      <c r="AY427" s="112"/>
      <c r="AZ427" s="112"/>
      <c r="BA427" s="112"/>
      <c r="BB427" s="112"/>
      <c r="BC427" s="112"/>
      <c r="BD427" s="112"/>
      <c r="BE427" s="112"/>
      <c r="BF427" s="112"/>
      <c r="BG427" s="112"/>
      <c r="BI427" s="112"/>
      <c r="BJ427" s="112"/>
      <c r="BK427" s="112"/>
      <c r="BL427" s="112"/>
    </row>
    <row r="428" spans="17:64" x14ac:dyDescent="0.25"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112"/>
      <c r="AI428" s="112"/>
      <c r="AJ428" s="112"/>
      <c r="AN428" s="112"/>
      <c r="AO428" s="112"/>
      <c r="AP428" s="112"/>
      <c r="AQ428" s="112"/>
      <c r="AR428" s="112"/>
      <c r="AS428" s="112"/>
      <c r="AT428" s="112"/>
      <c r="AU428" s="112"/>
      <c r="AV428" s="112"/>
      <c r="AW428" s="112"/>
      <c r="AY428" s="112"/>
      <c r="AZ428" s="112"/>
      <c r="BA428" s="112"/>
      <c r="BB428" s="112"/>
      <c r="BC428" s="112"/>
      <c r="BD428" s="112"/>
      <c r="BE428" s="112"/>
      <c r="BF428" s="112"/>
      <c r="BG428" s="112"/>
      <c r="BI428" s="112"/>
      <c r="BJ428" s="112"/>
      <c r="BK428" s="112"/>
      <c r="BL428" s="112"/>
    </row>
    <row r="429" spans="17:64" x14ac:dyDescent="0.25"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112"/>
      <c r="AI429" s="112"/>
      <c r="AJ429" s="112"/>
      <c r="AN429" s="112"/>
      <c r="AO429" s="112"/>
      <c r="AP429" s="112"/>
      <c r="AQ429" s="112"/>
      <c r="AR429" s="112"/>
      <c r="AS429" s="112"/>
      <c r="AT429" s="112"/>
      <c r="AU429" s="112"/>
      <c r="AV429" s="112"/>
      <c r="AW429" s="112"/>
      <c r="AY429" s="112"/>
      <c r="AZ429" s="112"/>
      <c r="BA429" s="112"/>
      <c r="BB429" s="112"/>
      <c r="BC429" s="112"/>
      <c r="BD429" s="112"/>
      <c r="BE429" s="112"/>
      <c r="BF429" s="112"/>
      <c r="BG429" s="112"/>
      <c r="BI429" s="112"/>
      <c r="BJ429" s="112"/>
      <c r="BK429" s="112"/>
      <c r="BL429" s="112"/>
    </row>
    <row r="430" spans="17:64" x14ac:dyDescent="0.25">
      <c r="Q430" s="112"/>
      <c r="R430" s="112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112"/>
      <c r="AI430" s="112"/>
      <c r="AJ430" s="112"/>
      <c r="AN430" s="112"/>
      <c r="AO430" s="112"/>
      <c r="AP430" s="112"/>
      <c r="AQ430" s="112"/>
      <c r="AR430" s="112"/>
      <c r="AS430" s="112"/>
      <c r="AT430" s="112"/>
      <c r="AU430" s="112"/>
      <c r="AV430" s="112"/>
      <c r="AW430" s="112"/>
      <c r="AY430" s="112"/>
      <c r="AZ430" s="112"/>
      <c r="BA430" s="112"/>
      <c r="BB430" s="112"/>
      <c r="BC430" s="112"/>
      <c r="BD430" s="112"/>
      <c r="BE430" s="112"/>
      <c r="BF430" s="112"/>
      <c r="BG430" s="112"/>
      <c r="BI430" s="112"/>
      <c r="BJ430" s="112"/>
      <c r="BK430" s="112"/>
      <c r="BL430" s="112"/>
    </row>
    <row r="431" spans="17:64" x14ac:dyDescent="0.25">
      <c r="Q431" s="112"/>
      <c r="R431" s="112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112"/>
      <c r="AI431" s="112"/>
      <c r="AJ431" s="112"/>
      <c r="AN431" s="112"/>
      <c r="AO431" s="112"/>
      <c r="AP431" s="112"/>
      <c r="AQ431" s="112"/>
      <c r="AR431" s="112"/>
      <c r="AS431" s="112"/>
      <c r="AT431" s="112"/>
      <c r="AU431" s="112"/>
      <c r="AV431" s="112"/>
      <c r="AW431" s="112"/>
      <c r="AY431" s="112"/>
      <c r="AZ431" s="112"/>
      <c r="BA431" s="112"/>
      <c r="BB431" s="112"/>
      <c r="BC431" s="112"/>
      <c r="BD431" s="112"/>
      <c r="BE431" s="112"/>
      <c r="BF431" s="112"/>
      <c r="BG431" s="112"/>
      <c r="BI431" s="112"/>
      <c r="BJ431" s="112"/>
      <c r="BK431" s="112"/>
      <c r="BL431" s="112"/>
    </row>
    <row r="432" spans="17:64" x14ac:dyDescent="0.25">
      <c r="Q432" s="112"/>
      <c r="R432" s="112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112"/>
      <c r="AI432" s="112"/>
      <c r="AJ432" s="112"/>
      <c r="AN432" s="112"/>
      <c r="AO432" s="112"/>
      <c r="AP432" s="112"/>
      <c r="AQ432" s="112"/>
      <c r="AR432" s="112"/>
      <c r="AS432" s="112"/>
      <c r="AT432" s="112"/>
      <c r="AU432" s="112"/>
      <c r="AV432" s="112"/>
      <c r="AW432" s="112"/>
      <c r="AY432" s="112"/>
      <c r="AZ432" s="112"/>
      <c r="BA432" s="112"/>
      <c r="BB432" s="112"/>
      <c r="BC432" s="112"/>
      <c r="BD432" s="112"/>
      <c r="BE432" s="112"/>
      <c r="BF432" s="112"/>
      <c r="BG432" s="112"/>
      <c r="BI432" s="112"/>
      <c r="BJ432" s="112"/>
      <c r="BK432" s="112"/>
      <c r="BL432" s="112"/>
    </row>
    <row r="433" spans="17:64" x14ac:dyDescent="0.25">
      <c r="Q433" s="112"/>
      <c r="R433" s="112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112"/>
      <c r="AI433" s="112"/>
      <c r="AJ433" s="112"/>
      <c r="AN433" s="112"/>
      <c r="AO433" s="112"/>
      <c r="AP433" s="112"/>
      <c r="AQ433" s="112"/>
      <c r="AR433" s="112"/>
      <c r="AS433" s="112"/>
      <c r="AT433" s="112"/>
      <c r="AU433" s="112"/>
      <c r="AV433" s="112"/>
      <c r="AW433" s="112"/>
      <c r="AY433" s="112"/>
      <c r="AZ433" s="112"/>
      <c r="BA433" s="112"/>
      <c r="BB433" s="112"/>
      <c r="BC433" s="112"/>
      <c r="BD433" s="112"/>
      <c r="BE433" s="112"/>
      <c r="BF433" s="112"/>
      <c r="BG433" s="112"/>
      <c r="BI433" s="112"/>
      <c r="BJ433" s="112"/>
      <c r="BK433" s="112"/>
      <c r="BL433" s="112"/>
    </row>
    <row r="434" spans="17:64" x14ac:dyDescent="0.25">
      <c r="Q434" s="112"/>
      <c r="R434" s="112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112"/>
      <c r="AI434" s="112"/>
      <c r="AJ434" s="112"/>
      <c r="AN434" s="112"/>
      <c r="AO434" s="112"/>
      <c r="AP434" s="112"/>
      <c r="AQ434" s="112"/>
      <c r="AR434" s="112"/>
      <c r="AS434" s="112"/>
      <c r="AT434" s="112"/>
      <c r="AU434" s="112"/>
      <c r="AV434" s="112"/>
      <c r="AW434" s="112"/>
      <c r="AY434" s="112"/>
      <c r="AZ434" s="112"/>
      <c r="BA434" s="112"/>
      <c r="BB434" s="112"/>
      <c r="BC434" s="112"/>
      <c r="BD434" s="112"/>
      <c r="BE434" s="112"/>
      <c r="BF434" s="112"/>
      <c r="BG434" s="112"/>
      <c r="BI434" s="112"/>
      <c r="BJ434" s="112"/>
      <c r="BK434" s="112"/>
      <c r="BL434" s="112"/>
    </row>
    <row r="435" spans="17:64" x14ac:dyDescent="0.25">
      <c r="Q435" s="112"/>
      <c r="R435" s="112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112"/>
      <c r="AI435" s="112"/>
      <c r="AJ435" s="112"/>
      <c r="AN435" s="112"/>
      <c r="AO435" s="112"/>
      <c r="AP435" s="112"/>
      <c r="AQ435" s="112"/>
      <c r="AR435" s="112"/>
      <c r="AS435" s="112"/>
      <c r="AT435" s="112"/>
      <c r="AU435" s="112"/>
      <c r="AV435" s="112"/>
      <c r="AW435" s="112"/>
      <c r="AY435" s="112"/>
      <c r="AZ435" s="112"/>
      <c r="BA435" s="112"/>
      <c r="BB435" s="112"/>
      <c r="BC435" s="112"/>
      <c r="BD435" s="112"/>
      <c r="BE435" s="112"/>
      <c r="BF435" s="112"/>
      <c r="BG435" s="112"/>
      <c r="BI435" s="112"/>
      <c r="BJ435" s="112"/>
      <c r="BK435" s="112"/>
      <c r="BL435" s="112"/>
    </row>
    <row r="436" spans="17:64" x14ac:dyDescent="0.25">
      <c r="Q436" s="112"/>
      <c r="R436" s="112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112"/>
      <c r="AI436" s="112"/>
      <c r="AJ436" s="112"/>
      <c r="AN436" s="112"/>
      <c r="AO436" s="112"/>
      <c r="AP436" s="112"/>
      <c r="AQ436" s="112"/>
      <c r="AR436" s="112"/>
      <c r="AS436" s="112"/>
      <c r="AT436" s="112"/>
      <c r="AU436" s="112"/>
      <c r="AV436" s="112"/>
      <c r="AW436" s="112"/>
      <c r="AY436" s="112"/>
      <c r="AZ436" s="112"/>
      <c r="BA436" s="112"/>
      <c r="BB436" s="112"/>
      <c r="BC436" s="112"/>
      <c r="BD436" s="112"/>
      <c r="BE436" s="112"/>
      <c r="BF436" s="112"/>
      <c r="BG436" s="112"/>
      <c r="BI436" s="112"/>
      <c r="BJ436" s="112"/>
      <c r="BK436" s="112"/>
      <c r="BL436" s="112"/>
    </row>
    <row r="437" spans="17:64" x14ac:dyDescent="0.25">
      <c r="Q437" s="112"/>
      <c r="R437" s="112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112"/>
      <c r="AI437" s="112"/>
      <c r="AJ437" s="112"/>
      <c r="AN437" s="112"/>
      <c r="AO437" s="112"/>
      <c r="AP437" s="112"/>
      <c r="AQ437" s="112"/>
      <c r="AR437" s="112"/>
      <c r="AS437" s="112"/>
      <c r="AT437" s="112"/>
      <c r="AU437" s="112"/>
      <c r="AV437" s="112"/>
      <c r="AW437" s="112"/>
      <c r="AY437" s="112"/>
      <c r="AZ437" s="112"/>
      <c r="BA437" s="112"/>
      <c r="BB437" s="112"/>
      <c r="BC437" s="112"/>
      <c r="BD437" s="112"/>
      <c r="BE437" s="112"/>
      <c r="BF437" s="112"/>
      <c r="BG437" s="112"/>
      <c r="BI437" s="112"/>
      <c r="BJ437" s="112"/>
      <c r="BK437" s="112"/>
      <c r="BL437" s="112"/>
    </row>
    <row r="438" spans="17:64" x14ac:dyDescent="0.25">
      <c r="Q438" s="112"/>
      <c r="R438" s="112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112"/>
      <c r="AI438" s="112"/>
      <c r="AJ438" s="112"/>
      <c r="AN438" s="112"/>
      <c r="AO438" s="112"/>
      <c r="AP438" s="112"/>
      <c r="AQ438" s="112"/>
      <c r="AR438" s="112"/>
      <c r="AS438" s="112"/>
      <c r="AT438" s="112"/>
      <c r="AU438" s="112"/>
      <c r="AV438" s="112"/>
      <c r="AW438" s="112"/>
      <c r="AY438" s="112"/>
      <c r="AZ438" s="112"/>
      <c r="BA438" s="112"/>
      <c r="BB438" s="112"/>
      <c r="BC438" s="112"/>
      <c r="BD438" s="112"/>
      <c r="BE438" s="112"/>
      <c r="BF438" s="112"/>
      <c r="BG438" s="112"/>
      <c r="BI438" s="112"/>
      <c r="BJ438" s="112"/>
      <c r="BK438" s="112"/>
      <c r="BL438" s="112"/>
    </row>
    <row r="439" spans="17:64" x14ac:dyDescent="0.25">
      <c r="Q439" s="112"/>
      <c r="R439" s="112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112"/>
      <c r="AI439" s="112"/>
      <c r="AJ439" s="112"/>
      <c r="AN439" s="112"/>
      <c r="AO439" s="112"/>
      <c r="AP439" s="112"/>
      <c r="AQ439" s="112"/>
      <c r="AR439" s="112"/>
      <c r="AS439" s="112"/>
      <c r="AT439" s="112"/>
      <c r="AU439" s="112"/>
      <c r="AV439" s="112"/>
      <c r="AW439" s="112"/>
      <c r="AY439" s="112"/>
      <c r="AZ439" s="112"/>
      <c r="BA439" s="112"/>
      <c r="BB439" s="112"/>
      <c r="BC439" s="112"/>
      <c r="BD439" s="112"/>
      <c r="BE439" s="112"/>
      <c r="BF439" s="112"/>
      <c r="BG439" s="112"/>
      <c r="BI439" s="112"/>
      <c r="BJ439" s="112"/>
      <c r="BK439" s="112"/>
      <c r="BL439" s="112"/>
    </row>
    <row r="440" spans="17:64" x14ac:dyDescent="0.25">
      <c r="Q440" s="112"/>
      <c r="R440" s="112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112"/>
      <c r="AI440" s="112"/>
      <c r="AJ440" s="112"/>
      <c r="AN440" s="112"/>
      <c r="AO440" s="112"/>
      <c r="AP440" s="112"/>
      <c r="AQ440" s="112"/>
      <c r="AR440" s="112"/>
      <c r="AS440" s="112"/>
      <c r="AT440" s="112"/>
      <c r="AU440" s="112"/>
      <c r="AV440" s="112"/>
      <c r="AW440" s="112"/>
      <c r="AY440" s="112"/>
      <c r="AZ440" s="112"/>
      <c r="BA440" s="112"/>
      <c r="BB440" s="112"/>
      <c r="BC440" s="112"/>
      <c r="BD440" s="112"/>
      <c r="BE440" s="112"/>
      <c r="BF440" s="112"/>
      <c r="BG440" s="112"/>
      <c r="BI440" s="112"/>
      <c r="BJ440" s="112"/>
      <c r="BK440" s="112"/>
      <c r="BL440" s="112"/>
    </row>
    <row r="441" spans="17:64" x14ac:dyDescent="0.25">
      <c r="Q441" s="112"/>
      <c r="R441" s="112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112"/>
      <c r="AI441" s="112"/>
      <c r="AJ441" s="112"/>
      <c r="AN441" s="112"/>
      <c r="AO441" s="112"/>
      <c r="AP441" s="112"/>
      <c r="AQ441" s="112"/>
      <c r="AR441" s="112"/>
      <c r="AS441" s="112"/>
      <c r="AT441" s="112"/>
      <c r="AU441" s="112"/>
      <c r="AV441" s="112"/>
      <c r="AW441" s="112"/>
      <c r="AY441" s="112"/>
      <c r="AZ441" s="112"/>
      <c r="BA441" s="112"/>
      <c r="BB441" s="112"/>
      <c r="BC441" s="112"/>
      <c r="BD441" s="112"/>
      <c r="BE441" s="112"/>
      <c r="BF441" s="112"/>
      <c r="BG441" s="112"/>
      <c r="BI441" s="112"/>
      <c r="BJ441" s="112"/>
      <c r="BK441" s="112"/>
      <c r="BL441" s="112"/>
    </row>
    <row r="442" spans="17:64" x14ac:dyDescent="0.25">
      <c r="Q442" s="112"/>
      <c r="R442" s="112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112"/>
      <c r="AI442" s="112"/>
      <c r="AJ442" s="112"/>
      <c r="AN442" s="112"/>
      <c r="AO442" s="112"/>
      <c r="AP442" s="112"/>
      <c r="AQ442" s="112"/>
      <c r="AR442" s="112"/>
      <c r="AS442" s="112"/>
      <c r="AT442" s="112"/>
      <c r="AU442" s="112"/>
      <c r="AV442" s="112"/>
      <c r="AW442" s="112"/>
      <c r="AY442" s="112"/>
      <c r="AZ442" s="112"/>
      <c r="BA442" s="112"/>
      <c r="BB442" s="112"/>
      <c r="BC442" s="112"/>
      <c r="BD442" s="112"/>
      <c r="BE442" s="112"/>
      <c r="BF442" s="112"/>
      <c r="BG442" s="112"/>
      <c r="BI442" s="112"/>
      <c r="BJ442" s="112"/>
      <c r="BK442" s="112"/>
      <c r="BL442" s="112"/>
    </row>
    <row r="443" spans="17:64" x14ac:dyDescent="0.25">
      <c r="Q443" s="112"/>
      <c r="R443" s="112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112"/>
      <c r="AI443" s="112"/>
      <c r="AJ443" s="112"/>
      <c r="AN443" s="112"/>
      <c r="AO443" s="112"/>
      <c r="AP443" s="112"/>
      <c r="AQ443" s="112"/>
      <c r="AR443" s="112"/>
      <c r="AS443" s="112"/>
      <c r="AT443" s="112"/>
      <c r="AU443" s="112"/>
      <c r="AV443" s="112"/>
      <c r="AW443" s="112"/>
      <c r="AY443" s="112"/>
      <c r="AZ443" s="112"/>
      <c r="BA443" s="112"/>
      <c r="BB443" s="112"/>
      <c r="BC443" s="112"/>
      <c r="BD443" s="112"/>
      <c r="BE443" s="112"/>
      <c r="BF443" s="112"/>
      <c r="BG443" s="112"/>
      <c r="BI443" s="112"/>
      <c r="BJ443" s="112"/>
      <c r="BK443" s="112"/>
      <c r="BL443" s="112"/>
    </row>
    <row r="444" spans="17:64" x14ac:dyDescent="0.25">
      <c r="Q444" s="112"/>
      <c r="R444" s="112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112"/>
      <c r="AI444" s="112"/>
      <c r="AJ444" s="112"/>
      <c r="AN444" s="112"/>
      <c r="AO444" s="112"/>
      <c r="AP444" s="112"/>
      <c r="AQ444" s="112"/>
      <c r="AR444" s="112"/>
      <c r="AS444" s="112"/>
      <c r="AT444" s="112"/>
      <c r="AU444" s="112"/>
      <c r="AV444" s="112"/>
      <c r="AW444" s="112"/>
      <c r="AY444" s="112"/>
      <c r="AZ444" s="112"/>
      <c r="BA444" s="112"/>
      <c r="BB444" s="112"/>
      <c r="BC444" s="112"/>
      <c r="BD444" s="112"/>
      <c r="BE444" s="112"/>
      <c r="BF444" s="112"/>
      <c r="BG444" s="112"/>
      <c r="BI444" s="112"/>
      <c r="BJ444" s="112"/>
      <c r="BK444" s="112"/>
      <c r="BL444" s="112"/>
    </row>
    <row r="445" spans="17:64" x14ac:dyDescent="0.25">
      <c r="Q445" s="112"/>
      <c r="R445" s="112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112"/>
      <c r="AI445" s="112"/>
      <c r="AJ445" s="112"/>
      <c r="AN445" s="112"/>
      <c r="AO445" s="112"/>
      <c r="AP445" s="112"/>
      <c r="AQ445" s="112"/>
      <c r="AR445" s="112"/>
      <c r="AS445" s="112"/>
      <c r="AT445" s="112"/>
      <c r="AU445" s="112"/>
      <c r="AV445" s="112"/>
      <c r="AW445" s="112"/>
      <c r="AY445" s="112"/>
      <c r="AZ445" s="112"/>
      <c r="BA445" s="112"/>
      <c r="BB445" s="112"/>
      <c r="BC445" s="112"/>
      <c r="BD445" s="112"/>
      <c r="BE445" s="112"/>
      <c r="BF445" s="112"/>
      <c r="BG445" s="112"/>
      <c r="BI445" s="112"/>
      <c r="BJ445" s="112"/>
      <c r="BK445" s="112"/>
      <c r="BL445" s="112"/>
    </row>
    <row r="446" spans="17:64" x14ac:dyDescent="0.25">
      <c r="Q446" s="112"/>
      <c r="R446" s="112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112"/>
      <c r="AI446" s="112"/>
      <c r="AJ446" s="112"/>
      <c r="AN446" s="112"/>
      <c r="AO446" s="112"/>
      <c r="AP446" s="112"/>
      <c r="AQ446" s="112"/>
      <c r="AR446" s="112"/>
      <c r="AS446" s="112"/>
      <c r="AT446" s="112"/>
      <c r="AU446" s="112"/>
      <c r="AV446" s="112"/>
      <c r="AW446" s="112"/>
      <c r="AY446" s="112"/>
      <c r="AZ446" s="112"/>
      <c r="BA446" s="112"/>
      <c r="BB446" s="112"/>
      <c r="BC446" s="112"/>
      <c r="BD446" s="112"/>
      <c r="BE446" s="112"/>
      <c r="BF446" s="112"/>
      <c r="BG446" s="112"/>
      <c r="BI446" s="112"/>
      <c r="BJ446" s="112"/>
      <c r="BK446" s="112"/>
      <c r="BL446" s="112"/>
    </row>
    <row r="447" spans="17:64" x14ac:dyDescent="0.25">
      <c r="Q447" s="112"/>
      <c r="R447" s="112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112"/>
      <c r="AI447" s="112"/>
      <c r="AJ447" s="112"/>
      <c r="AN447" s="112"/>
      <c r="AO447" s="112"/>
      <c r="AP447" s="112"/>
      <c r="AQ447" s="112"/>
      <c r="AR447" s="112"/>
      <c r="AS447" s="112"/>
      <c r="AT447" s="112"/>
      <c r="AU447" s="112"/>
      <c r="AV447" s="112"/>
      <c r="AW447" s="112"/>
      <c r="AY447" s="112"/>
      <c r="AZ447" s="112"/>
      <c r="BA447" s="112"/>
      <c r="BB447" s="112"/>
      <c r="BC447" s="112"/>
      <c r="BD447" s="112"/>
      <c r="BE447" s="112"/>
      <c r="BF447" s="112"/>
      <c r="BG447" s="112"/>
      <c r="BI447" s="112"/>
      <c r="BJ447" s="112"/>
      <c r="BK447" s="112"/>
      <c r="BL447" s="112"/>
    </row>
    <row r="448" spans="17:64" x14ac:dyDescent="0.25">
      <c r="Q448" s="112"/>
      <c r="R448" s="112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112"/>
      <c r="AI448" s="112"/>
      <c r="AJ448" s="112"/>
      <c r="AN448" s="112"/>
      <c r="AO448" s="112"/>
      <c r="AP448" s="112"/>
      <c r="AQ448" s="112"/>
      <c r="AR448" s="112"/>
      <c r="AS448" s="112"/>
      <c r="AT448" s="112"/>
      <c r="AU448" s="112"/>
      <c r="AV448" s="112"/>
      <c r="AW448" s="112"/>
      <c r="AY448" s="112"/>
      <c r="AZ448" s="112"/>
      <c r="BA448" s="112"/>
      <c r="BB448" s="112"/>
      <c r="BC448" s="112"/>
      <c r="BD448" s="112"/>
      <c r="BE448" s="112"/>
      <c r="BF448" s="112"/>
      <c r="BG448" s="112"/>
      <c r="BI448" s="112"/>
      <c r="BJ448" s="112"/>
      <c r="BK448" s="112"/>
      <c r="BL448" s="112"/>
    </row>
    <row r="449" spans="17:64" x14ac:dyDescent="0.25">
      <c r="Q449" s="112"/>
      <c r="R449" s="112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112"/>
      <c r="AI449" s="112"/>
      <c r="AJ449" s="112"/>
      <c r="AN449" s="112"/>
      <c r="AO449" s="112"/>
      <c r="AP449" s="112"/>
      <c r="AQ449" s="112"/>
      <c r="AR449" s="112"/>
      <c r="AS449" s="112"/>
      <c r="AT449" s="112"/>
      <c r="AU449" s="112"/>
      <c r="AV449" s="112"/>
      <c r="AW449" s="112"/>
      <c r="AY449" s="112"/>
      <c r="AZ449" s="112"/>
      <c r="BA449" s="112"/>
      <c r="BB449" s="112"/>
      <c r="BC449" s="112"/>
      <c r="BD449" s="112"/>
      <c r="BE449" s="112"/>
      <c r="BF449" s="112"/>
      <c r="BG449" s="112"/>
      <c r="BI449" s="112"/>
      <c r="BJ449" s="112"/>
      <c r="BK449" s="112"/>
      <c r="BL449" s="112"/>
    </row>
    <row r="450" spans="17:64" x14ac:dyDescent="0.25">
      <c r="Q450" s="112"/>
      <c r="R450" s="112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112"/>
      <c r="AI450" s="112"/>
      <c r="AJ450" s="112"/>
      <c r="AN450" s="112"/>
      <c r="AO450" s="112"/>
      <c r="AP450" s="112"/>
      <c r="AQ450" s="112"/>
      <c r="AR450" s="112"/>
      <c r="AS450" s="112"/>
      <c r="AT450" s="112"/>
      <c r="AU450" s="112"/>
      <c r="AV450" s="112"/>
      <c r="AW450" s="112"/>
      <c r="AY450" s="112"/>
      <c r="AZ450" s="112"/>
      <c r="BA450" s="112"/>
      <c r="BB450" s="112"/>
      <c r="BC450" s="112"/>
      <c r="BD450" s="112"/>
      <c r="BE450" s="112"/>
      <c r="BF450" s="112"/>
      <c r="BG450" s="112"/>
      <c r="BI450" s="112"/>
      <c r="BJ450" s="112"/>
      <c r="BK450" s="112"/>
      <c r="BL450" s="112"/>
    </row>
    <row r="451" spans="17:64" x14ac:dyDescent="0.25">
      <c r="Q451" s="112"/>
      <c r="R451" s="112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112"/>
      <c r="AI451" s="112"/>
      <c r="AJ451" s="112"/>
      <c r="AN451" s="112"/>
      <c r="AO451" s="112"/>
      <c r="AP451" s="112"/>
      <c r="AQ451" s="112"/>
      <c r="AR451" s="112"/>
      <c r="AS451" s="112"/>
      <c r="AT451" s="112"/>
      <c r="AU451" s="112"/>
      <c r="AV451" s="112"/>
      <c r="AW451" s="112"/>
      <c r="AY451" s="112"/>
      <c r="AZ451" s="112"/>
      <c r="BA451" s="112"/>
      <c r="BB451" s="112"/>
      <c r="BC451" s="112"/>
      <c r="BD451" s="112"/>
      <c r="BE451" s="112"/>
      <c r="BF451" s="112"/>
      <c r="BG451" s="112"/>
      <c r="BI451" s="112"/>
      <c r="BJ451" s="112"/>
      <c r="BK451" s="112"/>
      <c r="BL451" s="112"/>
    </row>
    <row r="452" spans="17:64" x14ac:dyDescent="0.25">
      <c r="Q452" s="112"/>
      <c r="R452" s="112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112"/>
      <c r="AI452" s="112"/>
      <c r="AJ452" s="112"/>
      <c r="AN452" s="112"/>
      <c r="AO452" s="112"/>
      <c r="AP452" s="112"/>
      <c r="AQ452" s="112"/>
      <c r="AR452" s="112"/>
      <c r="AS452" s="112"/>
      <c r="AT452" s="112"/>
      <c r="AU452" s="112"/>
      <c r="AV452" s="112"/>
      <c r="AW452" s="112"/>
      <c r="AY452" s="112"/>
      <c r="AZ452" s="112"/>
      <c r="BA452" s="112"/>
      <c r="BB452" s="112"/>
      <c r="BC452" s="112"/>
      <c r="BD452" s="112"/>
      <c r="BE452" s="112"/>
      <c r="BF452" s="112"/>
      <c r="BG452" s="112"/>
      <c r="BI452" s="112"/>
      <c r="BJ452" s="112"/>
      <c r="BK452" s="112"/>
      <c r="BL452" s="112"/>
    </row>
    <row r="453" spans="17:64" x14ac:dyDescent="0.25">
      <c r="Q453" s="112"/>
      <c r="R453" s="112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112"/>
      <c r="AI453" s="112"/>
      <c r="AJ453" s="112"/>
      <c r="AN453" s="112"/>
      <c r="AO453" s="112"/>
      <c r="AP453" s="112"/>
      <c r="AQ453" s="112"/>
      <c r="AR453" s="112"/>
      <c r="AS453" s="112"/>
      <c r="AT453" s="112"/>
      <c r="AU453" s="112"/>
      <c r="AV453" s="112"/>
      <c r="AW453" s="112"/>
      <c r="AY453" s="112"/>
      <c r="AZ453" s="112"/>
      <c r="BA453" s="112"/>
      <c r="BB453" s="112"/>
      <c r="BC453" s="112"/>
      <c r="BD453" s="112"/>
      <c r="BE453" s="112"/>
      <c r="BF453" s="112"/>
      <c r="BG453" s="112"/>
      <c r="BI453" s="112"/>
      <c r="BJ453" s="112"/>
      <c r="BK453" s="112"/>
      <c r="BL453" s="112"/>
    </row>
    <row r="454" spans="17:64" x14ac:dyDescent="0.25">
      <c r="Q454" s="112"/>
      <c r="R454" s="112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112"/>
      <c r="AI454" s="112"/>
      <c r="AJ454" s="112"/>
      <c r="AN454" s="112"/>
      <c r="AO454" s="112"/>
      <c r="AP454" s="112"/>
      <c r="AQ454" s="112"/>
      <c r="AR454" s="112"/>
      <c r="AS454" s="112"/>
      <c r="AT454" s="112"/>
      <c r="AU454" s="112"/>
      <c r="AV454" s="112"/>
      <c r="AW454" s="112"/>
      <c r="AY454" s="112"/>
      <c r="AZ454" s="112"/>
      <c r="BA454" s="112"/>
      <c r="BB454" s="112"/>
      <c r="BC454" s="112"/>
      <c r="BD454" s="112"/>
      <c r="BE454" s="112"/>
      <c r="BF454" s="112"/>
      <c r="BG454" s="112"/>
      <c r="BI454" s="112"/>
      <c r="BJ454" s="112"/>
      <c r="BK454" s="112"/>
      <c r="BL454" s="112"/>
    </row>
    <row r="455" spans="17:64" x14ac:dyDescent="0.25">
      <c r="Q455" s="112"/>
      <c r="R455" s="112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112"/>
      <c r="AI455" s="112"/>
      <c r="AJ455" s="112"/>
      <c r="AN455" s="112"/>
      <c r="AO455" s="112"/>
      <c r="AP455" s="112"/>
      <c r="AQ455" s="112"/>
      <c r="AR455" s="112"/>
      <c r="AS455" s="112"/>
      <c r="AT455" s="112"/>
      <c r="AU455" s="112"/>
      <c r="AV455" s="112"/>
      <c r="AW455" s="112"/>
      <c r="AY455" s="112"/>
      <c r="AZ455" s="112"/>
      <c r="BA455" s="112"/>
      <c r="BB455" s="112"/>
      <c r="BC455" s="112"/>
      <c r="BD455" s="112"/>
      <c r="BE455" s="112"/>
      <c r="BF455" s="112"/>
      <c r="BG455" s="112"/>
      <c r="BI455" s="112"/>
      <c r="BJ455" s="112"/>
      <c r="BK455" s="112"/>
      <c r="BL455" s="112"/>
    </row>
    <row r="456" spans="17:64" x14ac:dyDescent="0.25">
      <c r="Q456" s="112"/>
      <c r="R456" s="112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112"/>
      <c r="AI456" s="112"/>
      <c r="AJ456" s="112"/>
      <c r="AN456" s="112"/>
      <c r="AO456" s="112"/>
      <c r="AP456" s="112"/>
      <c r="AQ456" s="112"/>
      <c r="AR456" s="112"/>
      <c r="AS456" s="112"/>
      <c r="AT456" s="112"/>
      <c r="AU456" s="112"/>
      <c r="AV456" s="112"/>
      <c r="AW456" s="112"/>
      <c r="AY456" s="112"/>
      <c r="AZ456" s="112"/>
      <c r="BA456" s="112"/>
      <c r="BB456" s="112"/>
      <c r="BC456" s="112"/>
      <c r="BD456" s="112"/>
      <c r="BE456" s="112"/>
      <c r="BF456" s="112"/>
      <c r="BG456" s="112"/>
      <c r="BI456" s="112"/>
      <c r="BJ456" s="112"/>
      <c r="BK456" s="112"/>
      <c r="BL456" s="112"/>
    </row>
    <row r="457" spans="17:64" x14ac:dyDescent="0.25">
      <c r="Q457" s="112"/>
      <c r="R457" s="112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112"/>
      <c r="AI457" s="112"/>
      <c r="AJ457" s="112"/>
      <c r="AN457" s="112"/>
      <c r="AO457" s="112"/>
      <c r="AP457" s="112"/>
      <c r="AQ457" s="112"/>
      <c r="AR457" s="112"/>
      <c r="AS457" s="112"/>
      <c r="AT457" s="112"/>
      <c r="AU457" s="112"/>
      <c r="AV457" s="112"/>
      <c r="AW457" s="112"/>
      <c r="AY457" s="112"/>
      <c r="AZ457" s="112"/>
      <c r="BA457" s="112"/>
      <c r="BB457" s="112"/>
      <c r="BC457" s="112"/>
      <c r="BD457" s="112"/>
      <c r="BE457" s="112"/>
      <c r="BF457" s="112"/>
      <c r="BG457" s="112"/>
      <c r="BI457" s="112"/>
      <c r="BJ457" s="112"/>
      <c r="BK457" s="112"/>
      <c r="BL457" s="112"/>
    </row>
    <row r="458" spans="17:64" x14ac:dyDescent="0.25">
      <c r="Q458" s="112"/>
      <c r="R458" s="112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112"/>
      <c r="AI458" s="112"/>
      <c r="AJ458" s="112"/>
      <c r="AN458" s="112"/>
      <c r="AO458" s="112"/>
      <c r="AP458" s="112"/>
      <c r="AQ458" s="112"/>
      <c r="AR458" s="112"/>
      <c r="AS458" s="112"/>
      <c r="AT458" s="112"/>
      <c r="AU458" s="112"/>
      <c r="AV458" s="112"/>
      <c r="AW458" s="112"/>
      <c r="AY458" s="112"/>
      <c r="AZ458" s="112"/>
      <c r="BA458" s="112"/>
      <c r="BB458" s="112"/>
      <c r="BC458" s="112"/>
      <c r="BD458" s="112"/>
      <c r="BE458" s="112"/>
      <c r="BF458" s="112"/>
      <c r="BG458" s="112"/>
      <c r="BI458" s="112"/>
      <c r="BJ458" s="112"/>
      <c r="BK458" s="112"/>
      <c r="BL458" s="112"/>
    </row>
    <row r="459" spans="17:64" x14ac:dyDescent="0.25">
      <c r="Q459" s="112"/>
      <c r="R459" s="112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112"/>
      <c r="AI459" s="112"/>
      <c r="AJ459" s="112"/>
      <c r="AN459" s="112"/>
      <c r="AO459" s="112"/>
      <c r="AP459" s="112"/>
      <c r="AQ459" s="112"/>
      <c r="AR459" s="112"/>
      <c r="AS459" s="112"/>
      <c r="AT459" s="112"/>
      <c r="AU459" s="112"/>
      <c r="AV459" s="112"/>
      <c r="AW459" s="112"/>
      <c r="AY459" s="112"/>
      <c r="AZ459" s="112"/>
      <c r="BA459" s="112"/>
      <c r="BB459" s="112"/>
      <c r="BC459" s="112"/>
      <c r="BD459" s="112"/>
      <c r="BE459" s="112"/>
      <c r="BF459" s="112"/>
      <c r="BG459" s="112"/>
      <c r="BI459" s="112"/>
      <c r="BJ459" s="112"/>
      <c r="BK459" s="112"/>
      <c r="BL459" s="112"/>
    </row>
    <row r="460" spans="17:64" x14ac:dyDescent="0.25">
      <c r="Q460" s="112"/>
      <c r="R460" s="112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112"/>
      <c r="AI460" s="112"/>
      <c r="AJ460" s="112"/>
      <c r="AN460" s="112"/>
      <c r="AO460" s="112"/>
      <c r="AP460" s="112"/>
      <c r="AQ460" s="112"/>
      <c r="AR460" s="112"/>
      <c r="AS460" s="112"/>
      <c r="AT460" s="112"/>
      <c r="AU460" s="112"/>
      <c r="AV460" s="112"/>
      <c r="AW460" s="112"/>
      <c r="AY460" s="112"/>
      <c r="AZ460" s="112"/>
      <c r="BA460" s="112"/>
      <c r="BB460" s="112"/>
      <c r="BC460" s="112"/>
      <c r="BD460" s="112"/>
      <c r="BE460" s="112"/>
      <c r="BF460" s="112"/>
      <c r="BG460" s="112"/>
      <c r="BI460" s="112"/>
      <c r="BJ460" s="112"/>
      <c r="BK460" s="112"/>
      <c r="BL460" s="112"/>
    </row>
    <row r="461" spans="17:64" x14ac:dyDescent="0.25">
      <c r="Q461" s="112"/>
      <c r="R461" s="112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112"/>
      <c r="AI461" s="112"/>
      <c r="AJ461" s="112"/>
      <c r="AN461" s="112"/>
      <c r="AO461" s="112"/>
      <c r="AP461" s="112"/>
      <c r="AQ461" s="112"/>
      <c r="AR461" s="112"/>
      <c r="AS461" s="112"/>
      <c r="AT461" s="112"/>
      <c r="AU461" s="112"/>
      <c r="AV461" s="112"/>
      <c r="AW461" s="112"/>
      <c r="AY461" s="112"/>
      <c r="AZ461" s="112"/>
      <c r="BA461" s="112"/>
      <c r="BB461" s="112"/>
      <c r="BC461" s="112"/>
      <c r="BD461" s="112"/>
      <c r="BE461" s="112"/>
      <c r="BF461" s="112"/>
      <c r="BG461" s="112"/>
      <c r="BI461" s="112"/>
      <c r="BJ461" s="112"/>
      <c r="BK461" s="112"/>
      <c r="BL461" s="112"/>
    </row>
    <row r="462" spans="17:64" x14ac:dyDescent="0.25">
      <c r="Q462" s="112"/>
      <c r="R462" s="112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112"/>
      <c r="AI462" s="112"/>
      <c r="AJ462" s="112"/>
      <c r="AN462" s="112"/>
      <c r="AO462" s="112"/>
      <c r="AP462" s="112"/>
      <c r="AQ462" s="112"/>
      <c r="AR462" s="112"/>
      <c r="AS462" s="112"/>
      <c r="AT462" s="112"/>
      <c r="AU462" s="112"/>
      <c r="AV462" s="112"/>
      <c r="AW462" s="112"/>
      <c r="AY462" s="112"/>
      <c r="AZ462" s="112"/>
      <c r="BA462" s="112"/>
      <c r="BB462" s="112"/>
      <c r="BC462" s="112"/>
      <c r="BD462" s="112"/>
      <c r="BE462" s="112"/>
      <c r="BF462" s="112"/>
      <c r="BG462" s="112"/>
      <c r="BI462" s="112"/>
      <c r="BJ462" s="112"/>
      <c r="BK462" s="112"/>
      <c r="BL462" s="112"/>
    </row>
    <row r="463" spans="17:64" x14ac:dyDescent="0.25">
      <c r="Q463" s="112"/>
      <c r="R463" s="112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112"/>
      <c r="AI463" s="112"/>
      <c r="AJ463" s="112"/>
      <c r="AN463" s="112"/>
      <c r="AO463" s="112"/>
      <c r="AP463" s="112"/>
      <c r="AQ463" s="112"/>
      <c r="AR463" s="112"/>
      <c r="AS463" s="112"/>
      <c r="AT463" s="112"/>
      <c r="AU463" s="112"/>
      <c r="AV463" s="112"/>
      <c r="AW463" s="112"/>
      <c r="AY463" s="112"/>
      <c r="AZ463" s="112"/>
      <c r="BA463" s="112"/>
      <c r="BB463" s="112"/>
      <c r="BC463" s="112"/>
      <c r="BD463" s="112"/>
      <c r="BE463" s="112"/>
      <c r="BF463" s="112"/>
      <c r="BG463" s="112"/>
      <c r="BI463" s="112"/>
      <c r="BJ463" s="112"/>
      <c r="BK463" s="112"/>
      <c r="BL463" s="112"/>
    </row>
    <row r="464" spans="17:64" x14ac:dyDescent="0.25">
      <c r="Q464" s="112"/>
      <c r="R464" s="112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112"/>
      <c r="AI464" s="112"/>
      <c r="AJ464" s="112"/>
      <c r="AN464" s="112"/>
      <c r="AO464" s="112"/>
      <c r="AP464" s="112"/>
      <c r="AQ464" s="112"/>
      <c r="AR464" s="112"/>
      <c r="AS464" s="112"/>
      <c r="AT464" s="112"/>
      <c r="AU464" s="112"/>
      <c r="AV464" s="112"/>
      <c r="AW464" s="112"/>
      <c r="AY464" s="112"/>
      <c r="AZ464" s="112"/>
      <c r="BA464" s="112"/>
      <c r="BB464" s="112"/>
      <c r="BC464" s="112"/>
      <c r="BD464" s="112"/>
      <c r="BE464" s="112"/>
      <c r="BF464" s="112"/>
      <c r="BG464" s="112"/>
      <c r="BI464" s="112"/>
      <c r="BJ464" s="112"/>
      <c r="BK464" s="112"/>
      <c r="BL464" s="112"/>
    </row>
    <row r="465" spans="17:64" x14ac:dyDescent="0.25">
      <c r="Q465" s="112"/>
      <c r="R465" s="112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112"/>
      <c r="AI465" s="112"/>
      <c r="AJ465" s="112"/>
      <c r="AN465" s="112"/>
      <c r="AO465" s="112"/>
      <c r="AP465" s="112"/>
      <c r="AQ465" s="112"/>
      <c r="AR465" s="112"/>
      <c r="AS465" s="112"/>
      <c r="AT465" s="112"/>
      <c r="AU465" s="112"/>
      <c r="AV465" s="112"/>
      <c r="AW465" s="112"/>
      <c r="AY465" s="112"/>
      <c r="AZ465" s="112"/>
      <c r="BA465" s="112"/>
      <c r="BB465" s="112"/>
      <c r="BC465" s="112"/>
      <c r="BD465" s="112"/>
      <c r="BE465" s="112"/>
      <c r="BF465" s="112"/>
      <c r="BG465" s="112"/>
      <c r="BI465" s="112"/>
      <c r="BJ465" s="112"/>
      <c r="BK465" s="112"/>
      <c r="BL465" s="112"/>
    </row>
    <row r="466" spans="17:64" x14ac:dyDescent="0.25">
      <c r="Q466" s="112"/>
      <c r="R466" s="112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112"/>
      <c r="AI466" s="112"/>
      <c r="AJ466" s="112"/>
      <c r="AN466" s="112"/>
      <c r="AO466" s="112"/>
      <c r="AP466" s="112"/>
      <c r="AQ466" s="112"/>
      <c r="AR466" s="112"/>
      <c r="AS466" s="112"/>
      <c r="AT466" s="112"/>
      <c r="AU466" s="112"/>
      <c r="AV466" s="112"/>
      <c r="AW466" s="112"/>
      <c r="AY466" s="112"/>
      <c r="AZ466" s="112"/>
      <c r="BA466" s="112"/>
      <c r="BB466" s="112"/>
      <c r="BC466" s="112"/>
      <c r="BD466" s="112"/>
      <c r="BE466" s="112"/>
      <c r="BF466" s="112"/>
      <c r="BG466" s="112"/>
      <c r="BI466" s="112"/>
      <c r="BJ466" s="112"/>
      <c r="BK466" s="112"/>
      <c r="BL466" s="112"/>
    </row>
    <row r="467" spans="17:64" x14ac:dyDescent="0.25"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112"/>
      <c r="AI467" s="112"/>
      <c r="AJ467" s="112"/>
      <c r="AN467" s="112"/>
      <c r="AO467" s="112"/>
      <c r="AP467" s="112"/>
      <c r="AQ467" s="112"/>
      <c r="AR467" s="112"/>
      <c r="AS467" s="112"/>
      <c r="AT467" s="112"/>
      <c r="AU467" s="112"/>
      <c r="AV467" s="112"/>
      <c r="AW467" s="112"/>
      <c r="AY467" s="112"/>
      <c r="AZ467" s="112"/>
      <c r="BA467" s="112"/>
      <c r="BB467" s="112"/>
      <c r="BC467" s="112"/>
      <c r="BD467" s="112"/>
      <c r="BE467" s="112"/>
      <c r="BF467" s="112"/>
      <c r="BG467" s="112"/>
      <c r="BI467" s="112"/>
      <c r="BJ467" s="112"/>
      <c r="BK467" s="112"/>
      <c r="BL467" s="112"/>
    </row>
    <row r="468" spans="17:64" x14ac:dyDescent="0.25">
      <c r="Q468" s="112"/>
      <c r="R468" s="112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112"/>
      <c r="AI468" s="112"/>
      <c r="AJ468" s="112"/>
      <c r="AN468" s="112"/>
      <c r="AO468" s="112"/>
      <c r="AP468" s="112"/>
      <c r="AQ468" s="112"/>
      <c r="AR468" s="112"/>
      <c r="AS468" s="112"/>
      <c r="AT468" s="112"/>
      <c r="AU468" s="112"/>
      <c r="AV468" s="112"/>
      <c r="AW468" s="112"/>
      <c r="AY468" s="112"/>
      <c r="AZ468" s="112"/>
      <c r="BA468" s="112"/>
      <c r="BB468" s="112"/>
      <c r="BC468" s="112"/>
      <c r="BD468" s="112"/>
      <c r="BE468" s="112"/>
      <c r="BF468" s="112"/>
      <c r="BG468" s="112"/>
      <c r="BI468" s="112"/>
      <c r="BJ468" s="112"/>
      <c r="BK468" s="112"/>
      <c r="BL468" s="112"/>
    </row>
    <row r="469" spans="17:64" x14ac:dyDescent="0.25">
      <c r="Q469" s="112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112"/>
      <c r="AI469" s="112"/>
      <c r="AJ469" s="112"/>
      <c r="AN469" s="112"/>
      <c r="AO469" s="112"/>
      <c r="AP469" s="112"/>
      <c r="AQ469" s="112"/>
      <c r="AR469" s="112"/>
      <c r="AS469" s="112"/>
      <c r="AT469" s="112"/>
      <c r="AU469" s="112"/>
      <c r="AV469" s="112"/>
      <c r="AW469" s="112"/>
      <c r="AY469" s="112"/>
      <c r="AZ469" s="112"/>
      <c r="BA469" s="112"/>
      <c r="BB469" s="112"/>
      <c r="BC469" s="112"/>
      <c r="BD469" s="112"/>
      <c r="BE469" s="112"/>
      <c r="BF469" s="112"/>
      <c r="BG469" s="112"/>
      <c r="BI469" s="112"/>
      <c r="BJ469" s="112"/>
      <c r="BK469" s="112"/>
      <c r="BL469" s="112"/>
    </row>
    <row r="470" spans="17:64" x14ac:dyDescent="0.25"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112"/>
      <c r="AI470" s="112"/>
      <c r="AJ470" s="112"/>
      <c r="AN470" s="112"/>
      <c r="AO470" s="112"/>
      <c r="AP470" s="112"/>
      <c r="AQ470" s="112"/>
      <c r="AR470" s="112"/>
      <c r="AS470" s="112"/>
      <c r="AT470" s="112"/>
      <c r="AU470" s="112"/>
      <c r="AV470" s="112"/>
      <c r="AW470" s="112"/>
      <c r="AY470" s="112"/>
      <c r="AZ470" s="112"/>
      <c r="BA470" s="112"/>
      <c r="BB470" s="112"/>
      <c r="BC470" s="112"/>
      <c r="BD470" s="112"/>
      <c r="BE470" s="112"/>
      <c r="BF470" s="112"/>
      <c r="BG470" s="112"/>
      <c r="BI470" s="112"/>
      <c r="BJ470" s="112"/>
      <c r="BK470" s="112"/>
      <c r="BL470" s="112"/>
    </row>
    <row r="471" spans="17:64" x14ac:dyDescent="0.25"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112"/>
      <c r="AI471" s="112"/>
      <c r="AJ471" s="112"/>
      <c r="AN471" s="112"/>
      <c r="AO471" s="112"/>
      <c r="AP471" s="112"/>
      <c r="AQ471" s="112"/>
      <c r="AR471" s="112"/>
      <c r="AS471" s="112"/>
      <c r="AT471" s="112"/>
      <c r="AU471" s="112"/>
      <c r="AV471" s="112"/>
      <c r="AW471" s="112"/>
      <c r="AY471" s="112"/>
      <c r="AZ471" s="112"/>
      <c r="BA471" s="112"/>
      <c r="BB471" s="112"/>
      <c r="BC471" s="112"/>
      <c r="BD471" s="112"/>
      <c r="BE471" s="112"/>
      <c r="BF471" s="112"/>
      <c r="BG471" s="112"/>
      <c r="BI471" s="112"/>
      <c r="BJ471" s="112"/>
      <c r="BK471" s="112"/>
      <c r="BL471" s="112"/>
    </row>
    <row r="472" spans="17:64" x14ac:dyDescent="0.25"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112"/>
      <c r="AI472" s="112"/>
      <c r="AJ472" s="112"/>
      <c r="AN472" s="112"/>
      <c r="AO472" s="112"/>
      <c r="AP472" s="112"/>
      <c r="AQ472" s="112"/>
      <c r="AR472" s="112"/>
      <c r="AS472" s="112"/>
      <c r="AT472" s="112"/>
      <c r="AU472" s="112"/>
      <c r="AV472" s="112"/>
      <c r="AW472" s="112"/>
      <c r="AY472" s="112"/>
      <c r="AZ472" s="112"/>
      <c r="BA472" s="112"/>
      <c r="BB472" s="112"/>
      <c r="BC472" s="112"/>
      <c r="BD472" s="112"/>
      <c r="BE472" s="112"/>
      <c r="BF472" s="112"/>
      <c r="BG472" s="112"/>
      <c r="BI472" s="112"/>
      <c r="BJ472" s="112"/>
      <c r="BK472" s="112"/>
      <c r="BL472" s="112"/>
    </row>
    <row r="473" spans="17:64" x14ac:dyDescent="0.25"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112"/>
      <c r="AI473" s="112"/>
      <c r="AJ473" s="112"/>
      <c r="AN473" s="112"/>
      <c r="AO473" s="112"/>
      <c r="AP473" s="112"/>
      <c r="AQ473" s="112"/>
      <c r="AR473" s="112"/>
      <c r="AS473" s="112"/>
      <c r="AT473" s="112"/>
      <c r="AU473" s="112"/>
      <c r="AV473" s="112"/>
      <c r="AW473" s="112"/>
      <c r="AY473" s="112"/>
      <c r="AZ473" s="112"/>
      <c r="BA473" s="112"/>
      <c r="BB473" s="112"/>
      <c r="BC473" s="112"/>
      <c r="BD473" s="112"/>
      <c r="BE473" s="112"/>
      <c r="BF473" s="112"/>
      <c r="BG473" s="112"/>
      <c r="BI473" s="112"/>
      <c r="BJ473" s="112"/>
      <c r="BK473" s="112"/>
      <c r="BL473" s="112"/>
    </row>
    <row r="474" spans="17:64" x14ac:dyDescent="0.25"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112"/>
      <c r="AI474" s="112"/>
      <c r="AJ474" s="112"/>
      <c r="AN474" s="112"/>
      <c r="AO474" s="112"/>
      <c r="AP474" s="112"/>
      <c r="AQ474" s="112"/>
      <c r="AR474" s="112"/>
      <c r="AS474" s="112"/>
      <c r="AT474" s="112"/>
      <c r="AU474" s="112"/>
      <c r="AV474" s="112"/>
      <c r="AW474" s="112"/>
      <c r="AY474" s="112"/>
      <c r="AZ474" s="112"/>
      <c r="BA474" s="112"/>
      <c r="BB474" s="112"/>
      <c r="BC474" s="112"/>
      <c r="BD474" s="112"/>
      <c r="BE474" s="112"/>
      <c r="BF474" s="112"/>
      <c r="BG474" s="112"/>
      <c r="BI474" s="112"/>
      <c r="BJ474" s="112"/>
      <c r="BK474" s="112"/>
      <c r="BL474" s="112"/>
    </row>
    <row r="475" spans="17:64" x14ac:dyDescent="0.25">
      <c r="Q475" s="112"/>
      <c r="R475" s="112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112"/>
      <c r="AI475" s="112"/>
      <c r="AJ475" s="112"/>
      <c r="AN475" s="112"/>
      <c r="AO475" s="112"/>
      <c r="AP475" s="112"/>
      <c r="AQ475" s="112"/>
      <c r="AR475" s="112"/>
      <c r="AS475" s="112"/>
      <c r="AT475" s="112"/>
      <c r="AU475" s="112"/>
      <c r="AV475" s="112"/>
      <c r="AW475" s="112"/>
      <c r="AY475" s="112"/>
      <c r="AZ475" s="112"/>
      <c r="BA475" s="112"/>
      <c r="BB475" s="112"/>
      <c r="BC475" s="112"/>
      <c r="BD475" s="112"/>
      <c r="BE475" s="112"/>
      <c r="BF475" s="112"/>
      <c r="BG475" s="112"/>
      <c r="BI475" s="112"/>
      <c r="BJ475" s="112"/>
      <c r="BK475" s="112"/>
      <c r="BL475" s="112"/>
    </row>
    <row r="476" spans="17:64" x14ac:dyDescent="0.25">
      <c r="Q476" s="112"/>
      <c r="R476" s="112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112"/>
      <c r="AI476" s="112"/>
      <c r="AJ476" s="112"/>
      <c r="AN476" s="112"/>
      <c r="AO476" s="112"/>
      <c r="AP476" s="112"/>
      <c r="AQ476" s="112"/>
      <c r="AR476" s="112"/>
      <c r="AS476" s="112"/>
      <c r="AT476" s="112"/>
      <c r="AU476" s="112"/>
      <c r="AV476" s="112"/>
      <c r="AW476" s="112"/>
      <c r="AY476" s="112"/>
      <c r="AZ476" s="112"/>
      <c r="BA476" s="112"/>
      <c r="BB476" s="112"/>
      <c r="BC476" s="112"/>
      <c r="BD476" s="112"/>
      <c r="BE476" s="112"/>
      <c r="BF476" s="112"/>
      <c r="BG476" s="112"/>
      <c r="BI476" s="112"/>
      <c r="BJ476" s="112"/>
      <c r="BK476" s="112"/>
      <c r="BL476" s="112"/>
    </row>
    <row r="477" spans="17:64" x14ac:dyDescent="0.25">
      <c r="Q477" s="112"/>
      <c r="R477" s="112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112"/>
      <c r="AI477" s="112"/>
      <c r="AJ477" s="112"/>
      <c r="AN477" s="112"/>
      <c r="AO477" s="112"/>
      <c r="AP477" s="112"/>
      <c r="AQ477" s="112"/>
      <c r="AR477" s="112"/>
      <c r="AS477" s="112"/>
      <c r="AT477" s="112"/>
      <c r="AU477" s="112"/>
      <c r="AV477" s="112"/>
      <c r="AW477" s="112"/>
      <c r="AY477" s="112"/>
      <c r="AZ477" s="112"/>
      <c r="BA477" s="112"/>
      <c r="BB477" s="112"/>
      <c r="BC477" s="112"/>
      <c r="BD477" s="112"/>
      <c r="BE477" s="112"/>
      <c r="BF477" s="112"/>
      <c r="BG477" s="112"/>
      <c r="BI477" s="112"/>
      <c r="BJ477" s="112"/>
      <c r="BK477" s="112"/>
      <c r="BL477" s="112"/>
    </row>
    <row r="478" spans="17:64" x14ac:dyDescent="0.25">
      <c r="Q478" s="112"/>
      <c r="R478" s="112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112"/>
      <c r="AI478" s="112"/>
      <c r="AJ478" s="112"/>
      <c r="AN478" s="112"/>
      <c r="AO478" s="112"/>
      <c r="AP478" s="112"/>
      <c r="AQ478" s="112"/>
      <c r="AR478" s="112"/>
      <c r="AS478" s="112"/>
      <c r="AT478" s="112"/>
      <c r="AU478" s="112"/>
      <c r="AV478" s="112"/>
      <c r="AW478" s="112"/>
      <c r="AY478" s="112"/>
      <c r="AZ478" s="112"/>
      <c r="BA478" s="112"/>
      <c r="BB478" s="112"/>
      <c r="BC478" s="112"/>
      <c r="BD478" s="112"/>
      <c r="BE478" s="112"/>
      <c r="BF478" s="112"/>
      <c r="BG478" s="112"/>
      <c r="BI478" s="112"/>
      <c r="BJ478" s="112"/>
      <c r="BK478" s="112"/>
      <c r="BL478" s="112"/>
    </row>
    <row r="479" spans="17:64" x14ac:dyDescent="0.25">
      <c r="Q479" s="112"/>
      <c r="R479" s="112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112"/>
      <c r="AI479" s="112"/>
      <c r="AJ479" s="112"/>
      <c r="AN479" s="112"/>
      <c r="AO479" s="112"/>
      <c r="AP479" s="112"/>
      <c r="AQ479" s="112"/>
      <c r="AR479" s="112"/>
      <c r="AS479" s="112"/>
      <c r="AT479" s="112"/>
      <c r="AU479" s="112"/>
      <c r="AV479" s="112"/>
      <c r="AW479" s="112"/>
      <c r="AY479" s="112"/>
      <c r="AZ479" s="112"/>
      <c r="BA479" s="112"/>
      <c r="BB479" s="112"/>
      <c r="BC479" s="112"/>
      <c r="BD479" s="112"/>
      <c r="BE479" s="112"/>
      <c r="BF479" s="112"/>
      <c r="BG479" s="112"/>
      <c r="BI479" s="112"/>
      <c r="BJ479" s="112"/>
      <c r="BK479" s="112"/>
      <c r="BL479" s="112"/>
    </row>
    <row r="480" spans="17:64" x14ac:dyDescent="0.25">
      <c r="Q480" s="112"/>
      <c r="R480" s="112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112"/>
      <c r="AI480" s="112"/>
      <c r="AJ480" s="112"/>
      <c r="AN480" s="112"/>
      <c r="AO480" s="112"/>
      <c r="AP480" s="112"/>
      <c r="AQ480" s="112"/>
      <c r="AR480" s="112"/>
      <c r="AS480" s="112"/>
      <c r="AT480" s="112"/>
      <c r="AU480" s="112"/>
      <c r="AV480" s="112"/>
      <c r="AW480" s="112"/>
      <c r="AY480" s="112"/>
      <c r="AZ480" s="112"/>
      <c r="BA480" s="112"/>
      <c r="BB480" s="112"/>
      <c r="BC480" s="112"/>
      <c r="BD480" s="112"/>
      <c r="BE480" s="112"/>
      <c r="BF480" s="112"/>
      <c r="BG480" s="112"/>
      <c r="BI480" s="112"/>
      <c r="BJ480" s="112"/>
      <c r="BK480" s="112"/>
      <c r="BL480" s="112"/>
    </row>
    <row r="481" spans="17:64" x14ac:dyDescent="0.25">
      <c r="Q481" s="112"/>
      <c r="R481" s="112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112"/>
      <c r="AI481" s="112"/>
      <c r="AJ481" s="112"/>
      <c r="AN481" s="112"/>
      <c r="AO481" s="112"/>
      <c r="AP481" s="112"/>
      <c r="AQ481" s="112"/>
      <c r="AR481" s="112"/>
      <c r="AS481" s="112"/>
      <c r="AT481" s="112"/>
      <c r="AU481" s="112"/>
      <c r="AV481" s="112"/>
      <c r="AW481" s="112"/>
      <c r="AY481" s="112"/>
      <c r="AZ481" s="112"/>
      <c r="BA481" s="112"/>
      <c r="BB481" s="112"/>
      <c r="BC481" s="112"/>
      <c r="BD481" s="112"/>
      <c r="BE481" s="112"/>
      <c r="BF481" s="112"/>
      <c r="BG481" s="112"/>
      <c r="BI481" s="112"/>
      <c r="BJ481" s="112"/>
      <c r="BK481" s="112"/>
      <c r="BL481" s="112"/>
    </row>
    <row r="482" spans="17:64" x14ac:dyDescent="0.25">
      <c r="Q482" s="112"/>
      <c r="R482" s="112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112"/>
      <c r="AI482" s="112"/>
      <c r="AJ482" s="112"/>
      <c r="AN482" s="112"/>
      <c r="AO482" s="112"/>
      <c r="AP482" s="112"/>
      <c r="AQ482" s="112"/>
      <c r="AR482" s="112"/>
      <c r="AS482" s="112"/>
      <c r="AT482" s="112"/>
      <c r="AU482" s="112"/>
      <c r="AV482" s="112"/>
      <c r="AW482" s="112"/>
      <c r="AY482" s="112"/>
      <c r="AZ482" s="112"/>
      <c r="BA482" s="112"/>
      <c r="BB482" s="112"/>
      <c r="BC482" s="112"/>
      <c r="BD482" s="112"/>
      <c r="BE482" s="112"/>
      <c r="BF482" s="112"/>
      <c r="BG482" s="112"/>
      <c r="BI482" s="112"/>
      <c r="BJ482" s="112"/>
      <c r="BK482" s="112"/>
      <c r="BL482" s="112"/>
    </row>
    <row r="483" spans="17:64" x14ac:dyDescent="0.25">
      <c r="Q483" s="112"/>
      <c r="R483" s="112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112"/>
      <c r="AI483" s="112"/>
      <c r="AJ483" s="112"/>
      <c r="AN483" s="112"/>
      <c r="AO483" s="112"/>
      <c r="AP483" s="112"/>
      <c r="AQ483" s="112"/>
      <c r="AR483" s="112"/>
      <c r="AS483" s="112"/>
      <c r="AT483" s="112"/>
      <c r="AU483" s="112"/>
      <c r="AV483" s="112"/>
      <c r="AW483" s="112"/>
      <c r="AY483" s="112"/>
      <c r="AZ483" s="112"/>
      <c r="BA483" s="112"/>
      <c r="BB483" s="112"/>
      <c r="BC483" s="112"/>
      <c r="BD483" s="112"/>
      <c r="BE483" s="112"/>
      <c r="BF483" s="112"/>
      <c r="BG483" s="112"/>
      <c r="BI483" s="112"/>
      <c r="BJ483" s="112"/>
      <c r="BK483" s="112"/>
      <c r="BL483" s="112"/>
    </row>
    <row r="484" spans="17:64" x14ac:dyDescent="0.25">
      <c r="Q484" s="112"/>
      <c r="R484" s="112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112"/>
      <c r="AI484" s="112"/>
      <c r="AJ484" s="112"/>
      <c r="AN484" s="112"/>
      <c r="AO484" s="112"/>
      <c r="AP484" s="112"/>
      <c r="AQ484" s="112"/>
      <c r="AR484" s="112"/>
      <c r="AS484" s="112"/>
      <c r="AT484" s="112"/>
      <c r="AU484" s="112"/>
      <c r="AV484" s="112"/>
      <c r="AW484" s="112"/>
      <c r="AY484" s="112"/>
      <c r="AZ484" s="112"/>
      <c r="BA484" s="112"/>
      <c r="BB484" s="112"/>
      <c r="BC484" s="112"/>
      <c r="BD484" s="112"/>
      <c r="BE484" s="112"/>
      <c r="BF484" s="112"/>
      <c r="BG484" s="112"/>
      <c r="BI484" s="112"/>
      <c r="BJ484" s="112"/>
      <c r="BK484" s="112"/>
      <c r="BL484" s="112"/>
    </row>
    <row r="485" spans="17:64" x14ac:dyDescent="0.25">
      <c r="Q485" s="112"/>
      <c r="R485" s="112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112"/>
      <c r="AI485" s="112"/>
      <c r="AJ485" s="112"/>
      <c r="AN485" s="112"/>
      <c r="AO485" s="112"/>
      <c r="AP485" s="112"/>
      <c r="AQ485" s="112"/>
      <c r="AR485" s="112"/>
      <c r="AS485" s="112"/>
      <c r="AT485" s="112"/>
      <c r="AU485" s="112"/>
      <c r="AV485" s="112"/>
      <c r="AW485" s="112"/>
      <c r="AY485" s="112"/>
      <c r="AZ485" s="112"/>
      <c r="BA485" s="112"/>
      <c r="BB485" s="112"/>
      <c r="BC485" s="112"/>
      <c r="BD485" s="112"/>
      <c r="BE485" s="112"/>
      <c r="BF485" s="112"/>
      <c r="BG485" s="112"/>
      <c r="BI485" s="112"/>
      <c r="BJ485" s="112"/>
      <c r="BK485" s="112"/>
      <c r="BL485" s="112"/>
    </row>
    <row r="486" spans="17:64" x14ac:dyDescent="0.25"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112"/>
      <c r="AI486" s="112"/>
      <c r="AJ486" s="112"/>
      <c r="AN486" s="112"/>
      <c r="AO486" s="112"/>
      <c r="AP486" s="112"/>
      <c r="AQ486" s="112"/>
      <c r="AR486" s="112"/>
      <c r="AS486" s="112"/>
      <c r="AT486" s="112"/>
      <c r="AU486" s="112"/>
      <c r="AV486" s="112"/>
      <c r="AW486" s="112"/>
      <c r="AY486" s="112"/>
      <c r="AZ486" s="112"/>
      <c r="BA486" s="112"/>
      <c r="BB486" s="112"/>
      <c r="BC486" s="112"/>
      <c r="BD486" s="112"/>
      <c r="BE486" s="112"/>
      <c r="BF486" s="112"/>
      <c r="BG486" s="112"/>
      <c r="BI486" s="112"/>
      <c r="BJ486" s="112"/>
      <c r="BK486" s="112"/>
      <c r="BL486" s="112"/>
    </row>
    <row r="487" spans="17:64" x14ac:dyDescent="0.25">
      <c r="Q487" s="112"/>
      <c r="R487" s="112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112"/>
      <c r="AI487" s="112"/>
      <c r="AJ487" s="112"/>
      <c r="AN487" s="112"/>
      <c r="AO487" s="112"/>
      <c r="AP487" s="112"/>
      <c r="AQ487" s="112"/>
      <c r="AR487" s="112"/>
      <c r="AS487" s="112"/>
      <c r="AT487" s="112"/>
      <c r="AU487" s="112"/>
      <c r="AV487" s="112"/>
      <c r="AW487" s="112"/>
      <c r="AY487" s="112"/>
      <c r="AZ487" s="112"/>
      <c r="BA487" s="112"/>
      <c r="BB487" s="112"/>
      <c r="BC487" s="112"/>
      <c r="BD487" s="112"/>
      <c r="BE487" s="112"/>
      <c r="BF487" s="112"/>
      <c r="BG487" s="112"/>
      <c r="BI487" s="112"/>
      <c r="BJ487" s="112"/>
      <c r="BK487" s="112"/>
      <c r="BL487" s="112"/>
    </row>
    <row r="488" spans="17:64" x14ac:dyDescent="0.25">
      <c r="Q488" s="112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112"/>
      <c r="AI488" s="112"/>
      <c r="AJ488" s="112"/>
      <c r="AN488" s="112"/>
      <c r="AO488" s="112"/>
      <c r="AP488" s="112"/>
      <c r="AQ488" s="112"/>
      <c r="AR488" s="112"/>
      <c r="AS488" s="112"/>
      <c r="AT488" s="112"/>
      <c r="AU488" s="112"/>
      <c r="AV488" s="112"/>
      <c r="AW488" s="112"/>
      <c r="AY488" s="112"/>
      <c r="AZ488" s="112"/>
      <c r="BA488" s="112"/>
      <c r="BB488" s="112"/>
      <c r="BC488" s="112"/>
      <c r="BD488" s="112"/>
      <c r="BE488" s="112"/>
      <c r="BF488" s="112"/>
      <c r="BG488" s="112"/>
      <c r="BI488" s="112"/>
      <c r="BJ488" s="112"/>
      <c r="BK488" s="112"/>
      <c r="BL488" s="112"/>
    </row>
    <row r="489" spans="17:64" x14ac:dyDescent="0.25"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112"/>
      <c r="AI489" s="112"/>
      <c r="AJ489" s="112"/>
      <c r="AN489" s="112"/>
      <c r="AO489" s="112"/>
      <c r="AP489" s="112"/>
      <c r="AQ489" s="112"/>
      <c r="AR489" s="112"/>
      <c r="AS489" s="112"/>
      <c r="AT489" s="112"/>
      <c r="AU489" s="112"/>
      <c r="AV489" s="112"/>
      <c r="AW489" s="112"/>
      <c r="AY489" s="112"/>
      <c r="AZ489" s="112"/>
      <c r="BA489" s="112"/>
      <c r="BB489" s="112"/>
      <c r="BC489" s="112"/>
      <c r="BD489" s="112"/>
      <c r="BE489" s="112"/>
      <c r="BF489" s="112"/>
      <c r="BG489" s="112"/>
      <c r="BI489" s="112"/>
      <c r="BJ489" s="112"/>
      <c r="BK489" s="112"/>
      <c r="BL489" s="112"/>
    </row>
    <row r="490" spans="17:64" x14ac:dyDescent="0.25"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112"/>
      <c r="AI490" s="112"/>
      <c r="AJ490" s="112"/>
      <c r="AN490" s="112"/>
      <c r="AO490" s="112"/>
      <c r="AP490" s="112"/>
      <c r="AQ490" s="112"/>
      <c r="AR490" s="112"/>
      <c r="AS490" s="112"/>
      <c r="AT490" s="112"/>
      <c r="AU490" s="112"/>
      <c r="AV490" s="112"/>
      <c r="AW490" s="112"/>
      <c r="AY490" s="112"/>
      <c r="AZ490" s="112"/>
      <c r="BA490" s="112"/>
      <c r="BB490" s="112"/>
      <c r="BC490" s="112"/>
      <c r="BD490" s="112"/>
      <c r="BE490" s="112"/>
      <c r="BF490" s="112"/>
      <c r="BG490" s="112"/>
      <c r="BI490" s="112"/>
      <c r="BJ490" s="112"/>
      <c r="BK490" s="112"/>
      <c r="BL490" s="112"/>
    </row>
    <row r="491" spans="17:64" x14ac:dyDescent="0.25"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112"/>
      <c r="AI491" s="112"/>
      <c r="AJ491" s="112"/>
      <c r="AN491" s="112"/>
      <c r="AO491" s="112"/>
      <c r="AP491" s="112"/>
      <c r="AQ491" s="112"/>
      <c r="AR491" s="112"/>
      <c r="AS491" s="112"/>
      <c r="AT491" s="112"/>
      <c r="AU491" s="112"/>
      <c r="AV491" s="112"/>
      <c r="AW491" s="112"/>
      <c r="AY491" s="112"/>
      <c r="AZ491" s="112"/>
      <c r="BA491" s="112"/>
      <c r="BB491" s="112"/>
      <c r="BC491" s="112"/>
      <c r="BD491" s="112"/>
      <c r="BE491" s="112"/>
      <c r="BF491" s="112"/>
      <c r="BG491" s="112"/>
      <c r="BI491" s="112"/>
      <c r="BJ491" s="112"/>
      <c r="BK491" s="112"/>
      <c r="BL491" s="112"/>
    </row>
    <row r="492" spans="17:64" x14ac:dyDescent="0.25"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112"/>
      <c r="AI492" s="112"/>
      <c r="AJ492" s="112"/>
      <c r="AN492" s="112"/>
      <c r="AO492" s="112"/>
      <c r="AP492" s="112"/>
      <c r="AQ492" s="112"/>
      <c r="AR492" s="112"/>
      <c r="AS492" s="112"/>
      <c r="AT492" s="112"/>
      <c r="AU492" s="112"/>
      <c r="AV492" s="112"/>
      <c r="AW492" s="112"/>
      <c r="AY492" s="112"/>
      <c r="AZ492" s="112"/>
      <c r="BA492" s="112"/>
      <c r="BB492" s="112"/>
      <c r="BC492" s="112"/>
      <c r="BD492" s="112"/>
      <c r="BE492" s="112"/>
      <c r="BF492" s="112"/>
      <c r="BG492" s="112"/>
      <c r="BI492" s="112"/>
      <c r="BJ492" s="112"/>
      <c r="BK492" s="112"/>
      <c r="BL492" s="112"/>
    </row>
    <row r="493" spans="17:64" x14ac:dyDescent="0.25"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112"/>
      <c r="AI493" s="112"/>
      <c r="AJ493" s="112"/>
      <c r="AN493" s="112"/>
      <c r="AO493" s="112"/>
      <c r="AP493" s="112"/>
      <c r="AQ493" s="112"/>
      <c r="AR493" s="112"/>
      <c r="AS493" s="112"/>
      <c r="AT493" s="112"/>
      <c r="AU493" s="112"/>
      <c r="AV493" s="112"/>
      <c r="AW493" s="112"/>
      <c r="AY493" s="112"/>
      <c r="AZ493" s="112"/>
      <c r="BA493" s="112"/>
      <c r="BB493" s="112"/>
      <c r="BC493" s="112"/>
      <c r="BD493" s="112"/>
      <c r="BE493" s="112"/>
      <c r="BF493" s="112"/>
      <c r="BG493" s="112"/>
      <c r="BI493" s="112"/>
      <c r="BJ493" s="112"/>
      <c r="BK493" s="112"/>
      <c r="BL493" s="112"/>
    </row>
    <row r="494" spans="17:64" x14ac:dyDescent="0.25">
      <c r="Q494" s="112"/>
      <c r="R494" s="112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112"/>
      <c r="AI494" s="112"/>
      <c r="AJ494" s="112"/>
      <c r="AN494" s="112"/>
      <c r="AO494" s="112"/>
      <c r="AP494" s="112"/>
      <c r="AQ494" s="112"/>
      <c r="AR494" s="112"/>
      <c r="AS494" s="112"/>
      <c r="AT494" s="112"/>
      <c r="AU494" s="112"/>
      <c r="AV494" s="112"/>
      <c r="AW494" s="112"/>
      <c r="AY494" s="112"/>
      <c r="AZ494" s="112"/>
      <c r="BA494" s="112"/>
      <c r="BB494" s="112"/>
      <c r="BC494" s="112"/>
      <c r="BD494" s="112"/>
      <c r="BE494" s="112"/>
      <c r="BF494" s="112"/>
      <c r="BG494" s="112"/>
      <c r="BI494" s="112"/>
      <c r="BJ494" s="112"/>
      <c r="BK494" s="112"/>
      <c r="BL494" s="112"/>
    </row>
    <row r="495" spans="17:64" x14ac:dyDescent="0.25">
      <c r="Q495" s="112"/>
      <c r="R495" s="112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112"/>
      <c r="AI495" s="112"/>
      <c r="AJ495" s="112"/>
      <c r="AN495" s="112"/>
      <c r="AO495" s="112"/>
      <c r="AP495" s="112"/>
      <c r="AQ495" s="112"/>
      <c r="AR495" s="112"/>
      <c r="AS495" s="112"/>
      <c r="AT495" s="112"/>
      <c r="AU495" s="112"/>
      <c r="AV495" s="112"/>
      <c r="AW495" s="112"/>
      <c r="AY495" s="112"/>
      <c r="AZ495" s="112"/>
      <c r="BA495" s="112"/>
      <c r="BB495" s="112"/>
      <c r="BC495" s="112"/>
      <c r="BD495" s="112"/>
      <c r="BE495" s="112"/>
      <c r="BF495" s="112"/>
      <c r="BG495" s="112"/>
      <c r="BI495" s="112"/>
      <c r="BJ495" s="112"/>
      <c r="BK495" s="112"/>
      <c r="BL495" s="112"/>
    </row>
    <row r="496" spans="17:64" x14ac:dyDescent="0.25">
      <c r="Q496" s="112"/>
      <c r="R496" s="112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112"/>
      <c r="AI496" s="112"/>
      <c r="AJ496" s="112"/>
      <c r="AN496" s="112"/>
      <c r="AO496" s="112"/>
      <c r="AP496" s="112"/>
      <c r="AQ496" s="112"/>
      <c r="AR496" s="112"/>
      <c r="AS496" s="112"/>
      <c r="AT496" s="112"/>
      <c r="AU496" s="112"/>
      <c r="AV496" s="112"/>
      <c r="AW496" s="112"/>
      <c r="AY496" s="112"/>
      <c r="AZ496" s="112"/>
      <c r="BA496" s="112"/>
      <c r="BB496" s="112"/>
      <c r="BC496" s="112"/>
      <c r="BD496" s="112"/>
      <c r="BE496" s="112"/>
      <c r="BF496" s="112"/>
      <c r="BG496" s="112"/>
      <c r="BI496" s="112"/>
      <c r="BJ496" s="112"/>
      <c r="BK496" s="112"/>
      <c r="BL496" s="112"/>
    </row>
    <row r="497" spans="17:64" x14ac:dyDescent="0.25">
      <c r="Q497" s="112"/>
      <c r="R497" s="112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112"/>
      <c r="AI497" s="112"/>
      <c r="AJ497" s="112"/>
      <c r="AN497" s="112"/>
      <c r="AO497" s="112"/>
      <c r="AP497" s="112"/>
      <c r="AQ497" s="112"/>
      <c r="AR497" s="112"/>
      <c r="AS497" s="112"/>
      <c r="AT497" s="112"/>
      <c r="AU497" s="112"/>
      <c r="AV497" s="112"/>
      <c r="AW497" s="112"/>
      <c r="AY497" s="112"/>
      <c r="AZ497" s="112"/>
      <c r="BA497" s="112"/>
      <c r="BB497" s="112"/>
      <c r="BC497" s="112"/>
      <c r="BD497" s="112"/>
      <c r="BE497" s="112"/>
      <c r="BF497" s="112"/>
      <c r="BG497" s="112"/>
      <c r="BI497" s="112"/>
      <c r="BJ497" s="112"/>
      <c r="BK497" s="112"/>
      <c r="BL497" s="112"/>
    </row>
    <row r="498" spans="17:64" x14ac:dyDescent="0.25">
      <c r="Q498" s="112"/>
      <c r="R498" s="112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112"/>
      <c r="AI498" s="112"/>
      <c r="AJ498" s="112"/>
      <c r="AN498" s="112"/>
      <c r="AO498" s="112"/>
      <c r="AP498" s="112"/>
      <c r="AQ498" s="112"/>
      <c r="AR498" s="112"/>
      <c r="AS498" s="112"/>
      <c r="AT498" s="112"/>
      <c r="AU498" s="112"/>
      <c r="AV498" s="112"/>
      <c r="AW498" s="112"/>
      <c r="AY498" s="112"/>
      <c r="AZ498" s="112"/>
      <c r="BA498" s="112"/>
      <c r="BB498" s="112"/>
      <c r="BC498" s="112"/>
      <c r="BD498" s="112"/>
      <c r="BE498" s="112"/>
      <c r="BF498" s="112"/>
      <c r="BG498" s="112"/>
      <c r="BI498" s="112"/>
      <c r="BJ498" s="112"/>
      <c r="BK498" s="112"/>
      <c r="BL498" s="112"/>
    </row>
    <row r="499" spans="17:64" x14ac:dyDescent="0.25">
      <c r="Q499" s="112"/>
      <c r="R499" s="112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112"/>
      <c r="AI499" s="112"/>
      <c r="AJ499" s="112"/>
      <c r="AN499" s="112"/>
      <c r="AO499" s="112"/>
      <c r="AP499" s="112"/>
      <c r="AQ499" s="112"/>
      <c r="AR499" s="112"/>
      <c r="AS499" s="112"/>
      <c r="AT499" s="112"/>
      <c r="AU499" s="112"/>
      <c r="AV499" s="112"/>
      <c r="AW499" s="112"/>
      <c r="AY499" s="112"/>
      <c r="AZ499" s="112"/>
      <c r="BA499" s="112"/>
      <c r="BB499" s="112"/>
      <c r="BC499" s="112"/>
      <c r="BD499" s="112"/>
      <c r="BE499" s="112"/>
      <c r="BF499" s="112"/>
      <c r="BG499" s="112"/>
      <c r="BI499" s="112"/>
      <c r="BJ499" s="112"/>
      <c r="BK499" s="112"/>
      <c r="BL499" s="112"/>
    </row>
    <row r="500" spans="17:64" x14ac:dyDescent="0.25">
      <c r="Q500" s="112"/>
      <c r="R500" s="112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112"/>
      <c r="AI500" s="112"/>
      <c r="AJ500" s="112"/>
      <c r="AN500" s="112"/>
      <c r="AO500" s="112"/>
      <c r="AP500" s="112"/>
      <c r="AQ500" s="112"/>
      <c r="AR500" s="112"/>
      <c r="AS500" s="112"/>
      <c r="AT500" s="112"/>
      <c r="AU500" s="112"/>
      <c r="AV500" s="112"/>
      <c r="AW500" s="112"/>
      <c r="AY500" s="112"/>
      <c r="AZ500" s="112"/>
      <c r="BA500" s="112"/>
      <c r="BB500" s="112"/>
      <c r="BC500" s="112"/>
      <c r="BD500" s="112"/>
      <c r="BE500" s="112"/>
      <c r="BF500" s="112"/>
      <c r="BG500" s="112"/>
      <c r="BI500" s="112"/>
      <c r="BJ500" s="112"/>
      <c r="BK500" s="112"/>
      <c r="BL500" s="112"/>
    </row>
    <row r="501" spans="17:64" x14ac:dyDescent="0.25">
      <c r="Q501" s="112"/>
      <c r="R501" s="112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112"/>
      <c r="AI501" s="112"/>
      <c r="AJ501" s="112"/>
      <c r="AN501" s="112"/>
      <c r="AO501" s="112"/>
      <c r="AP501" s="112"/>
      <c r="AQ501" s="112"/>
      <c r="AR501" s="112"/>
      <c r="AS501" s="112"/>
      <c r="AT501" s="112"/>
      <c r="AU501" s="112"/>
      <c r="AV501" s="112"/>
      <c r="AW501" s="112"/>
      <c r="AY501" s="112"/>
      <c r="AZ501" s="112"/>
      <c r="BA501" s="112"/>
      <c r="BB501" s="112"/>
      <c r="BC501" s="112"/>
      <c r="BD501" s="112"/>
      <c r="BE501" s="112"/>
      <c r="BF501" s="112"/>
      <c r="BG501" s="112"/>
      <c r="BI501" s="112"/>
      <c r="BJ501" s="112"/>
      <c r="BK501" s="112"/>
      <c r="BL501" s="112"/>
    </row>
    <row r="502" spans="17:64" x14ac:dyDescent="0.25">
      <c r="Q502" s="112"/>
      <c r="R502" s="112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112"/>
      <c r="AI502" s="112"/>
      <c r="AJ502" s="112"/>
      <c r="AN502" s="112"/>
      <c r="AO502" s="112"/>
      <c r="AP502" s="112"/>
      <c r="AQ502" s="112"/>
      <c r="AR502" s="112"/>
      <c r="AS502" s="112"/>
      <c r="AT502" s="112"/>
      <c r="AU502" s="112"/>
      <c r="AV502" s="112"/>
      <c r="AW502" s="112"/>
      <c r="AY502" s="112"/>
      <c r="AZ502" s="112"/>
      <c r="BA502" s="112"/>
      <c r="BB502" s="112"/>
      <c r="BC502" s="112"/>
      <c r="BD502" s="112"/>
      <c r="BE502" s="112"/>
      <c r="BF502" s="112"/>
      <c r="BG502" s="112"/>
      <c r="BI502" s="112"/>
      <c r="BJ502" s="112"/>
      <c r="BK502" s="112"/>
      <c r="BL502" s="112"/>
    </row>
    <row r="503" spans="17:64" x14ac:dyDescent="0.25">
      <c r="Q503" s="112"/>
      <c r="R503" s="112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112"/>
      <c r="AI503" s="112"/>
      <c r="AJ503" s="112"/>
      <c r="AN503" s="112"/>
      <c r="AO503" s="112"/>
      <c r="AP503" s="112"/>
      <c r="AQ503" s="112"/>
      <c r="AR503" s="112"/>
      <c r="AS503" s="112"/>
      <c r="AT503" s="112"/>
      <c r="AU503" s="112"/>
      <c r="AV503" s="112"/>
      <c r="AW503" s="112"/>
      <c r="AY503" s="112"/>
      <c r="AZ503" s="112"/>
      <c r="BA503" s="112"/>
      <c r="BB503" s="112"/>
      <c r="BC503" s="112"/>
      <c r="BD503" s="112"/>
      <c r="BE503" s="112"/>
      <c r="BF503" s="112"/>
      <c r="BG503" s="112"/>
      <c r="BI503" s="112"/>
      <c r="BJ503" s="112"/>
      <c r="BK503" s="112"/>
      <c r="BL503" s="112"/>
    </row>
    <row r="504" spans="17:64" x14ac:dyDescent="0.25">
      <c r="Q504" s="112"/>
      <c r="R504" s="112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112"/>
      <c r="AI504" s="112"/>
      <c r="AJ504" s="112"/>
      <c r="AN504" s="112"/>
      <c r="AO504" s="112"/>
      <c r="AP504" s="112"/>
      <c r="AQ504" s="112"/>
      <c r="AR504" s="112"/>
      <c r="AS504" s="112"/>
      <c r="AT504" s="112"/>
      <c r="AU504" s="112"/>
      <c r="AV504" s="112"/>
      <c r="AW504" s="112"/>
      <c r="AY504" s="112"/>
      <c r="AZ504" s="112"/>
      <c r="BA504" s="112"/>
      <c r="BB504" s="112"/>
      <c r="BC504" s="112"/>
      <c r="BD504" s="112"/>
      <c r="BE504" s="112"/>
      <c r="BF504" s="112"/>
      <c r="BG504" s="112"/>
      <c r="BI504" s="112"/>
      <c r="BJ504" s="112"/>
      <c r="BK504" s="112"/>
      <c r="BL504" s="112"/>
    </row>
    <row r="505" spans="17:64" x14ac:dyDescent="0.25">
      <c r="Q505" s="112"/>
      <c r="R505" s="112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112"/>
      <c r="AI505" s="112"/>
      <c r="AJ505" s="112"/>
      <c r="AN505" s="112"/>
      <c r="AO505" s="112"/>
      <c r="AP505" s="112"/>
      <c r="AQ505" s="112"/>
      <c r="AR505" s="112"/>
      <c r="AS505" s="112"/>
      <c r="AT505" s="112"/>
      <c r="AU505" s="112"/>
      <c r="AV505" s="112"/>
      <c r="AW505" s="112"/>
      <c r="AY505" s="112"/>
      <c r="AZ505" s="112"/>
      <c r="BA505" s="112"/>
      <c r="BB505" s="112"/>
      <c r="BC505" s="112"/>
      <c r="BD505" s="112"/>
      <c r="BE505" s="112"/>
      <c r="BF505" s="112"/>
      <c r="BG505" s="112"/>
      <c r="BI505" s="112"/>
      <c r="BJ505" s="112"/>
      <c r="BK505" s="112"/>
      <c r="BL505" s="112"/>
    </row>
    <row r="506" spans="17:64" x14ac:dyDescent="0.25">
      <c r="Q506" s="112"/>
      <c r="R506" s="112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112"/>
      <c r="AI506" s="112"/>
      <c r="AJ506" s="112"/>
      <c r="AN506" s="112"/>
      <c r="AO506" s="112"/>
      <c r="AP506" s="112"/>
      <c r="AQ506" s="112"/>
      <c r="AR506" s="112"/>
      <c r="AS506" s="112"/>
      <c r="AT506" s="112"/>
      <c r="AU506" s="112"/>
      <c r="AV506" s="112"/>
      <c r="AW506" s="112"/>
      <c r="AY506" s="112"/>
      <c r="AZ506" s="112"/>
      <c r="BA506" s="112"/>
      <c r="BB506" s="112"/>
      <c r="BC506" s="112"/>
      <c r="BD506" s="112"/>
      <c r="BE506" s="112"/>
      <c r="BF506" s="112"/>
      <c r="BG506" s="112"/>
      <c r="BI506" s="112"/>
      <c r="BJ506" s="112"/>
      <c r="BK506" s="112"/>
      <c r="BL506" s="112"/>
    </row>
    <row r="507" spans="17:64" x14ac:dyDescent="0.25">
      <c r="Q507" s="112"/>
      <c r="R507" s="112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112"/>
      <c r="AI507" s="112"/>
      <c r="AJ507" s="112"/>
      <c r="AN507" s="112"/>
      <c r="AO507" s="112"/>
      <c r="AP507" s="112"/>
      <c r="AQ507" s="112"/>
      <c r="AR507" s="112"/>
      <c r="AS507" s="112"/>
      <c r="AT507" s="112"/>
      <c r="AU507" s="112"/>
      <c r="AV507" s="112"/>
      <c r="AW507" s="112"/>
      <c r="AY507" s="112"/>
      <c r="AZ507" s="112"/>
      <c r="BA507" s="112"/>
      <c r="BB507" s="112"/>
      <c r="BC507" s="112"/>
      <c r="BD507" s="112"/>
      <c r="BE507" s="112"/>
      <c r="BF507" s="112"/>
      <c r="BG507" s="112"/>
      <c r="BI507" s="112"/>
      <c r="BJ507" s="112"/>
      <c r="BK507" s="112"/>
      <c r="BL507" s="112"/>
    </row>
    <row r="508" spans="17:64" x14ac:dyDescent="0.25"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112"/>
      <c r="AI508" s="112"/>
      <c r="AJ508" s="112"/>
      <c r="AN508" s="112"/>
      <c r="AO508" s="112"/>
      <c r="AP508" s="112"/>
      <c r="AQ508" s="112"/>
      <c r="AR508" s="112"/>
      <c r="AS508" s="112"/>
      <c r="AT508" s="112"/>
      <c r="AU508" s="112"/>
      <c r="AV508" s="112"/>
      <c r="AW508" s="112"/>
      <c r="AY508" s="112"/>
      <c r="AZ508" s="112"/>
      <c r="BA508" s="112"/>
      <c r="BB508" s="112"/>
      <c r="BC508" s="112"/>
      <c r="BD508" s="112"/>
      <c r="BE508" s="112"/>
      <c r="BF508" s="112"/>
      <c r="BG508" s="112"/>
      <c r="BI508" s="112"/>
      <c r="BJ508" s="112"/>
      <c r="BK508" s="112"/>
      <c r="BL508" s="112"/>
    </row>
    <row r="509" spans="17:64" x14ac:dyDescent="0.25">
      <c r="Q509" s="112"/>
      <c r="R509" s="112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112"/>
      <c r="AI509" s="112"/>
      <c r="AJ509" s="112"/>
      <c r="AN509" s="112"/>
      <c r="AO509" s="112"/>
      <c r="AP509" s="112"/>
      <c r="AQ509" s="112"/>
      <c r="AR509" s="112"/>
      <c r="AS509" s="112"/>
      <c r="AT509" s="112"/>
      <c r="AU509" s="112"/>
      <c r="AV509" s="112"/>
      <c r="AW509" s="112"/>
      <c r="AY509" s="112"/>
      <c r="AZ509" s="112"/>
      <c r="BA509" s="112"/>
      <c r="BB509" s="112"/>
      <c r="BC509" s="112"/>
      <c r="BD509" s="112"/>
      <c r="BE509" s="112"/>
      <c r="BF509" s="112"/>
      <c r="BG509" s="112"/>
      <c r="BI509" s="112"/>
      <c r="BJ509" s="112"/>
      <c r="BK509" s="112"/>
      <c r="BL509" s="112"/>
    </row>
    <row r="510" spans="17:64" x14ac:dyDescent="0.25">
      <c r="Q510" s="112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112"/>
      <c r="AI510" s="112"/>
      <c r="AJ510" s="112"/>
      <c r="AN510" s="112"/>
      <c r="AO510" s="112"/>
      <c r="AP510" s="112"/>
      <c r="AQ510" s="112"/>
      <c r="AR510" s="112"/>
      <c r="AS510" s="112"/>
      <c r="AT510" s="112"/>
      <c r="AU510" s="112"/>
      <c r="AV510" s="112"/>
      <c r="AW510" s="112"/>
      <c r="AY510" s="112"/>
      <c r="AZ510" s="112"/>
      <c r="BA510" s="112"/>
      <c r="BB510" s="112"/>
      <c r="BC510" s="112"/>
      <c r="BD510" s="112"/>
      <c r="BE510" s="112"/>
      <c r="BF510" s="112"/>
      <c r="BG510" s="112"/>
      <c r="BI510" s="112"/>
      <c r="BJ510" s="112"/>
      <c r="BK510" s="112"/>
      <c r="BL510" s="112"/>
    </row>
    <row r="511" spans="17:64" x14ac:dyDescent="0.25"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112"/>
      <c r="AI511" s="112"/>
      <c r="AJ511" s="112"/>
      <c r="AN511" s="112"/>
      <c r="AO511" s="112"/>
      <c r="AP511" s="112"/>
      <c r="AQ511" s="112"/>
      <c r="AR511" s="112"/>
      <c r="AS511" s="112"/>
      <c r="AT511" s="112"/>
      <c r="AU511" s="112"/>
      <c r="AV511" s="112"/>
      <c r="AW511" s="112"/>
      <c r="AY511" s="112"/>
      <c r="AZ511" s="112"/>
      <c r="BA511" s="112"/>
      <c r="BB511" s="112"/>
      <c r="BC511" s="112"/>
      <c r="BD511" s="112"/>
      <c r="BE511" s="112"/>
      <c r="BF511" s="112"/>
      <c r="BG511" s="112"/>
      <c r="BI511" s="112"/>
      <c r="BJ511" s="112"/>
      <c r="BK511" s="112"/>
      <c r="BL511" s="112"/>
    </row>
    <row r="512" spans="17:64" x14ac:dyDescent="0.25"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112"/>
      <c r="AI512" s="112"/>
      <c r="AJ512" s="112"/>
      <c r="AN512" s="112"/>
      <c r="AO512" s="112"/>
      <c r="AP512" s="112"/>
      <c r="AQ512" s="112"/>
      <c r="AR512" s="112"/>
      <c r="AS512" s="112"/>
      <c r="AT512" s="112"/>
      <c r="AU512" s="112"/>
      <c r="AV512" s="112"/>
      <c r="AW512" s="112"/>
      <c r="AY512" s="112"/>
      <c r="AZ512" s="112"/>
      <c r="BA512" s="112"/>
      <c r="BB512" s="112"/>
      <c r="BC512" s="112"/>
      <c r="BD512" s="112"/>
      <c r="BE512" s="112"/>
      <c r="BF512" s="112"/>
      <c r="BG512" s="112"/>
      <c r="BI512" s="112"/>
      <c r="BJ512" s="112"/>
      <c r="BK512" s="112"/>
      <c r="BL512" s="112"/>
    </row>
    <row r="513" spans="17:64" x14ac:dyDescent="0.25"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112"/>
      <c r="AI513" s="112"/>
      <c r="AJ513" s="112"/>
      <c r="AN513" s="112"/>
      <c r="AO513" s="112"/>
      <c r="AP513" s="112"/>
      <c r="AQ513" s="112"/>
      <c r="AR513" s="112"/>
      <c r="AS513" s="112"/>
      <c r="AT513" s="112"/>
      <c r="AU513" s="112"/>
      <c r="AV513" s="112"/>
      <c r="AW513" s="112"/>
      <c r="AY513" s="112"/>
      <c r="AZ513" s="112"/>
      <c r="BA513" s="112"/>
      <c r="BB513" s="112"/>
      <c r="BC513" s="112"/>
      <c r="BD513" s="112"/>
      <c r="BE513" s="112"/>
      <c r="BF513" s="112"/>
      <c r="BG513" s="112"/>
      <c r="BI513" s="112"/>
      <c r="BJ513" s="112"/>
      <c r="BK513" s="112"/>
      <c r="BL513" s="112"/>
    </row>
    <row r="514" spans="17:64" x14ac:dyDescent="0.25"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112"/>
      <c r="AI514" s="112"/>
      <c r="AJ514" s="112"/>
      <c r="AN514" s="112"/>
      <c r="AO514" s="112"/>
      <c r="AP514" s="112"/>
      <c r="AQ514" s="112"/>
      <c r="AR514" s="112"/>
      <c r="AS514" s="112"/>
      <c r="AT514" s="112"/>
      <c r="AU514" s="112"/>
      <c r="AV514" s="112"/>
      <c r="AW514" s="112"/>
      <c r="AY514" s="112"/>
      <c r="AZ514" s="112"/>
      <c r="BA514" s="112"/>
      <c r="BB514" s="112"/>
      <c r="BC514" s="112"/>
      <c r="BD514" s="112"/>
      <c r="BE514" s="112"/>
      <c r="BF514" s="112"/>
      <c r="BG514" s="112"/>
      <c r="BI514" s="112"/>
      <c r="BJ514" s="112"/>
      <c r="BK514" s="112"/>
      <c r="BL514" s="112"/>
    </row>
    <row r="515" spans="17:64" x14ac:dyDescent="0.25"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112"/>
      <c r="AI515" s="112"/>
      <c r="AJ515" s="112"/>
      <c r="AN515" s="112"/>
      <c r="AO515" s="112"/>
      <c r="AP515" s="112"/>
      <c r="AQ515" s="112"/>
      <c r="AR515" s="112"/>
      <c r="AS515" s="112"/>
      <c r="AT515" s="112"/>
      <c r="AU515" s="112"/>
      <c r="AV515" s="112"/>
      <c r="AW515" s="112"/>
      <c r="AY515" s="112"/>
      <c r="AZ515" s="112"/>
      <c r="BA515" s="112"/>
      <c r="BB515" s="112"/>
      <c r="BC515" s="112"/>
      <c r="BD515" s="112"/>
      <c r="BE515" s="112"/>
      <c r="BF515" s="112"/>
      <c r="BG515" s="112"/>
      <c r="BI515" s="112"/>
      <c r="BJ515" s="112"/>
      <c r="BK515" s="112"/>
      <c r="BL515" s="112"/>
    </row>
    <row r="516" spans="17:64" x14ac:dyDescent="0.25">
      <c r="Q516" s="112"/>
      <c r="R516" s="112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112"/>
      <c r="AI516" s="112"/>
      <c r="AJ516" s="112"/>
      <c r="AN516" s="112"/>
      <c r="AO516" s="112"/>
      <c r="AP516" s="112"/>
      <c r="AQ516" s="112"/>
      <c r="AR516" s="112"/>
      <c r="AS516" s="112"/>
      <c r="AT516" s="112"/>
      <c r="AU516" s="112"/>
      <c r="AV516" s="112"/>
      <c r="AW516" s="112"/>
      <c r="AY516" s="112"/>
      <c r="AZ516" s="112"/>
      <c r="BA516" s="112"/>
      <c r="BB516" s="112"/>
      <c r="BC516" s="112"/>
      <c r="BD516" s="112"/>
      <c r="BE516" s="112"/>
      <c r="BF516" s="112"/>
      <c r="BG516" s="112"/>
      <c r="BI516" s="112"/>
      <c r="BJ516" s="112"/>
      <c r="BK516" s="112"/>
      <c r="BL516" s="112"/>
    </row>
    <row r="517" spans="17:64" x14ac:dyDescent="0.25">
      <c r="Q517" s="112"/>
      <c r="R517" s="112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112"/>
      <c r="AI517" s="112"/>
      <c r="AJ517" s="112"/>
      <c r="AN517" s="112"/>
      <c r="AO517" s="112"/>
      <c r="AP517" s="112"/>
      <c r="AQ517" s="112"/>
      <c r="AR517" s="112"/>
      <c r="AS517" s="112"/>
      <c r="AT517" s="112"/>
      <c r="AU517" s="112"/>
      <c r="AV517" s="112"/>
      <c r="AW517" s="112"/>
      <c r="AY517" s="112"/>
      <c r="AZ517" s="112"/>
      <c r="BA517" s="112"/>
      <c r="BB517" s="112"/>
      <c r="BC517" s="112"/>
      <c r="BD517" s="112"/>
      <c r="BE517" s="112"/>
      <c r="BF517" s="112"/>
      <c r="BG517" s="112"/>
      <c r="BI517" s="112"/>
      <c r="BJ517" s="112"/>
      <c r="BK517" s="112"/>
      <c r="BL517" s="112"/>
    </row>
    <row r="518" spans="17:64" x14ac:dyDescent="0.25">
      <c r="Q518" s="112"/>
      <c r="R518" s="112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112"/>
      <c r="AI518" s="112"/>
      <c r="AJ518" s="112"/>
      <c r="AN518" s="112"/>
      <c r="AO518" s="112"/>
      <c r="AP518" s="112"/>
      <c r="AQ518" s="112"/>
      <c r="AR518" s="112"/>
      <c r="AS518" s="112"/>
      <c r="AT518" s="112"/>
      <c r="AU518" s="112"/>
      <c r="AV518" s="112"/>
      <c r="AW518" s="112"/>
      <c r="AY518" s="112"/>
      <c r="AZ518" s="112"/>
      <c r="BA518" s="112"/>
      <c r="BB518" s="112"/>
      <c r="BC518" s="112"/>
      <c r="BD518" s="112"/>
      <c r="BE518" s="112"/>
      <c r="BF518" s="112"/>
      <c r="BG518" s="112"/>
      <c r="BI518" s="112"/>
      <c r="BJ518" s="112"/>
      <c r="BK518" s="112"/>
      <c r="BL518" s="112"/>
    </row>
    <row r="519" spans="17:64" x14ac:dyDescent="0.25">
      <c r="Q519" s="112"/>
      <c r="R519" s="112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112"/>
      <c r="AI519" s="112"/>
      <c r="AJ519" s="112"/>
      <c r="AN519" s="112"/>
      <c r="AO519" s="112"/>
      <c r="AP519" s="112"/>
      <c r="AQ519" s="112"/>
      <c r="AR519" s="112"/>
      <c r="AS519" s="112"/>
      <c r="AT519" s="112"/>
      <c r="AU519" s="112"/>
      <c r="AV519" s="112"/>
      <c r="AW519" s="112"/>
      <c r="AY519" s="112"/>
      <c r="AZ519" s="112"/>
      <c r="BA519" s="112"/>
      <c r="BB519" s="112"/>
      <c r="BC519" s="112"/>
      <c r="BD519" s="112"/>
      <c r="BE519" s="112"/>
      <c r="BF519" s="112"/>
      <c r="BG519" s="112"/>
      <c r="BI519" s="112"/>
      <c r="BJ519" s="112"/>
      <c r="BK519" s="112"/>
      <c r="BL519" s="112"/>
    </row>
    <row r="520" spans="17:64" x14ac:dyDescent="0.25">
      <c r="Q520" s="112"/>
      <c r="R520" s="112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112"/>
      <c r="AI520" s="112"/>
      <c r="AJ520" s="112"/>
      <c r="AN520" s="112"/>
      <c r="AO520" s="112"/>
      <c r="AP520" s="112"/>
      <c r="AQ520" s="112"/>
      <c r="AR520" s="112"/>
      <c r="AS520" s="112"/>
      <c r="AT520" s="112"/>
      <c r="AU520" s="112"/>
      <c r="AV520" s="112"/>
      <c r="AW520" s="112"/>
      <c r="AY520" s="112"/>
      <c r="AZ520" s="112"/>
      <c r="BA520" s="112"/>
      <c r="BB520" s="112"/>
      <c r="BC520" s="112"/>
      <c r="BD520" s="112"/>
      <c r="BE520" s="112"/>
      <c r="BF520" s="112"/>
      <c r="BG520" s="112"/>
      <c r="BI520" s="112"/>
      <c r="BJ520" s="112"/>
      <c r="BK520" s="112"/>
      <c r="BL520" s="112"/>
    </row>
    <row r="521" spans="17:64" x14ac:dyDescent="0.25">
      <c r="Q521" s="112"/>
      <c r="R521" s="112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112"/>
      <c r="AI521" s="112"/>
      <c r="AJ521" s="112"/>
      <c r="AN521" s="112"/>
      <c r="AO521" s="112"/>
      <c r="AP521" s="112"/>
      <c r="AQ521" s="112"/>
      <c r="AR521" s="112"/>
      <c r="AS521" s="112"/>
      <c r="AT521" s="112"/>
      <c r="AU521" s="112"/>
      <c r="AV521" s="112"/>
      <c r="AW521" s="112"/>
      <c r="AY521" s="112"/>
      <c r="AZ521" s="112"/>
      <c r="BA521" s="112"/>
      <c r="BB521" s="112"/>
      <c r="BC521" s="112"/>
      <c r="BD521" s="112"/>
      <c r="BE521" s="112"/>
      <c r="BF521" s="112"/>
      <c r="BG521" s="112"/>
      <c r="BI521" s="112"/>
      <c r="BJ521" s="112"/>
      <c r="BK521" s="112"/>
      <c r="BL521" s="112"/>
    </row>
    <row r="522" spans="17:64" x14ac:dyDescent="0.25">
      <c r="Q522" s="112"/>
      <c r="R522" s="112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112"/>
      <c r="AI522" s="112"/>
      <c r="AJ522" s="112"/>
      <c r="AN522" s="112"/>
      <c r="AO522" s="112"/>
      <c r="AP522" s="112"/>
      <c r="AQ522" s="112"/>
      <c r="AR522" s="112"/>
      <c r="AS522" s="112"/>
      <c r="AT522" s="112"/>
      <c r="AU522" s="112"/>
      <c r="AV522" s="112"/>
      <c r="AW522" s="112"/>
      <c r="AY522" s="112"/>
      <c r="AZ522" s="112"/>
      <c r="BA522" s="112"/>
      <c r="BB522" s="112"/>
      <c r="BC522" s="112"/>
      <c r="BD522" s="112"/>
      <c r="BE522" s="112"/>
      <c r="BF522" s="112"/>
      <c r="BG522" s="112"/>
      <c r="BI522" s="112"/>
      <c r="BJ522" s="112"/>
      <c r="BK522" s="112"/>
      <c r="BL522" s="112"/>
    </row>
    <row r="523" spans="17:64" x14ac:dyDescent="0.25">
      <c r="Q523" s="112"/>
      <c r="R523" s="112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112"/>
      <c r="AI523" s="112"/>
      <c r="AJ523" s="112"/>
      <c r="AN523" s="112"/>
      <c r="AO523" s="112"/>
      <c r="AP523" s="112"/>
      <c r="AQ523" s="112"/>
      <c r="AR523" s="112"/>
      <c r="AS523" s="112"/>
      <c r="AT523" s="112"/>
      <c r="AU523" s="112"/>
      <c r="AV523" s="112"/>
      <c r="AW523" s="112"/>
      <c r="AY523" s="112"/>
      <c r="AZ523" s="112"/>
      <c r="BA523" s="112"/>
      <c r="BB523" s="112"/>
      <c r="BC523" s="112"/>
      <c r="BD523" s="112"/>
      <c r="BE523" s="112"/>
      <c r="BF523" s="112"/>
      <c r="BG523" s="112"/>
      <c r="BI523" s="112"/>
      <c r="BJ523" s="112"/>
      <c r="BK523" s="112"/>
      <c r="BL523" s="112"/>
    </row>
    <row r="524" spans="17:64" x14ac:dyDescent="0.25">
      <c r="Q524" s="112"/>
      <c r="R524" s="112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112"/>
      <c r="AI524" s="112"/>
      <c r="AJ524" s="112"/>
      <c r="AN524" s="112"/>
      <c r="AO524" s="112"/>
      <c r="AP524" s="112"/>
      <c r="AQ524" s="112"/>
      <c r="AR524" s="112"/>
      <c r="AS524" s="112"/>
      <c r="AT524" s="112"/>
      <c r="AU524" s="112"/>
      <c r="AV524" s="112"/>
      <c r="AW524" s="112"/>
      <c r="AY524" s="112"/>
      <c r="AZ524" s="112"/>
      <c r="BA524" s="112"/>
      <c r="BB524" s="112"/>
      <c r="BC524" s="112"/>
      <c r="BD524" s="112"/>
      <c r="BE524" s="112"/>
      <c r="BF524" s="112"/>
      <c r="BG524" s="112"/>
      <c r="BI524" s="112"/>
      <c r="BJ524" s="112"/>
      <c r="BK524" s="112"/>
      <c r="BL524" s="112"/>
    </row>
    <row r="525" spans="17:64" x14ac:dyDescent="0.25">
      <c r="Q525" s="112"/>
      <c r="R525" s="112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112"/>
      <c r="AI525" s="112"/>
      <c r="AJ525" s="112"/>
      <c r="AN525" s="112"/>
      <c r="AO525" s="112"/>
      <c r="AP525" s="112"/>
      <c r="AQ525" s="112"/>
      <c r="AR525" s="112"/>
      <c r="AS525" s="112"/>
      <c r="AT525" s="112"/>
      <c r="AU525" s="112"/>
      <c r="AV525" s="112"/>
      <c r="AW525" s="112"/>
      <c r="AY525" s="112"/>
      <c r="AZ525" s="112"/>
      <c r="BA525" s="112"/>
      <c r="BB525" s="112"/>
      <c r="BC525" s="112"/>
      <c r="BD525" s="112"/>
      <c r="BE525" s="112"/>
      <c r="BF525" s="112"/>
      <c r="BG525" s="112"/>
      <c r="BI525" s="112"/>
      <c r="BJ525" s="112"/>
      <c r="BK525" s="112"/>
      <c r="BL525" s="112"/>
    </row>
    <row r="526" spans="17:64" x14ac:dyDescent="0.25">
      <c r="Q526" s="112"/>
      <c r="R526" s="112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112"/>
      <c r="AI526" s="112"/>
      <c r="AJ526" s="112"/>
      <c r="AN526" s="112"/>
      <c r="AO526" s="112"/>
      <c r="AP526" s="112"/>
      <c r="AQ526" s="112"/>
      <c r="AR526" s="112"/>
      <c r="AS526" s="112"/>
      <c r="AT526" s="112"/>
      <c r="AU526" s="112"/>
      <c r="AV526" s="112"/>
      <c r="AW526" s="112"/>
      <c r="AY526" s="112"/>
      <c r="AZ526" s="112"/>
      <c r="BA526" s="112"/>
      <c r="BB526" s="112"/>
      <c r="BC526" s="112"/>
      <c r="BD526" s="112"/>
      <c r="BE526" s="112"/>
      <c r="BF526" s="112"/>
      <c r="BG526" s="112"/>
      <c r="BI526" s="112"/>
      <c r="BJ526" s="112"/>
      <c r="BK526" s="112"/>
      <c r="BL526" s="112"/>
    </row>
    <row r="527" spans="17:64" x14ac:dyDescent="0.25">
      <c r="Q527" s="112"/>
      <c r="R527" s="112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112"/>
      <c r="AI527" s="112"/>
      <c r="AJ527" s="112"/>
      <c r="AN527" s="112"/>
      <c r="AO527" s="112"/>
      <c r="AP527" s="112"/>
      <c r="AQ527" s="112"/>
      <c r="AR527" s="112"/>
      <c r="AS527" s="112"/>
      <c r="AT527" s="112"/>
      <c r="AU527" s="112"/>
      <c r="AV527" s="112"/>
      <c r="AW527" s="112"/>
      <c r="AY527" s="112"/>
      <c r="AZ527" s="112"/>
      <c r="BA527" s="112"/>
      <c r="BB527" s="112"/>
      <c r="BC527" s="112"/>
      <c r="BD527" s="112"/>
      <c r="BE527" s="112"/>
      <c r="BF527" s="112"/>
      <c r="BG527" s="112"/>
      <c r="BI527" s="112"/>
      <c r="BJ527" s="112"/>
      <c r="BK527" s="112"/>
      <c r="BL527" s="112"/>
    </row>
    <row r="528" spans="17:64" x14ac:dyDescent="0.25">
      <c r="Q528" s="112"/>
      <c r="R528" s="112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112"/>
      <c r="AI528" s="112"/>
      <c r="AJ528" s="112"/>
      <c r="AN528" s="112"/>
      <c r="AO528" s="112"/>
      <c r="AP528" s="112"/>
      <c r="AQ528" s="112"/>
      <c r="AR528" s="112"/>
      <c r="AS528" s="112"/>
      <c r="AT528" s="112"/>
      <c r="AU528" s="112"/>
      <c r="AV528" s="112"/>
      <c r="AW528" s="112"/>
      <c r="AY528" s="112"/>
      <c r="AZ528" s="112"/>
      <c r="BA528" s="112"/>
      <c r="BB528" s="112"/>
      <c r="BC528" s="112"/>
      <c r="BD528" s="112"/>
      <c r="BE528" s="112"/>
      <c r="BF528" s="112"/>
      <c r="BG528" s="112"/>
      <c r="BI528" s="112"/>
      <c r="BJ528" s="112"/>
      <c r="BK528" s="112"/>
      <c r="BL528" s="112"/>
    </row>
    <row r="529" spans="17:64" x14ac:dyDescent="0.25">
      <c r="Q529" s="112"/>
      <c r="R529" s="112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112"/>
      <c r="AI529" s="112"/>
      <c r="AJ529" s="112"/>
      <c r="AN529" s="112"/>
      <c r="AO529" s="112"/>
      <c r="AP529" s="112"/>
      <c r="AQ529" s="112"/>
      <c r="AR529" s="112"/>
      <c r="AS529" s="112"/>
      <c r="AT529" s="112"/>
      <c r="AU529" s="112"/>
      <c r="AV529" s="112"/>
      <c r="AW529" s="112"/>
      <c r="AY529" s="112"/>
      <c r="AZ529" s="112"/>
      <c r="BA529" s="112"/>
      <c r="BB529" s="112"/>
      <c r="BC529" s="112"/>
      <c r="BD529" s="112"/>
      <c r="BE529" s="112"/>
      <c r="BF529" s="112"/>
      <c r="BG529" s="112"/>
      <c r="BI529" s="112"/>
      <c r="BJ529" s="112"/>
      <c r="BK529" s="112"/>
      <c r="BL529" s="112"/>
    </row>
    <row r="530" spans="17:64" x14ac:dyDescent="0.25">
      <c r="Q530" s="112"/>
      <c r="R530" s="112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112"/>
      <c r="AI530" s="112"/>
      <c r="AJ530" s="112"/>
      <c r="AN530" s="112"/>
      <c r="AO530" s="112"/>
      <c r="AP530" s="112"/>
      <c r="AQ530" s="112"/>
      <c r="AR530" s="112"/>
      <c r="AS530" s="112"/>
      <c r="AT530" s="112"/>
      <c r="AU530" s="112"/>
      <c r="AV530" s="112"/>
      <c r="AW530" s="112"/>
      <c r="AY530" s="112"/>
      <c r="AZ530" s="112"/>
      <c r="BA530" s="112"/>
      <c r="BB530" s="112"/>
      <c r="BC530" s="112"/>
      <c r="BD530" s="112"/>
      <c r="BE530" s="112"/>
      <c r="BF530" s="112"/>
      <c r="BG530" s="112"/>
      <c r="BI530" s="112"/>
      <c r="BJ530" s="112"/>
      <c r="BK530" s="112"/>
      <c r="BL530" s="112"/>
    </row>
    <row r="531" spans="17:64" x14ac:dyDescent="0.25">
      <c r="Q531" s="112"/>
      <c r="R531" s="112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112"/>
      <c r="AI531" s="112"/>
      <c r="AJ531" s="112"/>
      <c r="AN531" s="112"/>
      <c r="AO531" s="112"/>
      <c r="AP531" s="112"/>
      <c r="AQ531" s="112"/>
      <c r="AR531" s="112"/>
      <c r="AS531" s="112"/>
      <c r="AT531" s="112"/>
      <c r="AU531" s="112"/>
      <c r="AV531" s="112"/>
      <c r="AW531" s="112"/>
      <c r="AY531" s="112"/>
      <c r="AZ531" s="112"/>
      <c r="BA531" s="112"/>
      <c r="BB531" s="112"/>
      <c r="BC531" s="112"/>
      <c r="BD531" s="112"/>
      <c r="BE531" s="112"/>
      <c r="BF531" s="112"/>
      <c r="BG531" s="112"/>
      <c r="BI531" s="112"/>
      <c r="BJ531" s="112"/>
      <c r="BK531" s="112"/>
      <c r="BL531" s="112"/>
    </row>
    <row r="532" spans="17:64" x14ac:dyDescent="0.25">
      <c r="Q532" s="112"/>
      <c r="R532" s="112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112"/>
      <c r="AI532" s="112"/>
      <c r="AJ532" s="112"/>
      <c r="AN532" s="112"/>
      <c r="AO532" s="112"/>
      <c r="AP532" s="112"/>
      <c r="AQ532" s="112"/>
      <c r="AR532" s="112"/>
      <c r="AS532" s="112"/>
      <c r="AT532" s="112"/>
      <c r="AU532" s="112"/>
      <c r="AV532" s="112"/>
      <c r="AW532" s="112"/>
      <c r="AY532" s="112"/>
      <c r="AZ532" s="112"/>
      <c r="BA532" s="112"/>
      <c r="BB532" s="112"/>
      <c r="BC532" s="112"/>
      <c r="BD532" s="112"/>
      <c r="BE532" s="112"/>
      <c r="BF532" s="112"/>
      <c r="BG532" s="112"/>
      <c r="BI532" s="112"/>
      <c r="BJ532" s="112"/>
      <c r="BK532" s="112"/>
      <c r="BL532" s="112"/>
    </row>
    <row r="533" spans="17:64" x14ac:dyDescent="0.25">
      <c r="Q533" s="112"/>
      <c r="R533" s="112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112"/>
      <c r="AI533" s="112"/>
      <c r="AJ533" s="112"/>
      <c r="AN533" s="112"/>
      <c r="AO533" s="112"/>
      <c r="AP533" s="112"/>
      <c r="AQ533" s="112"/>
      <c r="AR533" s="112"/>
      <c r="AS533" s="112"/>
      <c r="AT533" s="112"/>
      <c r="AU533" s="112"/>
      <c r="AV533" s="112"/>
      <c r="AW533" s="112"/>
      <c r="AY533" s="112"/>
      <c r="AZ533" s="112"/>
      <c r="BA533" s="112"/>
      <c r="BB533" s="112"/>
      <c r="BC533" s="112"/>
      <c r="BD533" s="112"/>
      <c r="BE533" s="112"/>
      <c r="BF533" s="112"/>
      <c r="BG533" s="112"/>
      <c r="BI533" s="112"/>
      <c r="BJ533" s="112"/>
      <c r="BK533" s="112"/>
      <c r="BL533" s="112"/>
    </row>
    <row r="534" spans="17:64" x14ac:dyDescent="0.25">
      <c r="Q534" s="112"/>
      <c r="R534" s="112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112"/>
      <c r="AI534" s="112"/>
      <c r="AJ534" s="112"/>
      <c r="AN534" s="112"/>
      <c r="AO534" s="112"/>
      <c r="AP534" s="112"/>
      <c r="AQ534" s="112"/>
      <c r="AR534" s="112"/>
      <c r="AS534" s="112"/>
      <c r="AT534" s="112"/>
      <c r="AU534" s="112"/>
      <c r="AV534" s="112"/>
      <c r="AW534" s="112"/>
      <c r="AY534" s="112"/>
      <c r="AZ534" s="112"/>
      <c r="BA534" s="112"/>
      <c r="BB534" s="112"/>
      <c r="BC534" s="112"/>
      <c r="BD534" s="112"/>
      <c r="BE534" s="112"/>
      <c r="BF534" s="112"/>
      <c r="BG534" s="112"/>
      <c r="BI534" s="112"/>
      <c r="BJ534" s="112"/>
      <c r="BK534" s="112"/>
      <c r="BL534" s="112"/>
    </row>
    <row r="535" spans="17:64" x14ac:dyDescent="0.25">
      <c r="Q535" s="112"/>
      <c r="R535" s="112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112"/>
      <c r="AI535" s="112"/>
      <c r="AJ535" s="112"/>
      <c r="AN535" s="112"/>
      <c r="AO535" s="112"/>
      <c r="AP535" s="112"/>
      <c r="AQ535" s="112"/>
      <c r="AR535" s="112"/>
      <c r="AS535" s="112"/>
      <c r="AT535" s="112"/>
      <c r="AU535" s="112"/>
      <c r="AV535" s="112"/>
      <c r="AW535" s="112"/>
      <c r="AY535" s="112"/>
      <c r="AZ535" s="112"/>
      <c r="BA535" s="112"/>
      <c r="BB535" s="112"/>
      <c r="BC535" s="112"/>
      <c r="BD535" s="112"/>
      <c r="BE535" s="112"/>
      <c r="BF535" s="112"/>
      <c r="BG535" s="112"/>
      <c r="BI535" s="112"/>
      <c r="BJ535" s="112"/>
      <c r="BK535" s="112"/>
      <c r="BL535" s="112"/>
    </row>
    <row r="536" spans="17:64" x14ac:dyDescent="0.25">
      <c r="Q536" s="112"/>
      <c r="R536" s="112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112"/>
      <c r="AI536" s="112"/>
      <c r="AJ536" s="112"/>
      <c r="AN536" s="112"/>
      <c r="AO536" s="112"/>
      <c r="AP536" s="112"/>
      <c r="AQ536" s="112"/>
      <c r="AR536" s="112"/>
      <c r="AS536" s="112"/>
      <c r="AT536" s="112"/>
      <c r="AU536" s="112"/>
      <c r="AV536" s="112"/>
      <c r="AW536" s="112"/>
      <c r="AY536" s="112"/>
      <c r="AZ536" s="112"/>
      <c r="BA536" s="112"/>
      <c r="BB536" s="112"/>
      <c r="BC536" s="112"/>
      <c r="BD536" s="112"/>
      <c r="BE536" s="112"/>
      <c r="BF536" s="112"/>
      <c r="BG536" s="112"/>
      <c r="BI536" s="112"/>
      <c r="BJ536" s="112"/>
      <c r="BK536" s="112"/>
      <c r="BL536" s="112"/>
    </row>
    <row r="537" spans="17:64" x14ac:dyDescent="0.25">
      <c r="Q537" s="112"/>
      <c r="R537" s="112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112"/>
      <c r="AI537" s="112"/>
      <c r="AJ537" s="112"/>
      <c r="AN537" s="112"/>
      <c r="AO537" s="112"/>
      <c r="AP537" s="112"/>
      <c r="AQ537" s="112"/>
      <c r="AR537" s="112"/>
      <c r="AS537" s="112"/>
      <c r="AT537" s="112"/>
      <c r="AU537" s="112"/>
      <c r="AV537" s="112"/>
      <c r="AW537" s="112"/>
      <c r="AY537" s="112"/>
      <c r="AZ537" s="112"/>
      <c r="BA537" s="112"/>
      <c r="BB537" s="112"/>
      <c r="BC537" s="112"/>
      <c r="BD537" s="112"/>
      <c r="BE537" s="112"/>
      <c r="BF537" s="112"/>
      <c r="BG537" s="112"/>
      <c r="BI537" s="112"/>
      <c r="BJ537" s="112"/>
      <c r="BK537" s="112"/>
      <c r="BL537" s="112"/>
    </row>
    <row r="538" spans="17:64" x14ac:dyDescent="0.25">
      <c r="Q538" s="112"/>
      <c r="R538" s="112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112"/>
      <c r="AI538" s="112"/>
      <c r="AJ538" s="112"/>
      <c r="AN538" s="112"/>
      <c r="AO538" s="112"/>
      <c r="AP538" s="112"/>
      <c r="AQ538" s="112"/>
      <c r="AR538" s="112"/>
      <c r="AS538" s="112"/>
      <c r="AT538" s="112"/>
      <c r="AU538" s="112"/>
      <c r="AV538" s="112"/>
      <c r="AW538" s="112"/>
      <c r="AY538" s="112"/>
      <c r="AZ538" s="112"/>
      <c r="BA538" s="112"/>
      <c r="BB538" s="112"/>
      <c r="BC538" s="112"/>
      <c r="BD538" s="112"/>
      <c r="BE538" s="112"/>
      <c r="BF538" s="112"/>
      <c r="BG538" s="112"/>
      <c r="BI538" s="112"/>
      <c r="BJ538" s="112"/>
      <c r="BK538" s="112"/>
      <c r="BL538" s="112"/>
    </row>
    <row r="539" spans="17:64" x14ac:dyDescent="0.25">
      <c r="Q539" s="112"/>
      <c r="R539" s="112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112"/>
      <c r="AI539" s="112"/>
      <c r="AJ539" s="112"/>
      <c r="AN539" s="112"/>
      <c r="AO539" s="112"/>
      <c r="AP539" s="112"/>
      <c r="AQ539" s="112"/>
      <c r="AR539" s="112"/>
      <c r="AS539" s="112"/>
      <c r="AT539" s="112"/>
      <c r="AU539" s="112"/>
      <c r="AV539" s="112"/>
      <c r="AW539" s="112"/>
      <c r="AY539" s="112"/>
      <c r="AZ539" s="112"/>
      <c r="BA539" s="112"/>
      <c r="BB539" s="112"/>
      <c r="BC539" s="112"/>
      <c r="BD539" s="112"/>
      <c r="BE539" s="112"/>
      <c r="BF539" s="112"/>
      <c r="BG539" s="112"/>
      <c r="BI539" s="112"/>
      <c r="BJ539" s="112"/>
      <c r="BK539" s="112"/>
      <c r="BL539" s="112"/>
    </row>
    <row r="540" spans="17:64" x14ac:dyDescent="0.25">
      <c r="Q540" s="112"/>
      <c r="R540" s="112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112"/>
      <c r="AI540" s="112"/>
      <c r="AJ540" s="112"/>
      <c r="AN540" s="112"/>
      <c r="AO540" s="112"/>
      <c r="AP540" s="112"/>
      <c r="AQ540" s="112"/>
      <c r="AR540" s="112"/>
      <c r="AS540" s="112"/>
      <c r="AT540" s="112"/>
      <c r="AU540" s="112"/>
      <c r="AV540" s="112"/>
      <c r="AW540" s="112"/>
      <c r="AY540" s="112"/>
      <c r="AZ540" s="112"/>
      <c r="BA540" s="112"/>
      <c r="BB540" s="112"/>
      <c r="BC540" s="112"/>
      <c r="BD540" s="112"/>
      <c r="BE540" s="112"/>
      <c r="BF540" s="112"/>
      <c r="BG540" s="112"/>
      <c r="BI540" s="112"/>
      <c r="BJ540" s="112"/>
      <c r="BK540" s="112"/>
      <c r="BL540" s="112"/>
    </row>
    <row r="541" spans="17:64" x14ac:dyDescent="0.25">
      <c r="Q541" s="112"/>
      <c r="R541" s="112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112"/>
      <c r="AI541" s="112"/>
      <c r="AJ541" s="112"/>
      <c r="AN541" s="112"/>
      <c r="AO541" s="112"/>
      <c r="AP541" s="112"/>
      <c r="AQ541" s="112"/>
      <c r="AR541" s="112"/>
      <c r="AS541" s="112"/>
      <c r="AT541" s="112"/>
      <c r="AU541" s="112"/>
      <c r="AV541" s="112"/>
      <c r="AW541" s="112"/>
      <c r="AY541" s="112"/>
      <c r="AZ541" s="112"/>
      <c r="BA541" s="112"/>
      <c r="BB541" s="112"/>
      <c r="BC541" s="112"/>
      <c r="BD541" s="112"/>
      <c r="BE541" s="112"/>
      <c r="BF541" s="112"/>
      <c r="BG541" s="112"/>
      <c r="BI541" s="112"/>
      <c r="BJ541" s="112"/>
      <c r="BK541" s="112"/>
      <c r="BL541" s="112"/>
    </row>
    <row r="542" spans="17:64" x14ac:dyDescent="0.25">
      <c r="Q542" s="112"/>
      <c r="R542" s="112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112"/>
      <c r="AI542" s="112"/>
      <c r="AJ542" s="112"/>
      <c r="AN542" s="112"/>
      <c r="AO542" s="112"/>
      <c r="AP542" s="112"/>
      <c r="AQ542" s="112"/>
      <c r="AR542" s="112"/>
      <c r="AS542" s="112"/>
      <c r="AT542" s="112"/>
      <c r="AU542" s="112"/>
      <c r="AV542" s="112"/>
      <c r="AW542" s="112"/>
      <c r="AY542" s="112"/>
      <c r="AZ542" s="112"/>
      <c r="BA542" s="112"/>
      <c r="BB542" s="112"/>
      <c r="BC542" s="112"/>
      <c r="BD542" s="112"/>
      <c r="BE542" s="112"/>
      <c r="BF542" s="112"/>
      <c r="BG542" s="112"/>
      <c r="BI542" s="112"/>
      <c r="BJ542" s="112"/>
      <c r="BK542" s="112"/>
      <c r="BL542" s="112"/>
    </row>
    <row r="543" spans="17:64" x14ac:dyDescent="0.25">
      <c r="Q543" s="112"/>
      <c r="R543" s="112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112"/>
      <c r="AI543" s="112"/>
      <c r="AJ543" s="112"/>
      <c r="AN543" s="112"/>
      <c r="AO543" s="112"/>
      <c r="AP543" s="112"/>
      <c r="AQ543" s="112"/>
      <c r="AR543" s="112"/>
      <c r="AS543" s="112"/>
      <c r="AT543" s="112"/>
      <c r="AU543" s="112"/>
      <c r="AV543" s="112"/>
      <c r="AW543" s="112"/>
      <c r="AY543" s="112"/>
      <c r="AZ543" s="112"/>
      <c r="BA543" s="112"/>
      <c r="BB543" s="112"/>
      <c r="BC543" s="112"/>
      <c r="BD543" s="112"/>
      <c r="BE543" s="112"/>
      <c r="BF543" s="112"/>
      <c r="BG543" s="112"/>
      <c r="BI543" s="112"/>
      <c r="BJ543" s="112"/>
      <c r="BK543" s="112"/>
      <c r="BL543" s="112"/>
    </row>
    <row r="544" spans="17:64" x14ac:dyDescent="0.25">
      <c r="Q544" s="112"/>
      <c r="R544" s="112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112"/>
      <c r="AI544" s="112"/>
      <c r="AJ544" s="112"/>
      <c r="AN544" s="112"/>
      <c r="AO544" s="112"/>
      <c r="AP544" s="112"/>
      <c r="AQ544" s="112"/>
      <c r="AR544" s="112"/>
      <c r="AS544" s="112"/>
      <c r="AT544" s="112"/>
      <c r="AU544" s="112"/>
      <c r="AV544" s="112"/>
      <c r="AW544" s="112"/>
      <c r="AY544" s="112"/>
      <c r="AZ544" s="112"/>
      <c r="BA544" s="112"/>
      <c r="BB544" s="112"/>
      <c r="BC544" s="112"/>
      <c r="BD544" s="112"/>
      <c r="BE544" s="112"/>
      <c r="BF544" s="112"/>
      <c r="BG544" s="112"/>
      <c r="BI544" s="112"/>
      <c r="BJ544" s="112"/>
      <c r="BK544" s="112"/>
      <c r="BL544" s="112"/>
    </row>
    <row r="545" spans="17:64" x14ac:dyDescent="0.25">
      <c r="Q545" s="112"/>
      <c r="R545" s="112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112"/>
      <c r="AI545" s="112"/>
      <c r="AJ545" s="112"/>
      <c r="AN545" s="112"/>
      <c r="AO545" s="112"/>
      <c r="AP545" s="112"/>
      <c r="AQ545" s="112"/>
      <c r="AR545" s="112"/>
      <c r="AS545" s="112"/>
      <c r="AT545" s="112"/>
      <c r="AU545" s="112"/>
      <c r="AV545" s="112"/>
      <c r="AW545" s="112"/>
      <c r="AY545" s="112"/>
      <c r="AZ545" s="112"/>
      <c r="BA545" s="112"/>
      <c r="BB545" s="112"/>
      <c r="BC545" s="112"/>
      <c r="BD545" s="112"/>
      <c r="BE545" s="112"/>
      <c r="BF545" s="112"/>
      <c r="BG545" s="112"/>
      <c r="BI545" s="112"/>
      <c r="BJ545" s="112"/>
      <c r="BK545" s="112"/>
      <c r="BL545" s="112"/>
    </row>
    <row r="546" spans="17:64" x14ac:dyDescent="0.25">
      <c r="Q546" s="112"/>
      <c r="R546" s="112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112"/>
      <c r="AI546" s="112"/>
      <c r="AJ546" s="112"/>
      <c r="AN546" s="112"/>
      <c r="AO546" s="112"/>
      <c r="AP546" s="112"/>
      <c r="AQ546" s="112"/>
      <c r="AR546" s="112"/>
      <c r="AS546" s="112"/>
      <c r="AT546" s="112"/>
      <c r="AU546" s="112"/>
      <c r="AV546" s="112"/>
      <c r="AW546" s="112"/>
      <c r="AY546" s="112"/>
      <c r="AZ546" s="112"/>
      <c r="BA546" s="112"/>
      <c r="BB546" s="112"/>
      <c r="BC546" s="112"/>
      <c r="BD546" s="112"/>
      <c r="BE546" s="112"/>
      <c r="BF546" s="112"/>
      <c r="BG546" s="112"/>
      <c r="BI546" s="112"/>
      <c r="BJ546" s="112"/>
      <c r="BK546" s="112"/>
      <c r="BL546" s="112"/>
    </row>
    <row r="547" spans="17:64" x14ac:dyDescent="0.25">
      <c r="Q547" s="112"/>
      <c r="R547" s="112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112"/>
      <c r="AI547" s="112"/>
      <c r="AJ547" s="112"/>
      <c r="AN547" s="112"/>
      <c r="AO547" s="112"/>
      <c r="AP547" s="112"/>
      <c r="AQ547" s="112"/>
      <c r="AR547" s="112"/>
      <c r="AS547" s="112"/>
      <c r="AT547" s="112"/>
      <c r="AU547" s="112"/>
      <c r="AV547" s="112"/>
      <c r="AW547" s="112"/>
      <c r="AY547" s="112"/>
      <c r="AZ547" s="112"/>
      <c r="BA547" s="112"/>
      <c r="BB547" s="112"/>
      <c r="BC547" s="112"/>
      <c r="BD547" s="112"/>
      <c r="BE547" s="112"/>
      <c r="BF547" s="112"/>
      <c r="BG547" s="112"/>
      <c r="BI547" s="112"/>
      <c r="BJ547" s="112"/>
      <c r="BK547" s="112"/>
      <c r="BL547" s="112"/>
    </row>
    <row r="548" spans="17:64" x14ac:dyDescent="0.25">
      <c r="Q548" s="112"/>
      <c r="R548" s="112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112"/>
      <c r="AI548" s="112"/>
      <c r="AJ548" s="112"/>
      <c r="AN548" s="112"/>
      <c r="AO548" s="112"/>
      <c r="AP548" s="112"/>
      <c r="AQ548" s="112"/>
      <c r="AR548" s="112"/>
      <c r="AS548" s="112"/>
      <c r="AT548" s="112"/>
      <c r="AU548" s="112"/>
      <c r="AV548" s="112"/>
      <c r="AW548" s="112"/>
      <c r="AY548" s="112"/>
      <c r="AZ548" s="112"/>
      <c r="BA548" s="112"/>
      <c r="BB548" s="112"/>
      <c r="BC548" s="112"/>
      <c r="BD548" s="112"/>
      <c r="BE548" s="112"/>
      <c r="BF548" s="112"/>
      <c r="BG548" s="112"/>
      <c r="BI548" s="112"/>
      <c r="BJ548" s="112"/>
      <c r="BK548" s="112"/>
      <c r="BL548" s="112"/>
    </row>
    <row r="549" spans="17:64" x14ac:dyDescent="0.25">
      <c r="Q549" s="112"/>
      <c r="R549" s="112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112"/>
      <c r="AI549" s="112"/>
      <c r="AJ549" s="112"/>
      <c r="AN549" s="112"/>
      <c r="AO549" s="112"/>
      <c r="AP549" s="112"/>
      <c r="AQ549" s="112"/>
      <c r="AR549" s="112"/>
      <c r="AS549" s="112"/>
      <c r="AT549" s="112"/>
      <c r="AU549" s="112"/>
      <c r="AV549" s="112"/>
      <c r="AW549" s="112"/>
      <c r="AY549" s="112"/>
      <c r="AZ549" s="112"/>
      <c r="BA549" s="112"/>
      <c r="BB549" s="112"/>
      <c r="BC549" s="112"/>
      <c r="BD549" s="112"/>
      <c r="BE549" s="112"/>
      <c r="BF549" s="112"/>
      <c r="BG549" s="112"/>
      <c r="BI549" s="112"/>
      <c r="BJ549" s="112"/>
      <c r="BK549" s="112"/>
      <c r="BL549" s="112"/>
    </row>
    <row r="550" spans="17:64" x14ac:dyDescent="0.25">
      <c r="Q550" s="112"/>
      <c r="R550" s="112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112"/>
      <c r="AI550" s="112"/>
      <c r="AJ550" s="112"/>
      <c r="AN550" s="112"/>
      <c r="AO550" s="112"/>
      <c r="AP550" s="112"/>
      <c r="AQ550" s="112"/>
      <c r="AR550" s="112"/>
      <c r="AS550" s="112"/>
      <c r="AT550" s="112"/>
      <c r="AU550" s="112"/>
      <c r="AV550" s="112"/>
      <c r="AW550" s="112"/>
      <c r="AY550" s="112"/>
      <c r="AZ550" s="112"/>
      <c r="BA550" s="112"/>
      <c r="BB550" s="112"/>
      <c r="BC550" s="112"/>
      <c r="BD550" s="112"/>
      <c r="BE550" s="112"/>
      <c r="BF550" s="112"/>
      <c r="BG550" s="112"/>
      <c r="BI550" s="112"/>
      <c r="BJ550" s="112"/>
      <c r="BK550" s="112"/>
      <c r="BL550" s="112"/>
    </row>
    <row r="551" spans="17:64" x14ac:dyDescent="0.25">
      <c r="Q551" s="112"/>
      <c r="R551" s="112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112"/>
      <c r="AI551" s="112"/>
      <c r="AJ551" s="112"/>
      <c r="AN551" s="112"/>
      <c r="AO551" s="112"/>
      <c r="AP551" s="112"/>
      <c r="AQ551" s="112"/>
      <c r="AR551" s="112"/>
      <c r="AS551" s="112"/>
      <c r="AT551" s="112"/>
      <c r="AU551" s="112"/>
      <c r="AV551" s="112"/>
      <c r="AW551" s="112"/>
      <c r="AY551" s="112"/>
      <c r="AZ551" s="112"/>
      <c r="BA551" s="112"/>
      <c r="BB551" s="112"/>
      <c r="BC551" s="112"/>
      <c r="BD551" s="112"/>
      <c r="BE551" s="112"/>
      <c r="BF551" s="112"/>
      <c r="BG551" s="112"/>
      <c r="BI551" s="112"/>
      <c r="BJ551" s="112"/>
      <c r="BK551" s="112"/>
      <c r="BL551" s="112"/>
    </row>
    <row r="552" spans="17:64" x14ac:dyDescent="0.25">
      <c r="Q552" s="112"/>
      <c r="R552" s="112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112"/>
      <c r="AI552" s="112"/>
      <c r="AJ552" s="112"/>
      <c r="AN552" s="112"/>
      <c r="AO552" s="112"/>
      <c r="AP552" s="112"/>
      <c r="AQ552" s="112"/>
      <c r="AR552" s="112"/>
      <c r="AS552" s="112"/>
      <c r="AT552" s="112"/>
      <c r="AU552" s="112"/>
      <c r="AV552" s="112"/>
      <c r="AW552" s="112"/>
      <c r="AY552" s="112"/>
      <c r="AZ552" s="112"/>
      <c r="BA552" s="112"/>
      <c r="BB552" s="112"/>
      <c r="BC552" s="112"/>
      <c r="BD552" s="112"/>
      <c r="BE552" s="112"/>
      <c r="BF552" s="112"/>
      <c r="BG552" s="112"/>
      <c r="BI552" s="112"/>
      <c r="BJ552" s="112"/>
      <c r="BK552" s="112"/>
      <c r="BL552" s="112"/>
    </row>
    <row r="553" spans="17:64" x14ac:dyDescent="0.25">
      <c r="Q553" s="112"/>
      <c r="R553" s="112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112"/>
      <c r="AI553" s="112"/>
      <c r="AJ553" s="112"/>
      <c r="AN553" s="112"/>
      <c r="AO553" s="112"/>
      <c r="AP553" s="112"/>
      <c r="AQ553" s="112"/>
      <c r="AR553" s="112"/>
      <c r="AS553" s="112"/>
      <c r="AT553" s="112"/>
      <c r="AU553" s="112"/>
      <c r="AV553" s="112"/>
      <c r="AW553" s="112"/>
      <c r="AY553" s="112"/>
      <c r="AZ553" s="112"/>
      <c r="BA553" s="112"/>
      <c r="BB553" s="112"/>
      <c r="BC553" s="112"/>
      <c r="BD553" s="112"/>
      <c r="BE553" s="112"/>
      <c r="BF553" s="112"/>
      <c r="BG553" s="112"/>
      <c r="BI553" s="112"/>
      <c r="BJ553" s="112"/>
      <c r="BK553" s="112"/>
      <c r="BL553" s="112"/>
    </row>
    <row r="554" spans="17:64" x14ac:dyDescent="0.25">
      <c r="Q554" s="112"/>
      <c r="R554" s="112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112"/>
      <c r="AI554" s="112"/>
      <c r="AJ554" s="112"/>
      <c r="AN554" s="112"/>
      <c r="AO554" s="112"/>
      <c r="AP554" s="112"/>
      <c r="AQ554" s="112"/>
      <c r="AR554" s="112"/>
      <c r="AS554" s="112"/>
      <c r="AT554" s="112"/>
      <c r="AU554" s="112"/>
      <c r="AV554" s="112"/>
      <c r="AW554" s="112"/>
      <c r="AY554" s="112"/>
      <c r="AZ554" s="112"/>
      <c r="BA554" s="112"/>
      <c r="BB554" s="112"/>
      <c r="BC554" s="112"/>
      <c r="BD554" s="112"/>
      <c r="BE554" s="112"/>
      <c r="BF554" s="112"/>
      <c r="BG554" s="112"/>
      <c r="BI554" s="112"/>
      <c r="BJ554" s="112"/>
      <c r="BK554" s="112"/>
      <c r="BL554" s="112"/>
    </row>
    <row r="555" spans="17:64" x14ac:dyDescent="0.25">
      <c r="Q555" s="112"/>
      <c r="R555" s="112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112"/>
      <c r="AI555" s="112"/>
      <c r="AJ555" s="112"/>
      <c r="AN555" s="112"/>
      <c r="AO555" s="112"/>
      <c r="AP555" s="112"/>
      <c r="AQ555" s="112"/>
      <c r="AR555" s="112"/>
      <c r="AS555" s="112"/>
      <c r="AT555" s="112"/>
      <c r="AU555" s="112"/>
      <c r="AV555" s="112"/>
      <c r="AW555" s="112"/>
      <c r="AY555" s="112"/>
      <c r="AZ555" s="112"/>
      <c r="BA555" s="112"/>
      <c r="BB555" s="112"/>
      <c r="BC555" s="112"/>
      <c r="BD555" s="112"/>
      <c r="BE555" s="112"/>
      <c r="BF555" s="112"/>
      <c r="BG555" s="112"/>
      <c r="BI555" s="112"/>
      <c r="BJ555" s="112"/>
      <c r="BK555" s="112"/>
      <c r="BL555" s="112"/>
    </row>
    <row r="556" spans="17:64" x14ac:dyDescent="0.25">
      <c r="Q556" s="112"/>
      <c r="R556" s="112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112"/>
      <c r="AI556" s="112"/>
      <c r="AJ556" s="112"/>
      <c r="AN556" s="112"/>
      <c r="AO556" s="112"/>
      <c r="AP556" s="112"/>
      <c r="AQ556" s="112"/>
      <c r="AR556" s="112"/>
      <c r="AS556" s="112"/>
      <c r="AT556" s="112"/>
      <c r="AU556" s="112"/>
      <c r="AV556" s="112"/>
      <c r="AW556" s="112"/>
      <c r="AY556" s="112"/>
      <c r="AZ556" s="112"/>
      <c r="BA556" s="112"/>
      <c r="BB556" s="112"/>
      <c r="BC556" s="112"/>
      <c r="BD556" s="112"/>
      <c r="BE556" s="112"/>
      <c r="BF556" s="112"/>
      <c r="BG556" s="112"/>
      <c r="BI556" s="112"/>
      <c r="BJ556" s="112"/>
      <c r="BK556" s="112"/>
      <c r="BL556" s="112"/>
    </row>
    <row r="557" spans="17:64" x14ac:dyDescent="0.25">
      <c r="Q557" s="112"/>
      <c r="R557" s="112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112"/>
      <c r="AI557" s="112"/>
      <c r="AJ557" s="112"/>
      <c r="AN557" s="112"/>
      <c r="AO557" s="112"/>
      <c r="AP557" s="112"/>
      <c r="AQ557" s="112"/>
      <c r="AR557" s="112"/>
      <c r="AS557" s="112"/>
      <c r="AT557" s="112"/>
      <c r="AU557" s="112"/>
      <c r="AV557" s="112"/>
      <c r="AW557" s="112"/>
      <c r="AY557" s="112"/>
      <c r="AZ557" s="112"/>
      <c r="BA557" s="112"/>
      <c r="BB557" s="112"/>
      <c r="BC557" s="112"/>
      <c r="BD557" s="112"/>
      <c r="BE557" s="112"/>
      <c r="BF557" s="112"/>
      <c r="BG557" s="112"/>
      <c r="BI557" s="112"/>
      <c r="BJ557" s="112"/>
      <c r="BK557" s="112"/>
      <c r="BL557" s="112"/>
    </row>
    <row r="558" spans="17:64" x14ac:dyDescent="0.25">
      <c r="Q558" s="112"/>
      <c r="R558" s="112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112"/>
      <c r="AI558" s="112"/>
      <c r="AJ558" s="112"/>
      <c r="AN558" s="112"/>
      <c r="AO558" s="112"/>
      <c r="AP558" s="112"/>
      <c r="AQ558" s="112"/>
      <c r="AR558" s="112"/>
      <c r="AS558" s="112"/>
      <c r="AT558" s="112"/>
      <c r="AU558" s="112"/>
      <c r="AV558" s="112"/>
      <c r="AW558" s="112"/>
      <c r="AY558" s="112"/>
      <c r="AZ558" s="112"/>
      <c r="BA558" s="112"/>
      <c r="BB558" s="112"/>
      <c r="BC558" s="112"/>
      <c r="BD558" s="112"/>
      <c r="BE558" s="112"/>
      <c r="BF558" s="112"/>
      <c r="BG558" s="112"/>
      <c r="BI558" s="112"/>
      <c r="BJ558" s="112"/>
      <c r="BK558" s="112"/>
      <c r="BL558" s="112"/>
    </row>
    <row r="559" spans="17:64" x14ac:dyDescent="0.25">
      <c r="Q559" s="112"/>
      <c r="R559" s="112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112"/>
      <c r="AI559" s="112"/>
      <c r="AJ559" s="112"/>
      <c r="AN559" s="112"/>
      <c r="AO559" s="112"/>
      <c r="AP559" s="112"/>
      <c r="AQ559" s="112"/>
      <c r="AR559" s="112"/>
      <c r="AS559" s="112"/>
      <c r="AT559" s="112"/>
      <c r="AU559" s="112"/>
      <c r="AV559" s="112"/>
      <c r="AW559" s="112"/>
      <c r="AY559" s="112"/>
      <c r="AZ559" s="112"/>
      <c r="BA559" s="112"/>
      <c r="BB559" s="112"/>
      <c r="BC559" s="112"/>
      <c r="BD559" s="112"/>
      <c r="BE559" s="112"/>
      <c r="BF559" s="112"/>
      <c r="BG559" s="112"/>
      <c r="BI559" s="112"/>
      <c r="BJ559" s="112"/>
      <c r="BK559" s="112"/>
      <c r="BL559" s="112"/>
    </row>
    <row r="560" spans="17:64" x14ac:dyDescent="0.25">
      <c r="Q560" s="112"/>
      <c r="R560" s="112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112"/>
      <c r="AI560" s="112"/>
      <c r="AJ560" s="112"/>
      <c r="AN560" s="112"/>
      <c r="AO560" s="112"/>
      <c r="AP560" s="112"/>
      <c r="AQ560" s="112"/>
      <c r="AR560" s="112"/>
      <c r="AS560" s="112"/>
      <c r="AT560" s="112"/>
      <c r="AU560" s="112"/>
      <c r="AV560" s="112"/>
      <c r="AW560" s="112"/>
      <c r="AY560" s="112"/>
      <c r="AZ560" s="112"/>
      <c r="BA560" s="112"/>
      <c r="BB560" s="112"/>
      <c r="BC560" s="112"/>
      <c r="BD560" s="112"/>
      <c r="BE560" s="112"/>
      <c r="BF560" s="112"/>
      <c r="BG560" s="112"/>
      <c r="BI560" s="112"/>
      <c r="BJ560" s="112"/>
      <c r="BK560" s="112"/>
      <c r="BL560" s="112"/>
    </row>
    <row r="561" spans="17:64" x14ac:dyDescent="0.25">
      <c r="Q561" s="112"/>
      <c r="R561" s="112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112"/>
      <c r="AI561" s="112"/>
      <c r="AJ561" s="112"/>
      <c r="AN561" s="112"/>
      <c r="AO561" s="112"/>
      <c r="AP561" s="112"/>
      <c r="AQ561" s="112"/>
      <c r="AR561" s="112"/>
      <c r="AS561" s="112"/>
      <c r="AT561" s="112"/>
      <c r="AU561" s="112"/>
      <c r="AV561" s="112"/>
      <c r="AW561" s="112"/>
      <c r="AY561" s="112"/>
      <c r="AZ561" s="112"/>
      <c r="BA561" s="112"/>
      <c r="BB561" s="112"/>
      <c r="BC561" s="112"/>
      <c r="BD561" s="112"/>
      <c r="BE561" s="112"/>
      <c r="BF561" s="112"/>
      <c r="BG561" s="112"/>
      <c r="BI561" s="112"/>
      <c r="BJ561" s="112"/>
      <c r="BK561" s="112"/>
      <c r="BL561" s="112"/>
    </row>
    <row r="562" spans="17:64" x14ac:dyDescent="0.25">
      <c r="Q562" s="112"/>
      <c r="R562" s="112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112"/>
      <c r="AI562" s="112"/>
      <c r="AJ562" s="112"/>
      <c r="AN562" s="112"/>
      <c r="AO562" s="112"/>
      <c r="AP562" s="112"/>
      <c r="AQ562" s="112"/>
      <c r="AR562" s="112"/>
      <c r="AS562" s="112"/>
      <c r="AT562" s="112"/>
      <c r="AU562" s="112"/>
      <c r="AV562" s="112"/>
      <c r="AW562" s="112"/>
      <c r="AY562" s="112"/>
      <c r="AZ562" s="112"/>
      <c r="BA562" s="112"/>
      <c r="BB562" s="112"/>
      <c r="BC562" s="112"/>
      <c r="BD562" s="112"/>
      <c r="BE562" s="112"/>
      <c r="BF562" s="112"/>
      <c r="BG562" s="112"/>
      <c r="BI562" s="112"/>
      <c r="BJ562" s="112"/>
      <c r="BK562" s="112"/>
      <c r="BL562" s="112"/>
    </row>
    <row r="563" spans="17:64" x14ac:dyDescent="0.25">
      <c r="Q563" s="112"/>
      <c r="R563" s="112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112"/>
      <c r="AI563" s="112"/>
      <c r="AJ563" s="112"/>
      <c r="AN563" s="112"/>
      <c r="AO563" s="112"/>
      <c r="AP563" s="112"/>
      <c r="AQ563" s="112"/>
      <c r="AR563" s="112"/>
      <c r="AS563" s="112"/>
      <c r="AT563" s="112"/>
      <c r="AU563" s="112"/>
      <c r="AV563" s="112"/>
      <c r="AW563" s="112"/>
      <c r="AY563" s="112"/>
      <c r="AZ563" s="112"/>
      <c r="BA563" s="112"/>
      <c r="BB563" s="112"/>
      <c r="BC563" s="112"/>
      <c r="BD563" s="112"/>
      <c r="BE563" s="112"/>
      <c r="BF563" s="112"/>
      <c r="BG563" s="112"/>
      <c r="BI563" s="112"/>
      <c r="BJ563" s="112"/>
      <c r="BK563" s="112"/>
      <c r="BL563" s="112"/>
    </row>
    <row r="564" spans="17:64" x14ac:dyDescent="0.25">
      <c r="Q564" s="112"/>
      <c r="R564" s="112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112"/>
      <c r="AI564" s="112"/>
      <c r="AJ564" s="112"/>
      <c r="AN564" s="112"/>
      <c r="AO564" s="112"/>
      <c r="AP564" s="112"/>
      <c r="AQ564" s="112"/>
      <c r="AR564" s="112"/>
      <c r="AS564" s="112"/>
      <c r="AT564" s="112"/>
      <c r="AU564" s="112"/>
      <c r="AV564" s="112"/>
      <c r="AW564" s="112"/>
      <c r="AY564" s="112"/>
      <c r="AZ564" s="112"/>
      <c r="BA564" s="112"/>
      <c r="BB564" s="112"/>
      <c r="BC564" s="112"/>
      <c r="BD564" s="112"/>
      <c r="BE564" s="112"/>
      <c r="BF564" s="112"/>
      <c r="BG564" s="112"/>
      <c r="BI564" s="112"/>
      <c r="BJ564" s="112"/>
      <c r="BK564" s="112"/>
      <c r="BL564" s="112"/>
    </row>
    <row r="565" spans="17:64" x14ac:dyDescent="0.25">
      <c r="Q565" s="112"/>
      <c r="R565" s="112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112"/>
      <c r="AI565" s="112"/>
      <c r="AJ565" s="112"/>
      <c r="AN565" s="112"/>
      <c r="AO565" s="112"/>
      <c r="AP565" s="112"/>
      <c r="AQ565" s="112"/>
      <c r="AR565" s="112"/>
      <c r="AS565" s="112"/>
      <c r="AT565" s="112"/>
      <c r="AU565" s="112"/>
      <c r="AV565" s="112"/>
      <c r="AW565" s="112"/>
      <c r="AY565" s="112"/>
      <c r="AZ565" s="112"/>
      <c r="BA565" s="112"/>
      <c r="BB565" s="112"/>
      <c r="BC565" s="112"/>
      <c r="BD565" s="112"/>
      <c r="BE565" s="112"/>
      <c r="BF565" s="112"/>
      <c r="BG565" s="112"/>
      <c r="BI565" s="112"/>
      <c r="BJ565" s="112"/>
      <c r="BK565" s="112"/>
      <c r="BL565" s="112"/>
    </row>
    <row r="566" spans="17:64" x14ac:dyDescent="0.25">
      <c r="Q566" s="112"/>
      <c r="R566" s="112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112"/>
      <c r="AI566" s="112"/>
      <c r="AJ566" s="112"/>
      <c r="AN566" s="112"/>
      <c r="AO566" s="112"/>
      <c r="AP566" s="112"/>
      <c r="AQ566" s="112"/>
      <c r="AR566" s="112"/>
      <c r="AS566" s="112"/>
      <c r="AT566" s="112"/>
      <c r="AU566" s="112"/>
      <c r="AV566" s="112"/>
      <c r="AW566" s="112"/>
      <c r="AY566" s="112"/>
      <c r="AZ566" s="112"/>
      <c r="BA566" s="112"/>
      <c r="BB566" s="112"/>
      <c r="BC566" s="112"/>
      <c r="BD566" s="112"/>
      <c r="BE566" s="112"/>
      <c r="BF566" s="112"/>
      <c r="BG566" s="112"/>
      <c r="BI566" s="112"/>
      <c r="BJ566" s="112"/>
      <c r="BK566" s="112"/>
      <c r="BL566" s="112"/>
    </row>
    <row r="567" spans="17:64" x14ac:dyDescent="0.25">
      <c r="Q567" s="112"/>
      <c r="R567" s="112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112"/>
      <c r="AI567" s="112"/>
      <c r="AJ567" s="112"/>
      <c r="AN567" s="112"/>
      <c r="AO567" s="112"/>
      <c r="AP567" s="112"/>
      <c r="AQ567" s="112"/>
      <c r="AR567" s="112"/>
      <c r="AS567" s="112"/>
      <c r="AT567" s="112"/>
      <c r="AU567" s="112"/>
      <c r="AV567" s="112"/>
      <c r="AW567" s="112"/>
      <c r="AY567" s="112"/>
      <c r="AZ567" s="112"/>
      <c r="BA567" s="112"/>
      <c r="BB567" s="112"/>
      <c r="BC567" s="112"/>
      <c r="BD567" s="112"/>
      <c r="BE567" s="112"/>
      <c r="BF567" s="112"/>
      <c r="BG567" s="112"/>
      <c r="BI567" s="112"/>
      <c r="BJ567" s="112"/>
      <c r="BK567" s="112"/>
      <c r="BL567" s="112"/>
    </row>
    <row r="568" spans="17:64" x14ac:dyDescent="0.25">
      <c r="Q568" s="112"/>
      <c r="R568" s="112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112"/>
      <c r="AI568" s="112"/>
      <c r="AJ568" s="112"/>
      <c r="AN568" s="112"/>
      <c r="AO568" s="112"/>
      <c r="AP568" s="112"/>
      <c r="AQ568" s="112"/>
      <c r="AR568" s="112"/>
      <c r="AS568" s="112"/>
      <c r="AT568" s="112"/>
      <c r="AU568" s="112"/>
      <c r="AV568" s="112"/>
      <c r="AW568" s="112"/>
      <c r="AY568" s="112"/>
      <c r="AZ568" s="112"/>
      <c r="BA568" s="112"/>
      <c r="BB568" s="112"/>
      <c r="BC568" s="112"/>
      <c r="BD568" s="112"/>
      <c r="BE568" s="112"/>
      <c r="BF568" s="112"/>
      <c r="BG568" s="112"/>
      <c r="BI568" s="112"/>
      <c r="BJ568" s="112"/>
      <c r="BK568" s="112"/>
      <c r="BL568" s="112"/>
    </row>
    <row r="569" spans="17:64" x14ac:dyDescent="0.25">
      <c r="Q569" s="112"/>
      <c r="R569" s="112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112"/>
      <c r="AI569" s="112"/>
      <c r="AJ569" s="112"/>
      <c r="AN569" s="112"/>
      <c r="AO569" s="112"/>
      <c r="AP569" s="112"/>
      <c r="AQ569" s="112"/>
      <c r="AR569" s="112"/>
      <c r="AS569" s="112"/>
      <c r="AT569" s="112"/>
      <c r="AU569" s="112"/>
      <c r="AV569" s="112"/>
      <c r="AW569" s="112"/>
      <c r="AY569" s="112"/>
      <c r="AZ569" s="112"/>
      <c r="BA569" s="112"/>
      <c r="BB569" s="112"/>
      <c r="BC569" s="112"/>
      <c r="BD569" s="112"/>
      <c r="BE569" s="112"/>
      <c r="BF569" s="112"/>
      <c r="BG569" s="112"/>
      <c r="BI569" s="112"/>
      <c r="BJ569" s="112"/>
      <c r="BK569" s="112"/>
      <c r="BL569" s="112"/>
    </row>
    <row r="570" spans="17:64" x14ac:dyDescent="0.25">
      <c r="Q570" s="112"/>
      <c r="R570" s="112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112"/>
      <c r="AI570" s="112"/>
      <c r="AJ570" s="112"/>
      <c r="AN570" s="112"/>
      <c r="AO570" s="112"/>
      <c r="AP570" s="112"/>
      <c r="AQ570" s="112"/>
      <c r="AR570" s="112"/>
      <c r="AS570" s="112"/>
      <c r="AT570" s="112"/>
      <c r="AU570" s="112"/>
      <c r="AV570" s="112"/>
      <c r="AW570" s="112"/>
      <c r="AY570" s="112"/>
      <c r="AZ570" s="112"/>
      <c r="BA570" s="112"/>
      <c r="BB570" s="112"/>
      <c r="BC570" s="112"/>
      <c r="BD570" s="112"/>
      <c r="BE570" s="112"/>
      <c r="BF570" s="112"/>
      <c r="BG570" s="112"/>
      <c r="BI570" s="112"/>
      <c r="BJ570" s="112"/>
      <c r="BK570" s="112"/>
      <c r="BL570" s="112"/>
    </row>
  </sheetData>
  <mergeCells count="7">
    <mergeCell ref="R28:U28"/>
    <mergeCell ref="Q2:AJ2"/>
    <mergeCell ref="A2:N2"/>
    <mergeCell ref="AN2:AV2"/>
    <mergeCell ref="AZ2:BF2"/>
    <mergeCell ref="R4:AA4"/>
    <mergeCell ref="AC4:AJ4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7E77-58ED-4481-86C6-798A2C6E0330}">
  <sheetPr codeName="Feuil7"/>
  <dimension ref="A1:AX872"/>
  <sheetViews>
    <sheetView showGridLines="0" workbookViewId="0">
      <selection activeCell="C14" sqref="C14"/>
    </sheetView>
  </sheetViews>
  <sheetFormatPr baseColWidth="10" defaultColWidth="11.42578125" defaultRowHeight="15" x14ac:dyDescent="0.25"/>
  <cols>
    <col min="1" max="1" width="11.42578125" style="112"/>
    <col min="3" max="3" width="142.85546875" customWidth="1"/>
    <col min="4" max="4" width="62.5703125" style="112" customWidth="1"/>
    <col min="5" max="50" width="11.42578125" style="112"/>
  </cols>
  <sheetData>
    <row r="1" spans="2:4" x14ac:dyDescent="0.25">
      <c r="B1" s="112"/>
      <c r="C1" s="112"/>
    </row>
    <row r="2" spans="2:4" x14ac:dyDescent="0.25">
      <c r="B2" s="112"/>
      <c r="C2" s="112"/>
    </row>
    <row r="3" spans="2:4" ht="18.75" x14ac:dyDescent="0.3">
      <c r="B3" s="246" t="s">
        <v>607</v>
      </c>
      <c r="C3" s="246" t="s">
        <v>608</v>
      </c>
      <c r="D3" s="246" t="s">
        <v>609</v>
      </c>
    </row>
    <row r="4" spans="2:4" ht="18" x14ac:dyDescent="0.35">
      <c r="B4" s="247" t="b">
        <v>1</v>
      </c>
      <c r="C4" s="248" t="s">
        <v>610</v>
      </c>
      <c r="D4" s="249"/>
    </row>
    <row r="5" spans="2:4" ht="18" x14ac:dyDescent="0.35">
      <c r="B5" s="247" t="b">
        <v>1</v>
      </c>
      <c r="C5" s="290" t="s">
        <v>611</v>
      </c>
      <c r="D5" s="249"/>
    </row>
    <row r="6" spans="2:4" ht="18" x14ac:dyDescent="0.35">
      <c r="B6" s="247" t="b">
        <v>1</v>
      </c>
      <c r="C6" s="248" t="s">
        <v>612</v>
      </c>
      <c r="D6" s="249"/>
    </row>
    <row r="7" spans="2:4" ht="18" x14ac:dyDescent="0.35">
      <c r="B7" s="247" t="b">
        <v>1</v>
      </c>
      <c r="C7" s="248" t="s">
        <v>613</v>
      </c>
      <c r="D7" s="249"/>
    </row>
    <row r="8" spans="2:4" ht="18" x14ac:dyDescent="0.35">
      <c r="B8" s="247" t="b">
        <v>1</v>
      </c>
      <c r="C8" s="248" t="s">
        <v>614</v>
      </c>
      <c r="D8" s="249"/>
    </row>
    <row r="9" spans="2:4" ht="18" x14ac:dyDescent="0.35">
      <c r="B9" s="247" t="b">
        <v>1</v>
      </c>
      <c r="C9" s="248" t="s">
        <v>615</v>
      </c>
      <c r="D9" s="249"/>
    </row>
    <row r="10" spans="2:4" ht="18" x14ac:dyDescent="0.35">
      <c r="B10" s="247" t="b">
        <v>1</v>
      </c>
      <c r="C10" s="248" t="s">
        <v>616</v>
      </c>
      <c r="D10" s="249"/>
    </row>
    <row r="11" spans="2:4" ht="18" x14ac:dyDescent="0.35">
      <c r="B11" s="247" t="b">
        <v>1</v>
      </c>
      <c r="C11" s="248" t="s">
        <v>617</v>
      </c>
      <c r="D11" s="249"/>
    </row>
    <row r="12" spans="2:4" ht="18" x14ac:dyDescent="0.35">
      <c r="B12" s="247" t="b">
        <v>1</v>
      </c>
      <c r="C12" s="248" t="s">
        <v>618</v>
      </c>
      <c r="D12" s="249"/>
    </row>
    <row r="13" spans="2:4" ht="18" x14ac:dyDescent="0.35">
      <c r="B13" s="247" t="b">
        <v>1</v>
      </c>
      <c r="C13" s="248" t="s">
        <v>619</v>
      </c>
      <c r="D13" s="249"/>
    </row>
    <row r="14" spans="2:4" ht="18" x14ac:dyDescent="0.35">
      <c r="B14" s="247" t="b">
        <v>1</v>
      </c>
      <c r="C14" s="248" t="s">
        <v>620</v>
      </c>
      <c r="D14" s="249"/>
    </row>
    <row r="15" spans="2:4" ht="18" x14ac:dyDescent="0.35">
      <c r="B15" s="247" t="b">
        <v>1</v>
      </c>
      <c r="C15" s="248" t="s">
        <v>621</v>
      </c>
      <c r="D15" s="249"/>
    </row>
    <row r="16" spans="2:4" ht="18" x14ac:dyDescent="0.35">
      <c r="B16" s="247" t="b">
        <v>1</v>
      </c>
      <c r="C16" s="248" t="s">
        <v>622</v>
      </c>
      <c r="D16" s="249"/>
    </row>
    <row r="17" spans="2:4" ht="18" x14ac:dyDescent="0.35">
      <c r="B17" s="247" t="b">
        <v>1</v>
      </c>
      <c r="C17" s="248" t="s">
        <v>623</v>
      </c>
      <c r="D17" s="249"/>
    </row>
    <row r="18" spans="2:4" ht="18" x14ac:dyDescent="0.35">
      <c r="B18" s="247" t="b">
        <v>1</v>
      </c>
      <c r="C18" s="248" t="s">
        <v>624</v>
      </c>
      <c r="D18" s="249"/>
    </row>
    <row r="19" spans="2:4" ht="18" x14ac:dyDescent="0.35">
      <c r="B19" s="247" t="b">
        <v>1</v>
      </c>
      <c r="C19" s="248" t="s">
        <v>625</v>
      </c>
      <c r="D19" s="249"/>
    </row>
    <row r="20" spans="2:4" ht="18" x14ac:dyDescent="0.35">
      <c r="B20" s="247" t="b">
        <v>1</v>
      </c>
      <c r="C20" s="248" t="s">
        <v>626</v>
      </c>
      <c r="D20" s="249"/>
    </row>
    <row r="21" spans="2:4" ht="18" x14ac:dyDescent="0.35">
      <c r="B21" s="247" t="b">
        <v>1</v>
      </c>
      <c r="C21" s="248" t="s">
        <v>627</v>
      </c>
      <c r="D21" s="249"/>
    </row>
    <row r="22" spans="2:4" ht="18" x14ac:dyDescent="0.35">
      <c r="B22" s="247" t="b">
        <v>1</v>
      </c>
      <c r="C22" s="248" t="s">
        <v>628</v>
      </c>
      <c r="D22" s="249"/>
    </row>
    <row r="23" spans="2:4" ht="18" x14ac:dyDescent="0.35">
      <c r="B23" s="247" t="b">
        <v>1</v>
      </c>
      <c r="C23" s="248" t="s">
        <v>629</v>
      </c>
      <c r="D23" s="249"/>
    </row>
    <row r="24" spans="2:4" ht="18" x14ac:dyDescent="0.35">
      <c r="B24" s="247" t="b">
        <v>1</v>
      </c>
      <c r="C24" s="248" t="s">
        <v>630</v>
      </c>
      <c r="D24" s="249"/>
    </row>
    <row r="25" spans="2:4" ht="18" x14ac:dyDescent="0.35">
      <c r="B25" s="247" t="b">
        <v>1</v>
      </c>
      <c r="C25" s="248" t="s">
        <v>631</v>
      </c>
      <c r="D25" s="249"/>
    </row>
    <row r="26" spans="2:4" ht="18" x14ac:dyDescent="0.35">
      <c r="B26" s="247" t="b">
        <v>1</v>
      </c>
      <c r="C26" s="248" t="s">
        <v>632</v>
      </c>
      <c r="D26" s="249"/>
    </row>
    <row r="27" spans="2:4" ht="18" x14ac:dyDescent="0.35">
      <c r="B27" s="247" t="b">
        <v>1</v>
      </c>
      <c r="C27" s="248" t="s">
        <v>633</v>
      </c>
      <c r="D27" s="249"/>
    </row>
    <row r="28" spans="2:4" ht="18" x14ac:dyDescent="0.35">
      <c r="B28" s="247" t="b">
        <v>1</v>
      </c>
      <c r="C28" s="248" t="s">
        <v>634</v>
      </c>
      <c r="D28" s="249"/>
    </row>
    <row r="29" spans="2:4" ht="18" x14ac:dyDescent="0.35">
      <c r="B29" s="247" t="b">
        <v>1</v>
      </c>
      <c r="C29" s="248" t="s">
        <v>635</v>
      </c>
      <c r="D29" s="249"/>
    </row>
    <row r="30" spans="2:4" ht="18" x14ac:dyDescent="0.35">
      <c r="B30" s="247" t="b">
        <v>1</v>
      </c>
      <c r="C30" s="248" t="s">
        <v>636</v>
      </c>
      <c r="D30" s="249"/>
    </row>
    <row r="31" spans="2:4" ht="18" x14ac:dyDescent="0.35">
      <c r="B31" s="247" t="b">
        <v>1</v>
      </c>
      <c r="C31" s="248" t="s">
        <v>637</v>
      </c>
      <c r="D31" s="249"/>
    </row>
    <row r="32" spans="2:4" ht="18" x14ac:dyDescent="0.35">
      <c r="B32" s="247" t="b">
        <v>1</v>
      </c>
      <c r="C32" s="249" t="s">
        <v>638</v>
      </c>
      <c r="D32" s="249"/>
    </row>
    <row r="33" spans="2:4" ht="18" x14ac:dyDescent="0.35">
      <c r="B33" s="247" t="b">
        <v>1</v>
      </c>
      <c r="C33" s="249" t="s">
        <v>639</v>
      </c>
      <c r="D33" s="249"/>
    </row>
    <row r="34" spans="2:4" x14ac:dyDescent="0.25">
      <c r="B34" s="112"/>
      <c r="C34" s="112"/>
    </row>
    <row r="35" spans="2:4" x14ac:dyDescent="0.25">
      <c r="B35" s="112"/>
      <c r="C35" s="112"/>
    </row>
    <row r="36" spans="2:4" x14ac:dyDescent="0.25">
      <c r="B36" s="112"/>
      <c r="C36" s="112"/>
    </row>
    <row r="37" spans="2:4" x14ac:dyDescent="0.25">
      <c r="B37" s="112"/>
      <c r="C37" s="112"/>
    </row>
    <row r="38" spans="2:4" x14ac:dyDescent="0.25">
      <c r="B38" s="112"/>
      <c r="C38" s="112"/>
    </row>
    <row r="39" spans="2:4" x14ac:dyDescent="0.25">
      <c r="B39" s="112"/>
      <c r="C39" s="112"/>
    </row>
    <row r="40" spans="2:4" x14ac:dyDescent="0.25">
      <c r="B40" s="112"/>
      <c r="C40" s="112"/>
    </row>
    <row r="41" spans="2:4" x14ac:dyDescent="0.25">
      <c r="B41" s="112"/>
      <c r="C41" s="112"/>
    </row>
    <row r="42" spans="2:4" s="112" customFormat="1" x14ac:dyDescent="0.25"/>
    <row r="43" spans="2:4" s="112" customFormat="1" x14ac:dyDescent="0.25"/>
    <row r="44" spans="2:4" s="112" customFormat="1" x14ac:dyDescent="0.25"/>
    <row r="45" spans="2:4" s="112" customFormat="1" x14ac:dyDescent="0.25"/>
    <row r="46" spans="2:4" s="112" customFormat="1" x14ac:dyDescent="0.25"/>
    <row r="47" spans="2:4" s="112" customFormat="1" x14ac:dyDescent="0.25"/>
    <row r="48" spans="2:4" s="112" customFormat="1" x14ac:dyDescent="0.25"/>
    <row r="49" s="112" customFormat="1" x14ac:dyDescent="0.25"/>
    <row r="50" s="112" customFormat="1" x14ac:dyDescent="0.25"/>
    <row r="51" s="112" customFormat="1" x14ac:dyDescent="0.25"/>
    <row r="52" s="112" customFormat="1" x14ac:dyDescent="0.25"/>
    <row r="53" s="112" customFormat="1" x14ac:dyDescent="0.25"/>
    <row r="54" s="112" customFormat="1" x14ac:dyDescent="0.25"/>
    <row r="55" s="112" customFormat="1" x14ac:dyDescent="0.25"/>
    <row r="56" s="112" customFormat="1" x14ac:dyDescent="0.25"/>
    <row r="57" s="112" customFormat="1" x14ac:dyDescent="0.25"/>
    <row r="58" s="112" customFormat="1" x14ac:dyDescent="0.25"/>
    <row r="59" s="112" customFormat="1" x14ac:dyDescent="0.25"/>
    <row r="60" s="112" customFormat="1" x14ac:dyDescent="0.25"/>
    <row r="61" s="112" customFormat="1" x14ac:dyDescent="0.25"/>
    <row r="62" s="112" customFormat="1" x14ac:dyDescent="0.25"/>
    <row r="63" s="112" customFormat="1" x14ac:dyDescent="0.25"/>
    <row r="64" s="112" customFormat="1" x14ac:dyDescent="0.25"/>
    <row r="65" s="112" customFormat="1" x14ac:dyDescent="0.25"/>
    <row r="66" s="112" customFormat="1" x14ac:dyDescent="0.25"/>
    <row r="67" s="112" customFormat="1" x14ac:dyDescent="0.25"/>
    <row r="68" s="112" customFormat="1" x14ac:dyDescent="0.25"/>
    <row r="69" s="112" customFormat="1" x14ac:dyDescent="0.25"/>
    <row r="70" s="112" customFormat="1" x14ac:dyDescent="0.25"/>
    <row r="71" s="112" customFormat="1" x14ac:dyDescent="0.25"/>
    <row r="72" s="112" customFormat="1" x14ac:dyDescent="0.25"/>
    <row r="73" s="112" customFormat="1" x14ac:dyDescent="0.25"/>
    <row r="74" s="112" customFormat="1" x14ac:dyDescent="0.25"/>
    <row r="75" s="112" customFormat="1" x14ac:dyDescent="0.25"/>
    <row r="76" s="112" customFormat="1" x14ac:dyDescent="0.25"/>
    <row r="77" s="112" customFormat="1" x14ac:dyDescent="0.25"/>
    <row r="78" s="112" customFormat="1" x14ac:dyDescent="0.25"/>
    <row r="79" s="112" customFormat="1" x14ac:dyDescent="0.25"/>
    <row r="80" s="112" customFormat="1" x14ac:dyDescent="0.25"/>
    <row r="81" s="112" customFormat="1" x14ac:dyDescent="0.25"/>
    <row r="82" s="112" customFormat="1" x14ac:dyDescent="0.25"/>
    <row r="83" s="112" customFormat="1" x14ac:dyDescent="0.25"/>
    <row r="84" s="112" customFormat="1" x14ac:dyDescent="0.25"/>
    <row r="85" s="112" customFormat="1" x14ac:dyDescent="0.25"/>
    <row r="86" s="112" customFormat="1" x14ac:dyDescent="0.25"/>
    <row r="87" s="112" customFormat="1" x14ac:dyDescent="0.25"/>
    <row r="88" s="112" customFormat="1" x14ac:dyDescent="0.25"/>
    <row r="89" s="112" customFormat="1" x14ac:dyDescent="0.25"/>
    <row r="90" s="112" customFormat="1" x14ac:dyDescent="0.25"/>
    <row r="91" s="112" customFormat="1" x14ac:dyDescent="0.25"/>
    <row r="92" s="112" customFormat="1" x14ac:dyDescent="0.25"/>
    <row r="93" s="112" customFormat="1" x14ac:dyDescent="0.25"/>
    <row r="94" s="112" customFormat="1" x14ac:dyDescent="0.25"/>
    <row r="95" s="112" customFormat="1" x14ac:dyDescent="0.25"/>
    <row r="96" s="112" customFormat="1" x14ac:dyDescent="0.25"/>
    <row r="97" s="112" customFormat="1" x14ac:dyDescent="0.25"/>
    <row r="98" s="112" customFormat="1" x14ac:dyDescent="0.25"/>
    <row r="99" s="112" customFormat="1" x14ac:dyDescent="0.25"/>
    <row r="100" s="112" customFormat="1" x14ac:dyDescent="0.25"/>
    <row r="101" s="112" customFormat="1" x14ac:dyDescent="0.25"/>
    <row r="102" s="112" customFormat="1" x14ac:dyDescent="0.25"/>
    <row r="103" s="112" customFormat="1" x14ac:dyDescent="0.25"/>
    <row r="104" s="112" customFormat="1" x14ac:dyDescent="0.25"/>
    <row r="105" s="112" customFormat="1" x14ac:dyDescent="0.25"/>
    <row r="106" s="112" customFormat="1" x14ac:dyDescent="0.25"/>
    <row r="107" s="112" customFormat="1" x14ac:dyDescent="0.25"/>
    <row r="108" s="112" customFormat="1" x14ac:dyDescent="0.25"/>
    <row r="109" s="112" customFormat="1" x14ac:dyDescent="0.25"/>
    <row r="110" s="112" customFormat="1" x14ac:dyDescent="0.25"/>
    <row r="111" s="112" customFormat="1" x14ac:dyDescent="0.25"/>
    <row r="112" s="112" customFormat="1" x14ac:dyDescent="0.25"/>
    <row r="113" s="112" customFormat="1" x14ac:dyDescent="0.25"/>
    <row r="114" s="112" customFormat="1" x14ac:dyDescent="0.25"/>
    <row r="115" s="112" customFormat="1" x14ac:dyDescent="0.25"/>
    <row r="116" s="112" customFormat="1" x14ac:dyDescent="0.25"/>
    <row r="117" s="112" customFormat="1" x14ac:dyDescent="0.25"/>
    <row r="118" s="112" customFormat="1" x14ac:dyDescent="0.25"/>
    <row r="119" s="112" customFormat="1" x14ac:dyDescent="0.25"/>
    <row r="120" s="112" customFormat="1" x14ac:dyDescent="0.25"/>
    <row r="121" s="112" customFormat="1" x14ac:dyDescent="0.25"/>
    <row r="122" s="112" customFormat="1" x14ac:dyDescent="0.25"/>
    <row r="123" s="112" customFormat="1" x14ac:dyDescent="0.25"/>
    <row r="124" s="112" customFormat="1" x14ac:dyDescent="0.25"/>
    <row r="125" s="112" customFormat="1" x14ac:dyDescent="0.25"/>
    <row r="126" s="112" customFormat="1" x14ac:dyDescent="0.25"/>
    <row r="127" s="112" customFormat="1" x14ac:dyDescent="0.25"/>
    <row r="128" s="112" customFormat="1" x14ac:dyDescent="0.25"/>
    <row r="129" s="112" customFormat="1" x14ac:dyDescent="0.25"/>
    <row r="130" s="112" customFormat="1" x14ac:dyDescent="0.25"/>
    <row r="131" s="112" customFormat="1" x14ac:dyDescent="0.25"/>
    <row r="132" s="112" customFormat="1" x14ac:dyDescent="0.25"/>
    <row r="133" s="112" customFormat="1" x14ac:dyDescent="0.25"/>
    <row r="134" s="112" customFormat="1" x14ac:dyDescent="0.25"/>
    <row r="135" s="112" customFormat="1" x14ac:dyDescent="0.25"/>
    <row r="136" s="112" customFormat="1" x14ac:dyDescent="0.25"/>
    <row r="137" s="112" customFormat="1" x14ac:dyDescent="0.25"/>
    <row r="138" s="112" customFormat="1" x14ac:dyDescent="0.25"/>
    <row r="139" s="112" customFormat="1" x14ac:dyDescent="0.25"/>
    <row r="140" s="112" customFormat="1" x14ac:dyDescent="0.25"/>
    <row r="141" s="112" customFormat="1" x14ac:dyDescent="0.25"/>
    <row r="142" s="112" customFormat="1" x14ac:dyDescent="0.25"/>
    <row r="143" s="112" customFormat="1" x14ac:dyDescent="0.25"/>
    <row r="144" s="112" customFormat="1" x14ac:dyDescent="0.25"/>
    <row r="145" s="112" customFormat="1" x14ac:dyDescent="0.25"/>
    <row r="146" s="112" customFormat="1" x14ac:dyDescent="0.25"/>
    <row r="147" s="112" customFormat="1" x14ac:dyDescent="0.25"/>
    <row r="148" s="112" customFormat="1" x14ac:dyDescent="0.25"/>
    <row r="149" s="112" customFormat="1" x14ac:dyDescent="0.25"/>
    <row r="150" s="112" customFormat="1" x14ac:dyDescent="0.25"/>
    <row r="151" s="112" customFormat="1" x14ac:dyDescent="0.25"/>
    <row r="152" s="112" customFormat="1" x14ac:dyDescent="0.25"/>
    <row r="153" s="112" customFormat="1" x14ac:dyDescent="0.25"/>
    <row r="154" s="112" customFormat="1" x14ac:dyDescent="0.25"/>
    <row r="155" s="112" customFormat="1" x14ac:dyDescent="0.25"/>
    <row r="156" s="112" customFormat="1" x14ac:dyDescent="0.25"/>
    <row r="157" s="112" customFormat="1" x14ac:dyDescent="0.25"/>
    <row r="158" s="112" customFormat="1" x14ac:dyDescent="0.25"/>
    <row r="159" s="112" customFormat="1" x14ac:dyDescent="0.25"/>
    <row r="160" s="112" customFormat="1" x14ac:dyDescent="0.25"/>
    <row r="161" s="112" customFormat="1" x14ac:dyDescent="0.25"/>
    <row r="162" s="112" customFormat="1" x14ac:dyDescent="0.25"/>
    <row r="163" s="112" customFormat="1" x14ac:dyDescent="0.25"/>
    <row r="164" s="112" customFormat="1" x14ac:dyDescent="0.25"/>
    <row r="165" s="112" customFormat="1" x14ac:dyDescent="0.25"/>
    <row r="166" s="112" customFormat="1" x14ac:dyDescent="0.25"/>
    <row r="167" s="112" customFormat="1" x14ac:dyDescent="0.25"/>
    <row r="168" s="112" customFormat="1" x14ac:dyDescent="0.25"/>
    <row r="169" s="112" customFormat="1" x14ac:dyDescent="0.25"/>
    <row r="170" s="112" customFormat="1" x14ac:dyDescent="0.25"/>
    <row r="171" s="112" customFormat="1" x14ac:dyDescent="0.25"/>
    <row r="172" s="112" customFormat="1" x14ac:dyDescent="0.25"/>
    <row r="173" s="112" customFormat="1" x14ac:dyDescent="0.25"/>
    <row r="174" s="112" customFormat="1" x14ac:dyDescent="0.25"/>
    <row r="175" s="112" customFormat="1" x14ac:dyDescent="0.25"/>
    <row r="176" s="112" customFormat="1" x14ac:dyDescent="0.25"/>
    <row r="177" s="112" customFormat="1" x14ac:dyDescent="0.25"/>
    <row r="178" s="112" customFormat="1" x14ac:dyDescent="0.25"/>
    <row r="179" s="112" customFormat="1" x14ac:dyDescent="0.25"/>
    <row r="180" s="112" customFormat="1" x14ac:dyDescent="0.25"/>
    <row r="181" s="112" customFormat="1" x14ac:dyDescent="0.25"/>
    <row r="182" s="112" customFormat="1" x14ac:dyDescent="0.25"/>
    <row r="183" s="112" customFormat="1" x14ac:dyDescent="0.25"/>
    <row r="184" s="112" customFormat="1" x14ac:dyDescent="0.25"/>
    <row r="185" s="112" customFormat="1" x14ac:dyDescent="0.25"/>
    <row r="186" s="112" customFormat="1" x14ac:dyDescent="0.25"/>
    <row r="187" s="112" customFormat="1" x14ac:dyDescent="0.25"/>
    <row r="188" s="112" customFormat="1" x14ac:dyDescent="0.25"/>
    <row r="189" s="112" customFormat="1" x14ac:dyDescent="0.25"/>
    <row r="190" s="112" customFormat="1" x14ac:dyDescent="0.25"/>
    <row r="191" s="112" customFormat="1" x14ac:dyDescent="0.25"/>
    <row r="192" s="112" customFormat="1" x14ac:dyDescent="0.25"/>
    <row r="193" s="112" customFormat="1" x14ac:dyDescent="0.25"/>
    <row r="194" s="112" customFormat="1" x14ac:dyDescent="0.25"/>
    <row r="195" s="112" customFormat="1" x14ac:dyDescent="0.25"/>
    <row r="196" s="112" customFormat="1" x14ac:dyDescent="0.25"/>
    <row r="197" s="112" customFormat="1" x14ac:dyDescent="0.25"/>
    <row r="198" s="112" customFormat="1" x14ac:dyDescent="0.25"/>
    <row r="199" s="112" customFormat="1" x14ac:dyDescent="0.25"/>
    <row r="200" s="112" customFormat="1" x14ac:dyDescent="0.25"/>
    <row r="201" s="112" customFormat="1" x14ac:dyDescent="0.25"/>
    <row r="202" s="112" customFormat="1" x14ac:dyDescent="0.25"/>
    <row r="203" s="112" customFormat="1" x14ac:dyDescent="0.25"/>
    <row r="204" s="112" customFormat="1" x14ac:dyDescent="0.25"/>
    <row r="205" s="112" customFormat="1" x14ac:dyDescent="0.25"/>
    <row r="206" s="112" customFormat="1" x14ac:dyDescent="0.25"/>
    <row r="207" s="112" customFormat="1" x14ac:dyDescent="0.25"/>
    <row r="208" s="112" customFormat="1" x14ac:dyDescent="0.25"/>
    <row r="209" s="112" customFormat="1" x14ac:dyDescent="0.25"/>
    <row r="210" s="112" customFormat="1" x14ac:dyDescent="0.25"/>
    <row r="211" s="112" customFormat="1" x14ac:dyDescent="0.25"/>
    <row r="212" s="112" customFormat="1" x14ac:dyDescent="0.25"/>
    <row r="213" s="112" customFormat="1" x14ac:dyDescent="0.25"/>
    <row r="214" s="112" customFormat="1" x14ac:dyDescent="0.25"/>
    <row r="215" s="112" customFormat="1" x14ac:dyDescent="0.25"/>
    <row r="216" s="112" customFormat="1" x14ac:dyDescent="0.25"/>
    <row r="217" s="112" customFormat="1" x14ac:dyDescent="0.25"/>
    <row r="218" s="112" customFormat="1" x14ac:dyDescent="0.25"/>
    <row r="219" s="112" customFormat="1" x14ac:dyDescent="0.25"/>
    <row r="220" s="112" customFormat="1" x14ac:dyDescent="0.25"/>
    <row r="221" s="112" customFormat="1" x14ac:dyDescent="0.25"/>
    <row r="222" s="112" customFormat="1" x14ac:dyDescent="0.25"/>
    <row r="223" s="112" customFormat="1" x14ac:dyDescent="0.25"/>
    <row r="224" s="112" customFormat="1" x14ac:dyDescent="0.25"/>
    <row r="225" s="112" customFormat="1" x14ac:dyDescent="0.25"/>
    <row r="226" s="112" customFormat="1" x14ac:dyDescent="0.25"/>
    <row r="227" s="112" customFormat="1" x14ac:dyDescent="0.25"/>
    <row r="228" s="112" customFormat="1" x14ac:dyDescent="0.25"/>
    <row r="229" s="112" customFormat="1" x14ac:dyDescent="0.25"/>
    <row r="230" s="112" customFormat="1" x14ac:dyDescent="0.25"/>
    <row r="231" s="112" customFormat="1" x14ac:dyDescent="0.25"/>
    <row r="232" s="112" customFormat="1" x14ac:dyDescent="0.25"/>
    <row r="233" s="112" customFormat="1" x14ac:dyDescent="0.25"/>
    <row r="234" s="112" customFormat="1" x14ac:dyDescent="0.25"/>
    <row r="235" s="112" customFormat="1" x14ac:dyDescent="0.25"/>
    <row r="236" s="112" customFormat="1" x14ac:dyDescent="0.25"/>
    <row r="237" s="112" customFormat="1" x14ac:dyDescent="0.25"/>
    <row r="238" s="112" customFormat="1" x14ac:dyDescent="0.25"/>
    <row r="239" s="112" customFormat="1" x14ac:dyDescent="0.25"/>
    <row r="240" s="112" customFormat="1" x14ac:dyDescent="0.25"/>
    <row r="241" s="112" customFormat="1" x14ac:dyDescent="0.25"/>
    <row r="242" s="112" customFormat="1" x14ac:dyDescent="0.25"/>
    <row r="243" s="112" customFormat="1" x14ac:dyDescent="0.25"/>
    <row r="244" s="112" customFormat="1" x14ac:dyDescent="0.25"/>
    <row r="245" s="112" customFormat="1" x14ac:dyDescent="0.25"/>
    <row r="246" s="112" customFormat="1" x14ac:dyDescent="0.25"/>
    <row r="247" s="112" customFormat="1" x14ac:dyDescent="0.25"/>
    <row r="248" s="112" customFormat="1" x14ac:dyDescent="0.25"/>
    <row r="249" s="112" customFormat="1" x14ac:dyDescent="0.25"/>
    <row r="250" s="112" customFormat="1" x14ac:dyDescent="0.25"/>
    <row r="251" s="112" customFormat="1" x14ac:dyDescent="0.25"/>
    <row r="252" s="112" customFormat="1" x14ac:dyDescent="0.25"/>
    <row r="253" s="112" customFormat="1" x14ac:dyDescent="0.25"/>
    <row r="254" s="112" customFormat="1" x14ac:dyDescent="0.25"/>
    <row r="255" s="112" customFormat="1" x14ac:dyDescent="0.25"/>
    <row r="256" s="112" customFormat="1" x14ac:dyDescent="0.25"/>
    <row r="257" s="112" customFormat="1" x14ac:dyDescent="0.25"/>
    <row r="258" s="112" customFormat="1" x14ac:dyDescent="0.25"/>
    <row r="259" s="112" customFormat="1" x14ac:dyDescent="0.25"/>
    <row r="260" s="112" customFormat="1" x14ac:dyDescent="0.25"/>
    <row r="261" s="112" customFormat="1" x14ac:dyDescent="0.25"/>
    <row r="262" s="112" customFormat="1" x14ac:dyDescent="0.25"/>
    <row r="263" s="112" customFormat="1" x14ac:dyDescent="0.25"/>
    <row r="264" s="112" customFormat="1" x14ac:dyDescent="0.25"/>
    <row r="265" s="112" customFormat="1" x14ac:dyDescent="0.25"/>
    <row r="266" s="112" customFormat="1" x14ac:dyDescent="0.25"/>
    <row r="267" s="112" customFormat="1" x14ac:dyDescent="0.25"/>
    <row r="268" s="112" customFormat="1" x14ac:dyDescent="0.25"/>
    <row r="269" s="112" customFormat="1" x14ac:dyDescent="0.25"/>
    <row r="270" s="112" customFormat="1" x14ac:dyDescent="0.25"/>
    <row r="271" s="112" customFormat="1" x14ac:dyDescent="0.25"/>
    <row r="272" s="112" customFormat="1" x14ac:dyDescent="0.25"/>
    <row r="273" s="112" customFormat="1" x14ac:dyDescent="0.25"/>
    <row r="274" s="112" customFormat="1" x14ac:dyDescent="0.25"/>
    <row r="275" s="112" customFormat="1" x14ac:dyDescent="0.25"/>
    <row r="276" s="112" customFormat="1" x14ac:dyDescent="0.25"/>
    <row r="277" s="112" customFormat="1" x14ac:dyDescent="0.25"/>
    <row r="278" s="112" customFormat="1" x14ac:dyDescent="0.25"/>
    <row r="279" s="112" customFormat="1" x14ac:dyDescent="0.25"/>
    <row r="280" s="112" customFormat="1" x14ac:dyDescent="0.25"/>
    <row r="281" s="112" customFormat="1" x14ac:dyDescent="0.25"/>
    <row r="282" s="112" customFormat="1" x14ac:dyDescent="0.25"/>
    <row r="283" s="112" customFormat="1" x14ac:dyDescent="0.25"/>
    <row r="284" s="112" customFormat="1" x14ac:dyDescent="0.25"/>
    <row r="285" s="112" customFormat="1" x14ac:dyDescent="0.25"/>
    <row r="286" s="112" customFormat="1" x14ac:dyDescent="0.25"/>
    <row r="287" s="112" customFormat="1" x14ac:dyDescent="0.25"/>
    <row r="288" s="112" customFormat="1" x14ac:dyDescent="0.25"/>
    <row r="289" s="112" customFormat="1" x14ac:dyDescent="0.25"/>
    <row r="290" s="112" customFormat="1" x14ac:dyDescent="0.25"/>
    <row r="291" s="112" customFormat="1" x14ac:dyDescent="0.25"/>
    <row r="292" s="112" customFormat="1" x14ac:dyDescent="0.25"/>
    <row r="293" s="112" customFormat="1" x14ac:dyDescent="0.25"/>
    <row r="294" s="112" customFormat="1" x14ac:dyDescent="0.25"/>
    <row r="295" s="112" customFormat="1" x14ac:dyDescent="0.25"/>
    <row r="296" s="112" customFormat="1" x14ac:dyDescent="0.25"/>
    <row r="297" s="112" customFormat="1" x14ac:dyDescent="0.25"/>
    <row r="298" s="112" customFormat="1" x14ac:dyDescent="0.25"/>
    <row r="299" s="112" customFormat="1" x14ac:dyDescent="0.25"/>
    <row r="300" s="112" customFormat="1" x14ac:dyDescent="0.25"/>
    <row r="301" s="112" customFormat="1" x14ac:dyDescent="0.25"/>
    <row r="302" s="112" customFormat="1" x14ac:dyDescent="0.25"/>
    <row r="303" s="112" customFormat="1" x14ac:dyDescent="0.25"/>
    <row r="304" s="112" customFormat="1" x14ac:dyDescent="0.25"/>
    <row r="305" s="112" customFormat="1" x14ac:dyDescent="0.25"/>
    <row r="306" s="112" customFormat="1" x14ac:dyDescent="0.25"/>
    <row r="307" s="112" customFormat="1" x14ac:dyDescent="0.25"/>
    <row r="308" s="112" customFormat="1" x14ac:dyDescent="0.25"/>
    <row r="309" s="112" customFormat="1" x14ac:dyDescent="0.25"/>
    <row r="310" s="112" customFormat="1" x14ac:dyDescent="0.25"/>
    <row r="311" s="112" customFormat="1" x14ac:dyDescent="0.25"/>
    <row r="312" s="112" customFormat="1" x14ac:dyDescent="0.25"/>
    <row r="313" s="112" customFormat="1" x14ac:dyDescent="0.25"/>
    <row r="314" s="112" customFormat="1" x14ac:dyDescent="0.25"/>
    <row r="315" s="112" customFormat="1" x14ac:dyDescent="0.25"/>
    <row r="316" s="112" customFormat="1" x14ac:dyDescent="0.25"/>
    <row r="317" s="112" customFormat="1" x14ac:dyDescent="0.25"/>
    <row r="318" s="112" customFormat="1" x14ac:dyDescent="0.25"/>
    <row r="319" s="112" customFormat="1" x14ac:dyDescent="0.25"/>
    <row r="320" s="112" customFormat="1" x14ac:dyDescent="0.25"/>
    <row r="321" s="112" customFormat="1" x14ac:dyDescent="0.25"/>
    <row r="322" s="112" customFormat="1" x14ac:dyDescent="0.25"/>
    <row r="323" s="112" customFormat="1" x14ac:dyDescent="0.25"/>
    <row r="324" s="112" customFormat="1" x14ac:dyDescent="0.25"/>
    <row r="325" s="112" customFormat="1" x14ac:dyDescent="0.25"/>
    <row r="326" s="112" customFormat="1" x14ac:dyDescent="0.25"/>
    <row r="327" s="112" customFormat="1" x14ac:dyDescent="0.25"/>
    <row r="328" s="112" customFormat="1" x14ac:dyDescent="0.25"/>
    <row r="329" s="112" customFormat="1" x14ac:dyDescent="0.25"/>
    <row r="330" s="112" customFormat="1" x14ac:dyDescent="0.25"/>
    <row r="331" s="112" customFormat="1" x14ac:dyDescent="0.25"/>
    <row r="332" s="112" customFormat="1" x14ac:dyDescent="0.25"/>
    <row r="333" s="112" customFormat="1" x14ac:dyDescent="0.25"/>
    <row r="334" s="112" customFormat="1" x14ac:dyDescent="0.25"/>
    <row r="335" s="112" customFormat="1" x14ac:dyDescent="0.25"/>
    <row r="336" s="112" customFormat="1" x14ac:dyDescent="0.25"/>
    <row r="337" s="112" customFormat="1" x14ac:dyDescent="0.25"/>
    <row r="338" s="112" customFormat="1" x14ac:dyDescent="0.25"/>
    <row r="339" s="112" customFormat="1" x14ac:dyDescent="0.25"/>
    <row r="340" s="112" customFormat="1" x14ac:dyDescent="0.25"/>
    <row r="341" s="112" customFormat="1" x14ac:dyDescent="0.25"/>
    <row r="342" s="112" customFormat="1" x14ac:dyDescent="0.25"/>
    <row r="343" s="112" customFormat="1" x14ac:dyDescent="0.25"/>
    <row r="344" s="112" customFormat="1" x14ac:dyDescent="0.25"/>
    <row r="345" s="112" customFormat="1" x14ac:dyDescent="0.25"/>
    <row r="346" s="112" customFormat="1" x14ac:dyDescent="0.25"/>
    <row r="347" s="112" customFormat="1" x14ac:dyDescent="0.25"/>
    <row r="348" s="112" customFormat="1" x14ac:dyDescent="0.25"/>
    <row r="349" s="112" customFormat="1" x14ac:dyDescent="0.25"/>
    <row r="350" s="112" customFormat="1" x14ac:dyDescent="0.25"/>
    <row r="351" s="112" customFormat="1" x14ac:dyDescent="0.25"/>
    <row r="352" s="112" customFormat="1" x14ac:dyDescent="0.25"/>
    <row r="353" s="112" customFormat="1" x14ac:dyDescent="0.25"/>
    <row r="354" s="112" customFormat="1" x14ac:dyDescent="0.25"/>
    <row r="355" s="112" customFormat="1" x14ac:dyDescent="0.25"/>
    <row r="356" s="112" customFormat="1" x14ac:dyDescent="0.25"/>
    <row r="357" s="112" customFormat="1" x14ac:dyDescent="0.25"/>
    <row r="358" s="112" customFormat="1" x14ac:dyDescent="0.25"/>
    <row r="359" s="112" customFormat="1" x14ac:dyDescent="0.25"/>
    <row r="360" s="112" customFormat="1" x14ac:dyDescent="0.25"/>
    <row r="361" s="112" customFormat="1" x14ac:dyDescent="0.25"/>
    <row r="362" s="112" customFormat="1" x14ac:dyDescent="0.25"/>
    <row r="363" s="112" customFormat="1" x14ac:dyDescent="0.25"/>
    <row r="364" s="112" customFormat="1" x14ac:dyDescent="0.25"/>
    <row r="365" s="112" customFormat="1" x14ac:dyDescent="0.25"/>
    <row r="366" s="112" customFormat="1" x14ac:dyDescent="0.25"/>
    <row r="367" s="112" customFormat="1" x14ac:dyDescent="0.25"/>
    <row r="368" s="112" customFormat="1" x14ac:dyDescent="0.25"/>
    <row r="369" s="112" customFormat="1" x14ac:dyDescent="0.25"/>
    <row r="370" s="112" customFormat="1" x14ac:dyDescent="0.25"/>
    <row r="371" s="112" customFormat="1" x14ac:dyDescent="0.25"/>
    <row r="372" s="112" customFormat="1" x14ac:dyDescent="0.25"/>
    <row r="373" s="112" customFormat="1" x14ac:dyDescent="0.25"/>
    <row r="374" s="112" customFormat="1" x14ac:dyDescent="0.25"/>
    <row r="375" s="112" customFormat="1" x14ac:dyDescent="0.25"/>
    <row r="376" s="112" customFormat="1" x14ac:dyDescent="0.25"/>
    <row r="377" s="112" customFormat="1" x14ac:dyDescent="0.25"/>
    <row r="378" s="112" customFormat="1" x14ac:dyDescent="0.25"/>
    <row r="379" s="112" customFormat="1" x14ac:dyDescent="0.25"/>
    <row r="380" s="112" customFormat="1" x14ac:dyDescent="0.25"/>
    <row r="381" s="112" customFormat="1" x14ac:dyDescent="0.25"/>
    <row r="382" s="112" customFormat="1" x14ac:dyDescent="0.25"/>
    <row r="383" s="112" customFormat="1" x14ac:dyDescent="0.25"/>
    <row r="384" s="112" customFormat="1" x14ac:dyDescent="0.25"/>
    <row r="385" s="112" customFormat="1" x14ac:dyDescent="0.25"/>
    <row r="386" s="112" customFormat="1" x14ac:dyDescent="0.25"/>
    <row r="387" s="112" customFormat="1" x14ac:dyDescent="0.25"/>
    <row r="388" s="112" customFormat="1" x14ac:dyDescent="0.25"/>
    <row r="389" s="112" customFormat="1" x14ac:dyDescent="0.25"/>
    <row r="390" s="112" customFormat="1" x14ac:dyDescent="0.25"/>
    <row r="391" s="112" customFormat="1" x14ac:dyDescent="0.25"/>
    <row r="392" s="112" customFormat="1" x14ac:dyDescent="0.25"/>
    <row r="393" s="112" customFormat="1" x14ac:dyDescent="0.25"/>
    <row r="394" s="112" customFormat="1" x14ac:dyDescent="0.25"/>
    <row r="395" s="112" customFormat="1" x14ac:dyDescent="0.25"/>
    <row r="396" s="112" customFormat="1" x14ac:dyDescent="0.25"/>
    <row r="397" s="112" customFormat="1" x14ac:dyDescent="0.25"/>
    <row r="398" s="112" customFormat="1" x14ac:dyDescent="0.25"/>
    <row r="399" s="112" customFormat="1" x14ac:dyDescent="0.25"/>
    <row r="400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="112" customFormat="1" x14ac:dyDescent="0.25"/>
    <row r="434" s="112" customFormat="1" x14ac:dyDescent="0.25"/>
    <row r="435" s="112" customFormat="1" x14ac:dyDescent="0.25"/>
    <row r="436" s="112" customFormat="1" x14ac:dyDescent="0.25"/>
    <row r="437" s="112" customFormat="1" x14ac:dyDescent="0.25"/>
    <row r="438" s="112" customFormat="1" x14ac:dyDescent="0.25"/>
    <row r="439" s="112" customFormat="1" x14ac:dyDescent="0.25"/>
    <row r="440" s="112" customFormat="1" x14ac:dyDescent="0.25"/>
    <row r="441" s="112" customFormat="1" x14ac:dyDescent="0.25"/>
    <row r="442" s="112" customFormat="1" x14ac:dyDescent="0.25"/>
    <row r="443" s="112" customFormat="1" x14ac:dyDescent="0.25"/>
    <row r="444" s="112" customFormat="1" x14ac:dyDescent="0.25"/>
    <row r="445" s="112" customFormat="1" x14ac:dyDescent="0.25"/>
    <row r="446" s="112" customFormat="1" x14ac:dyDescent="0.25"/>
    <row r="447" s="112" customFormat="1" x14ac:dyDescent="0.25"/>
    <row r="448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  <row r="487" s="112" customFormat="1" x14ac:dyDescent="0.25"/>
    <row r="488" s="112" customFormat="1" x14ac:dyDescent="0.25"/>
    <row r="489" s="112" customFormat="1" x14ac:dyDescent="0.25"/>
    <row r="490" s="112" customFormat="1" x14ac:dyDescent="0.25"/>
    <row r="491" s="112" customFormat="1" x14ac:dyDescent="0.25"/>
    <row r="492" s="112" customFormat="1" x14ac:dyDescent="0.25"/>
    <row r="493" s="112" customFormat="1" x14ac:dyDescent="0.25"/>
    <row r="494" s="112" customFormat="1" x14ac:dyDescent="0.25"/>
    <row r="495" s="112" customFormat="1" x14ac:dyDescent="0.25"/>
    <row r="496" s="112" customFormat="1" x14ac:dyDescent="0.25"/>
    <row r="497" s="112" customFormat="1" x14ac:dyDescent="0.25"/>
    <row r="498" s="112" customFormat="1" x14ac:dyDescent="0.25"/>
    <row r="499" s="112" customFormat="1" x14ac:dyDescent="0.25"/>
    <row r="500" s="112" customFormat="1" x14ac:dyDescent="0.25"/>
    <row r="501" s="112" customFormat="1" x14ac:dyDescent="0.25"/>
    <row r="502" s="112" customFormat="1" x14ac:dyDescent="0.25"/>
    <row r="503" s="112" customFormat="1" x14ac:dyDescent="0.25"/>
    <row r="504" s="112" customFormat="1" x14ac:dyDescent="0.25"/>
    <row r="505" s="112" customFormat="1" x14ac:dyDescent="0.25"/>
    <row r="506" s="112" customFormat="1" x14ac:dyDescent="0.25"/>
    <row r="507" s="112" customFormat="1" x14ac:dyDescent="0.25"/>
    <row r="508" s="112" customFormat="1" x14ac:dyDescent="0.25"/>
    <row r="509" s="112" customFormat="1" x14ac:dyDescent="0.25"/>
    <row r="510" s="112" customFormat="1" x14ac:dyDescent="0.25"/>
    <row r="511" s="112" customFormat="1" x14ac:dyDescent="0.25"/>
    <row r="512" s="112" customFormat="1" x14ac:dyDescent="0.25"/>
    <row r="513" s="112" customFormat="1" x14ac:dyDescent="0.25"/>
    <row r="514" s="112" customFormat="1" x14ac:dyDescent="0.25"/>
    <row r="515" s="112" customFormat="1" x14ac:dyDescent="0.25"/>
    <row r="516" s="112" customFormat="1" x14ac:dyDescent="0.25"/>
    <row r="517" s="112" customFormat="1" x14ac:dyDescent="0.25"/>
    <row r="518" s="112" customFormat="1" x14ac:dyDescent="0.25"/>
    <row r="519" s="112" customFormat="1" x14ac:dyDescent="0.25"/>
    <row r="520" s="112" customFormat="1" x14ac:dyDescent="0.25"/>
    <row r="521" s="112" customFormat="1" x14ac:dyDescent="0.25"/>
    <row r="522" s="112" customFormat="1" x14ac:dyDescent="0.25"/>
    <row r="523" s="112" customFormat="1" x14ac:dyDescent="0.25"/>
    <row r="524" s="112" customFormat="1" x14ac:dyDescent="0.25"/>
    <row r="525" s="112" customFormat="1" x14ac:dyDescent="0.25"/>
    <row r="526" s="112" customFormat="1" x14ac:dyDescent="0.25"/>
    <row r="527" s="112" customFormat="1" x14ac:dyDescent="0.25"/>
    <row r="528" s="112" customFormat="1" x14ac:dyDescent="0.25"/>
    <row r="529" s="112" customFormat="1" x14ac:dyDescent="0.25"/>
    <row r="530" s="112" customFormat="1" x14ac:dyDescent="0.25"/>
    <row r="531" s="112" customFormat="1" x14ac:dyDescent="0.25"/>
    <row r="532" s="112" customFormat="1" x14ac:dyDescent="0.25"/>
    <row r="533" s="112" customFormat="1" x14ac:dyDescent="0.25"/>
    <row r="534" s="112" customFormat="1" x14ac:dyDescent="0.25"/>
    <row r="535" s="112" customFormat="1" x14ac:dyDescent="0.25"/>
    <row r="536" s="112" customFormat="1" x14ac:dyDescent="0.25"/>
    <row r="537" s="112" customFormat="1" x14ac:dyDescent="0.25"/>
    <row r="538" s="112" customFormat="1" x14ac:dyDescent="0.25"/>
    <row r="539" s="112" customFormat="1" x14ac:dyDescent="0.25"/>
    <row r="540" s="112" customFormat="1" x14ac:dyDescent="0.25"/>
    <row r="541" s="112" customFormat="1" x14ac:dyDescent="0.25"/>
    <row r="542" s="112" customFormat="1" x14ac:dyDescent="0.25"/>
    <row r="543" s="112" customFormat="1" x14ac:dyDescent="0.25"/>
    <row r="544" s="112" customFormat="1" x14ac:dyDescent="0.25"/>
    <row r="545" s="112" customFormat="1" x14ac:dyDescent="0.25"/>
    <row r="546" s="112" customFormat="1" x14ac:dyDescent="0.25"/>
    <row r="547" s="112" customFormat="1" x14ac:dyDescent="0.25"/>
    <row r="548" s="112" customFormat="1" x14ac:dyDescent="0.25"/>
    <row r="549" s="112" customFormat="1" x14ac:dyDescent="0.25"/>
    <row r="550" s="112" customFormat="1" x14ac:dyDescent="0.25"/>
    <row r="551" s="112" customFormat="1" x14ac:dyDescent="0.25"/>
    <row r="552" s="112" customFormat="1" x14ac:dyDescent="0.25"/>
    <row r="553" s="112" customFormat="1" x14ac:dyDescent="0.25"/>
    <row r="554" s="112" customFormat="1" x14ac:dyDescent="0.25"/>
    <row r="555" s="112" customFormat="1" x14ac:dyDescent="0.25"/>
    <row r="556" s="112" customFormat="1" x14ac:dyDescent="0.25"/>
    <row r="557" s="112" customFormat="1" x14ac:dyDescent="0.25"/>
    <row r="558" s="112" customFormat="1" x14ac:dyDescent="0.25"/>
    <row r="559" s="112" customFormat="1" x14ac:dyDescent="0.25"/>
    <row r="560" s="112" customFormat="1" x14ac:dyDescent="0.25"/>
    <row r="561" s="112" customFormat="1" x14ac:dyDescent="0.25"/>
    <row r="562" s="112" customFormat="1" x14ac:dyDescent="0.25"/>
    <row r="563" s="112" customFormat="1" x14ac:dyDescent="0.25"/>
    <row r="564" s="112" customFormat="1" x14ac:dyDescent="0.25"/>
    <row r="565" s="112" customFormat="1" x14ac:dyDescent="0.25"/>
    <row r="566" s="112" customFormat="1" x14ac:dyDescent="0.25"/>
    <row r="567" s="112" customFormat="1" x14ac:dyDescent="0.25"/>
    <row r="568" s="112" customFormat="1" x14ac:dyDescent="0.25"/>
    <row r="569" s="112" customFormat="1" x14ac:dyDescent="0.25"/>
    <row r="570" s="112" customFormat="1" x14ac:dyDescent="0.25"/>
    <row r="571" s="112" customFormat="1" x14ac:dyDescent="0.25"/>
    <row r="572" s="112" customFormat="1" x14ac:dyDescent="0.25"/>
    <row r="573" s="112" customFormat="1" x14ac:dyDescent="0.25"/>
    <row r="574" s="112" customFormat="1" x14ac:dyDescent="0.25"/>
    <row r="575" s="112" customFormat="1" x14ac:dyDescent="0.25"/>
    <row r="576" s="112" customFormat="1" x14ac:dyDescent="0.25"/>
    <row r="577" s="112" customFormat="1" x14ac:dyDescent="0.25"/>
    <row r="578" s="112" customFormat="1" x14ac:dyDescent="0.25"/>
    <row r="579" s="112" customFormat="1" x14ac:dyDescent="0.25"/>
    <row r="580" s="112" customFormat="1" x14ac:dyDescent="0.25"/>
    <row r="581" s="112" customFormat="1" x14ac:dyDescent="0.25"/>
    <row r="582" s="112" customFormat="1" x14ac:dyDescent="0.25"/>
    <row r="583" s="112" customFormat="1" x14ac:dyDescent="0.25"/>
    <row r="584" s="112" customFormat="1" x14ac:dyDescent="0.25"/>
    <row r="585" s="112" customFormat="1" x14ac:dyDescent="0.25"/>
    <row r="586" s="112" customFormat="1" x14ac:dyDescent="0.25"/>
    <row r="587" s="112" customFormat="1" x14ac:dyDescent="0.25"/>
    <row r="588" s="112" customFormat="1" x14ac:dyDescent="0.25"/>
    <row r="589" s="112" customFormat="1" x14ac:dyDescent="0.25"/>
    <row r="590" s="112" customFormat="1" x14ac:dyDescent="0.25"/>
    <row r="591" s="112" customFormat="1" x14ac:dyDescent="0.25"/>
    <row r="592" s="112" customFormat="1" x14ac:dyDescent="0.25"/>
    <row r="593" s="112" customFormat="1" x14ac:dyDescent="0.25"/>
    <row r="594" s="112" customFormat="1" x14ac:dyDescent="0.25"/>
    <row r="595" s="112" customFormat="1" x14ac:dyDescent="0.25"/>
    <row r="596" s="112" customFormat="1" x14ac:dyDescent="0.25"/>
    <row r="597" s="112" customFormat="1" x14ac:dyDescent="0.25"/>
    <row r="598" s="112" customFormat="1" x14ac:dyDescent="0.25"/>
    <row r="599" s="112" customFormat="1" x14ac:dyDescent="0.25"/>
    <row r="600" s="112" customFormat="1" x14ac:dyDescent="0.25"/>
    <row r="601" s="112" customFormat="1" x14ac:dyDescent="0.25"/>
    <row r="602" s="112" customFormat="1" x14ac:dyDescent="0.25"/>
    <row r="603" s="112" customFormat="1" x14ac:dyDescent="0.25"/>
    <row r="604" s="112" customFormat="1" x14ac:dyDescent="0.25"/>
    <row r="605" s="112" customFormat="1" x14ac:dyDescent="0.25"/>
    <row r="606" s="112" customFormat="1" x14ac:dyDescent="0.25"/>
    <row r="607" s="112" customFormat="1" x14ac:dyDescent="0.25"/>
    <row r="608" s="112" customFormat="1" x14ac:dyDescent="0.25"/>
    <row r="609" s="112" customFormat="1" x14ac:dyDescent="0.25"/>
    <row r="610" s="112" customFormat="1" x14ac:dyDescent="0.25"/>
    <row r="611" s="112" customFormat="1" x14ac:dyDescent="0.25"/>
    <row r="612" s="112" customFormat="1" x14ac:dyDescent="0.25"/>
    <row r="613" s="112" customFormat="1" x14ac:dyDescent="0.25"/>
    <row r="614" s="112" customFormat="1" x14ac:dyDescent="0.25"/>
    <row r="615" s="112" customFormat="1" x14ac:dyDescent="0.25"/>
    <row r="616" s="112" customFormat="1" x14ac:dyDescent="0.25"/>
    <row r="617" s="112" customFormat="1" x14ac:dyDescent="0.25"/>
    <row r="618" s="112" customFormat="1" x14ac:dyDescent="0.25"/>
    <row r="619" s="112" customFormat="1" x14ac:dyDescent="0.25"/>
    <row r="620" s="112" customFormat="1" x14ac:dyDescent="0.25"/>
    <row r="621" s="112" customFormat="1" x14ac:dyDescent="0.25"/>
    <row r="622" s="112" customFormat="1" x14ac:dyDescent="0.25"/>
    <row r="623" s="112" customFormat="1" x14ac:dyDescent="0.25"/>
    <row r="624" s="112" customFormat="1" x14ac:dyDescent="0.25"/>
    <row r="625" s="112" customFormat="1" x14ac:dyDescent="0.25"/>
    <row r="626" s="112" customFormat="1" x14ac:dyDescent="0.25"/>
    <row r="627" s="112" customFormat="1" x14ac:dyDescent="0.25"/>
    <row r="628" s="112" customFormat="1" x14ac:dyDescent="0.25"/>
    <row r="629" s="112" customFormat="1" x14ac:dyDescent="0.25"/>
    <row r="630" s="112" customFormat="1" x14ac:dyDescent="0.25"/>
    <row r="631" s="112" customFormat="1" x14ac:dyDescent="0.25"/>
    <row r="632" s="112" customFormat="1" x14ac:dyDescent="0.25"/>
    <row r="633" s="112" customFormat="1" x14ac:dyDescent="0.25"/>
    <row r="634" s="112" customFormat="1" x14ac:dyDescent="0.25"/>
    <row r="635" s="112" customFormat="1" x14ac:dyDescent="0.25"/>
    <row r="636" s="112" customFormat="1" x14ac:dyDescent="0.25"/>
    <row r="637" s="112" customFormat="1" x14ac:dyDescent="0.25"/>
    <row r="638" s="112" customFormat="1" x14ac:dyDescent="0.25"/>
    <row r="639" s="112" customFormat="1" x14ac:dyDescent="0.25"/>
    <row r="640" s="112" customFormat="1" x14ac:dyDescent="0.25"/>
    <row r="641" s="112" customFormat="1" x14ac:dyDescent="0.25"/>
    <row r="642" s="112" customFormat="1" x14ac:dyDescent="0.25"/>
    <row r="643" s="112" customFormat="1" x14ac:dyDescent="0.25"/>
    <row r="644" s="112" customFormat="1" x14ac:dyDescent="0.25"/>
    <row r="645" s="112" customFormat="1" x14ac:dyDescent="0.25"/>
    <row r="646" s="112" customFormat="1" x14ac:dyDescent="0.25"/>
    <row r="647" s="112" customFormat="1" x14ac:dyDescent="0.25"/>
    <row r="648" s="112" customFormat="1" x14ac:dyDescent="0.25"/>
    <row r="649" s="112" customFormat="1" x14ac:dyDescent="0.25"/>
    <row r="650" s="112" customFormat="1" x14ac:dyDescent="0.25"/>
    <row r="651" s="112" customFormat="1" x14ac:dyDescent="0.25"/>
    <row r="652" s="112" customFormat="1" x14ac:dyDescent="0.25"/>
    <row r="653" s="112" customFormat="1" x14ac:dyDescent="0.25"/>
    <row r="654" s="112" customFormat="1" x14ac:dyDescent="0.25"/>
    <row r="655" s="112" customFormat="1" x14ac:dyDescent="0.25"/>
    <row r="656" s="112" customFormat="1" x14ac:dyDescent="0.25"/>
    <row r="657" s="112" customFormat="1" x14ac:dyDescent="0.25"/>
    <row r="658" s="112" customFormat="1" x14ac:dyDescent="0.25"/>
    <row r="659" s="112" customFormat="1" x14ac:dyDescent="0.25"/>
    <row r="660" s="112" customFormat="1" x14ac:dyDescent="0.25"/>
    <row r="661" s="112" customFormat="1" x14ac:dyDescent="0.25"/>
    <row r="662" s="112" customFormat="1" x14ac:dyDescent="0.25"/>
    <row r="663" s="112" customFormat="1" x14ac:dyDescent="0.25"/>
    <row r="664" s="112" customFormat="1" x14ac:dyDescent="0.25"/>
    <row r="665" s="112" customFormat="1" x14ac:dyDescent="0.25"/>
    <row r="666" s="112" customFormat="1" x14ac:dyDescent="0.25"/>
    <row r="667" s="112" customFormat="1" x14ac:dyDescent="0.25"/>
    <row r="668" s="112" customFormat="1" x14ac:dyDescent="0.25"/>
    <row r="669" s="112" customFormat="1" x14ac:dyDescent="0.25"/>
    <row r="670" s="112" customFormat="1" x14ac:dyDescent="0.25"/>
    <row r="671" s="112" customFormat="1" x14ac:dyDescent="0.25"/>
    <row r="672" s="112" customFormat="1" x14ac:dyDescent="0.25"/>
    <row r="673" s="112" customFormat="1" x14ac:dyDescent="0.25"/>
    <row r="674" s="112" customFormat="1" x14ac:dyDescent="0.25"/>
    <row r="675" s="112" customFormat="1" x14ac:dyDescent="0.25"/>
    <row r="676" s="112" customFormat="1" x14ac:dyDescent="0.25"/>
    <row r="677" s="112" customFormat="1" x14ac:dyDescent="0.25"/>
    <row r="678" s="112" customFormat="1" x14ac:dyDescent="0.25"/>
    <row r="679" s="112" customFormat="1" x14ac:dyDescent="0.25"/>
    <row r="680" s="112" customFormat="1" x14ac:dyDescent="0.25"/>
    <row r="681" s="112" customFormat="1" x14ac:dyDescent="0.25"/>
    <row r="682" s="112" customFormat="1" x14ac:dyDescent="0.25"/>
    <row r="683" s="112" customFormat="1" x14ac:dyDescent="0.25"/>
    <row r="684" s="112" customFormat="1" x14ac:dyDescent="0.25"/>
    <row r="685" s="112" customFormat="1" x14ac:dyDescent="0.25"/>
    <row r="686" s="112" customFormat="1" x14ac:dyDescent="0.25"/>
    <row r="687" s="112" customFormat="1" x14ac:dyDescent="0.25"/>
    <row r="688" s="112" customFormat="1" x14ac:dyDescent="0.25"/>
    <row r="689" s="112" customFormat="1" x14ac:dyDescent="0.25"/>
    <row r="690" s="112" customFormat="1" x14ac:dyDescent="0.25"/>
    <row r="691" s="112" customFormat="1" x14ac:dyDescent="0.25"/>
    <row r="692" s="112" customFormat="1" x14ac:dyDescent="0.25"/>
    <row r="693" s="112" customFormat="1" x14ac:dyDescent="0.25"/>
    <row r="694" s="112" customFormat="1" x14ac:dyDescent="0.25"/>
    <row r="695" s="112" customFormat="1" x14ac:dyDescent="0.25"/>
    <row r="696" s="112" customFormat="1" x14ac:dyDescent="0.25"/>
    <row r="697" s="112" customFormat="1" x14ac:dyDescent="0.25"/>
    <row r="698" s="112" customFormat="1" x14ac:dyDescent="0.25"/>
    <row r="699" s="112" customFormat="1" x14ac:dyDescent="0.25"/>
    <row r="700" s="112" customFormat="1" x14ac:dyDescent="0.25"/>
    <row r="701" s="112" customFormat="1" x14ac:dyDescent="0.25"/>
    <row r="702" s="112" customFormat="1" x14ac:dyDescent="0.25"/>
    <row r="703" s="112" customFormat="1" x14ac:dyDescent="0.25"/>
    <row r="704" s="112" customFormat="1" x14ac:dyDescent="0.25"/>
    <row r="705" s="112" customFormat="1" x14ac:dyDescent="0.25"/>
    <row r="706" s="112" customFormat="1" x14ac:dyDescent="0.25"/>
    <row r="707" s="112" customFormat="1" x14ac:dyDescent="0.25"/>
    <row r="708" s="112" customFormat="1" x14ac:dyDescent="0.25"/>
    <row r="709" s="112" customFormat="1" x14ac:dyDescent="0.25"/>
    <row r="710" s="112" customFormat="1" x14ac:dyDescent="0.25"/>
    <row r="711" s="112" customFormat="1" x14ac:dyDescent="0.25"/>
    <row r="712" s="112" customFormat="1" x14ac:dyDescent="0.25"/>
    <row r="713" s="112" customFormat="1" x14ac:dyDescent="0.25"/>
    <row r="714" s="112" customFormat="1" x14ac:dyDescent="0.25"/>
    <row r="715" s="112" customFormat="1" x14ac:dyDescent="0.25"/>
    <row r="716" s="112" customFormat="1" x14ac:dyDescent="0.25"/>
    <row r="717" s="112" customFormat="1" x14ac:dyDescent="0.25"/>
    <row r="718" s="112" customFormat="1" x14ac:dyDescent="0.25"/>
    <row r="719" s="112" customFormat="1" x14ac:dyDescent="0.25"/>
    <row r="720" s="112" customFormat="1" x14ac:dyDescent="0.25"/>
    <row r="721" s="112" customFormat="1" x14ac:dyDescent="0.25"/>
    <row r="722" s="112" customFormat="1" x14ac:dyDescent="0.25"/>
    <row r="723" s="112" customFormat="1" x14ac:dyDescent="0.25"/>
    <row r="724" s="112" customFormat="1" x14ac:dyDescent="0.25"/>
    <row r="725" s="112" customFormat="1" x14ac:dyDescent="0.25"/>
    <row r="726" s="112" customFormat="1" x14ac:dyDescent="0.25"/>
    <row r="727" s="112" customFormat="1" x14ac:dyDescent="0.25"/>
    <row r="728" s="112" customFormat="1" x14ac:dyDescent="0.25"/>
    <row r="729" s="112" customFormat="1" x14ac:dyDescent="0.25"/>
    <row r="730" s="112" customFormat="1" x14ac:dyDescent="0.25"/>
    <row r="731" s="112" customFormat="1" x14ac:dyDescent="0.25"/>
    <row r="732" s="112" customFormat="1" x14ac:dyDescent="0.25"/>
    <row r="733" s="112" customFormat="1" x14ac:dyDescent="0.25"/>
    <row r="734" s="112" customFormat="1" x14ac:dyDescent="0.25"/>
    <row r="735" s="112" customFormat="1" x14ac:dyDescent="0.25"/>
    <row r="736" s="112" customFormat="1" x14ac:dyDescent="0.25"/>
    <row r="737" s="112" customFormat="1" x14ac:dyDescent="0.25"/>
    <row r="738" s="112" customFormat="1" x14ac:dyDescent="0.25"/>
    <row r="739" s="112" customFormat="1" x14ac:dyDescent="0.25"/>
    <row r="740" s="112" customFormat="1" x14ac:dyDescent="0.25"/>
    <row r="741" s="112" customFormat="1" x14ac:dyDescent="0.25"/>
    <row r="742" s="112" customFormat="1" x14ac:dyDescent="0.25"/>
    <row r="743" s="112" customFormat="1" x14ac:dyDescent="0.25"/>
    <row r="744" s="112" customFormat="1" x14ac:dyDescent="0.25"/>
    <row r="745" s="112" customFormat="1" x14ac:dyDescent="0.25"/>
    <row r="746" s="112" customFormat="1" x14ac:dyDescent="0.25"/>
    <row r="747" s="112" customFormat="1" x14ac:dyDescent="0.25"/>
    <row r="748" s="112" customFormat="1" x14ac:dyDescent="0.25"/>
    <row r="749" s="112" customFormat="1" x14ac:dyDescent="0.25"/>
    <row r="750" s="112" customFormat="1" x14ac:dyDescent="0.25"/>
    <row r="751" s="112" customFormat="1" x14ac:dyDescent="0.25"/>
    <row r="752" s="112" customFormat="1" x14ac:dyDescent="0.25"/>
    <row r="753" s="112" customFormat="1" x14ac:dyDescent="0.25"/>
    <row r="754" s="112" customFormat="1" x14ac:dyDescent="0.25"/>
    <row r="755" s="112" customFormat="1" x14ac:dyDescent="0.25"/>
    <row r="756" s="112" customFormat="1" x14ac:dyDescent="0.25"/>
    <row r="757" s="112" customFormat="1" x14ac:dyDescent="0.25"/>
    <row r="758" s="112" customFormat="1" x14ac:dyDescent="0.25"/>
    <row r="759" s="112" customFormat="1" x14ac:dyDescent="0.25"/>
    <row r="760" s="112" customFormat="1" x14ac:dyDescent="0.25"/>
    <row r="761" s="112" customFormat="1" x14ac:dyDescent="0.25"/>
    <row r="762" s="112" customFormat="1" x14ac:dyDescent="0.25"/>
    <row r="763" s="112" customFormat="1" x14ac:dyDescent="0.25"/>
    <row r="764" s="112" customFormat="1" x14ac:dyDescent="0.25"/>
    <row r="765" s="112" customFormat="1" x14ac:dyDescent="0.25"/>
    <row r="766" s="112" customFormat="1" x14ac:dyDescent="0.25"/>
    <row r="767" s="112" customFormat="1" x14ac:dyDescent="0.25"/>
    <row r="768" s="112" customFormat="1" x14ac:dyDescent="0.25"/>
    <row r="769" s="112" customFormat="1" x14ac:dyDescent="0.25"/>
    <row r="770" s="112" customFormat="1" x14ac:dyDescent="0.25"/>
    <row r="771" s="112" customFormat="1" x14ac:dyDescent="0.25"/>
    <row r="772" s="112" customFormat="1" x14ac:dyDescent="0.25"/>
    <row r="773" s="112" customFormat="1" x14ac:dyDescent="0.25"/>
    <row r="774" s="112" customFormat="1" x14ac:dyDescent="0.25"/>
    <row r="775" s="112" customFormat="1" x14ac:dyDescent="0.25"/>
    <row r="776" s="112" customFormat="1" x14ac:dyDescent="0.25"/>
    <row r="777" s="112" customFormat="1" x14ac:dyDescent="0.25"/>
    <row r="778" s="112" customFormat="1" x14ac:dyDescent="0.25"/>
    <row r="779" s="112" customFormat="1" x14ac:dyDescent="0.25"/>
    <row r="780" s="112" customFormat="1" x14ac:dyDescent="0.25"/>
    <row r="781" s="112" customFormat="1" x14ac:dyDescent="0.25"/>
    <row r="782" s="112" customFormat="1" x14ac:dyDescent="0.25"/>
    <row r="783" s="112" customFormat="1" x14ac:dyDescent="0.25"/>
    <row r="784" s="112" customFormat="1" x14ac:dyDescent="0.25"/>
    <row r="785" s="112" customFormat="1" x14ac:dyDescent="0.25"/>
    <row r="786" s="112" customFormat="1" x14ac:dyDescent="0.25"/>
    <row r="787" s="112" customFormat="1" x14ac:dyDescent="0.25"/>
    <row r="788" s="112" customFormat="1" x14ac:dyDescent="0.25"/>
    <row r="789" s="112" customFormat="1" x14ac:dyDescent="0.25"/>
    <row r="790" s="112" customFormat="1" x14ac:dyDescent="0.25"/>
    <row r="791" s="112" customFormat="1" x14ac:dyDescent="0.25"/>
    <row r="792" s="112" customFormat="1" x14ac:dyDescent="0.25"/>
    <row r="793" s="112" customFormat="1" x14ac:dyDescent="0.25"/>
    <row r="794" s="112" customFormat="1" x14ac:dyDescent="0.25"/>
    <row r="795" s="112" customFormat="1" x14ac:dyDescent="0.25"/>
    <row r="796" s="112" customFormat="1" x14ac:dyDescent="0.25"/>
    <row r="797" s="112" customFormat="1" x14ac:dyDescent="0.25"/>
    <row r="798" s="112" customFormat="1" x14ac:dyDescent="0.25"/>
    <row r="799" s="112" customFormat="1" x14ac:dyDescent="0.25"/>
    <row r="800" s="112" customFormat="1" x14ac:dyDescent="0.25"/>
    <row r="801" s="112" customFormat="1" x14ac:dyDescent="0.25"/>
    <row r="802" s="112" customFormat="1" x14ac:dyDescent="0.25"/>
    <row r="803" s="112" customFormat="1" x14ac:dyDescent="0.25"/>
    <row r="804" s="112" customFormat="1" x14ac:dyDescent="0.25"/>
    <row r="805" s="112" customFormat="1" x14ac:dyDescent="0.25"/>
    <row r="806" s="112" customFormat="1" x14ac:dyDescent="0.25"/>
    <row r="807" s="112" customFormat="1" x14ac:dyDescent="0.25"/>
    <row r="808" s="112" customFormat="1" x14ac:dyDescent="0.25"/>
    <row r="809" s="112" customFormat="1" x14ac:dyDescent="0.25"/>
    <row r="810" s="112" customFormat="1" x14ac:dyDescent="0.25"/>
    <row r="811" s="112" customFormat="1" x14ac:dyDescent="0.25"/>
    <row r="812" s="112" customFormat="1" x14ac:dyDescent="0.25"/>
    <row r="813" s="112" customFormat="1" x14ac:dyDescent="0.25"/>
    <row r="814" s="112" customFormat="1" x14ac:dyDescent="0.25"/>
    <row r="815" s="112" customFormat="1" x14ac:dyDescent="0.25"/>
    <row r="816" s="112" customFormat="1" x14ac:dyDescent="0.25"/>
    <row r="817" s="112" customFormat="1" x14ac:dyDescent="0.25"/>
    <row r="818" s="112" customFormat="1" x14ac:dyDescent="0.25"/>
    <row r="819" s="112" customFormat="1" x14ac:dyDescent="0.25"/>
    <row r="820" s="112" customFormat="1" x14ac:dyDescent="0.25"/>
    <row r="821" s="112" customFormat="1" x14ac:dyDescent="0.25"/>
    <row r="822" s="112" customFormat="1" x14ac:dyDescent="0.25"/>
    <row r="823" s="112" customFormat="1" x14ac:dyDescent="0.25"/>
    <row r="824" s="112" customFormat="1" x14ac:dyDescent="0.25"/>
    <row r="825" s="112" customFormat="1" x14ac:dyDescent="0.25"/>
    <row r="826" s="112" customFormat="1" x14ac:dyDescent="0.25"/>
    <row r="827" s="112" customFormat="1" x14ac:dyDescent="0.25"/>
    <row r="828" s="112" customFormat="1" x14ac:dyDescent="0.25"/>
    <row r="829" s="112" customFormat="1" x14ac:dyDescent="0.25"/>
    <row r="830" s="112" customFormat="1" x14ac:dyDescent="0.25"/>
    <row r="831" s="112" customFormat="1" x14ac:dyDescent="0.25"/>
    <row r="832" s="112" customFormat="1" x14ac:dyDescent="0.25"/>
    <row r="833" s="112" customFormat="1" x14ac:dyDescent="0.25"/>
    <row r="834" s="112" customFormat="1" x14ac:dyDescent="0.25"/>
    <row r="835" s="112" customFormat="1" x14ac:dyDescent="0.25"/>
    <row r="836" s="112" customFormat="1" x14ac:dyDescent="0.25"/>
    <row r="837" s="112" customFormat="1" x14ac:dyDescent="0.25"/>
    <row r="838" s="112" customFormat="1" x14ac:dyDescent="0.25"/>
    <row r="839" s="112" customFormat="1" x14ac:dyDescent="0.25"/>
    <row r="840" s="112" customFormat="1" x14ac:dyDescent="0.25"/>
    <row r="841" s="112" customFormat="1" x14ac:dyDescent="0.25"/>
    <row r="842" s="112" customFormat="1" x14ac:dyDescent="0.25"/>
    <row r="843" s="112" customFormat="1" x14ac:dyDescent="0.25"/>
    <row r="844" s="112" customFormat="1" x14ac:dyDescent="0.25"/>
    <row r="845" s="112" customFormat="1" x14ac:dyDescent="0.25"/>
    <row r="846" s="112" customFormat="1" x14ac:dyDescent="0.25"/>
    <row r="847" s="112" customFormat="1" x14ac:dyDescent="0.25"/>
    <row r="848" s="112" customFormat="1" x14ac:dyDescent="0.25"/>
    <row r="849" s="112" customFormat="1" x14ac:dyDescent="0.25"/>
    <row r="850" s="112" customFormat="1" x14ac:dyDescent="0.25"/>
    <row r="851" s="112" customFormat="1" x14ac:dyDescent="0.25"/>
    <row r="852" s="112" customFormat="1" x14ac:dyDescent="0.25"/>
    <row r="853" s="112" customFormat="1" x14ac:dyDescent="0.25"/>
    <row r="854" s="112" customFormat="1" x14ac:dyDescent="0.25"/>
    <row r="855" s="112" customFormat="1" x14ac:dyDescent="0.25"/>
    <row r="856" s="112" customFormat="1" x14ac:dyDescent="0.25"/>
    <row r="857" s="112" customFormat="1" x14ac:dyDescent="0.25"/>
    <row r="858" s="112" customFormat="1" x14ac:dyDescent="0.25"/>
    <row r="859" s="112" customFormat="1" x14ac:dyDescent="0.25"/>
    <row r="860" s="112" customFormat="1" x14ac:dyDescent="0.25"/>
    <row r="861" s="112" customFormat="1" x14ac:dyDescent="0.25"/>
    <row r="862" s="112" customFormat="1" x14ac:dyDescent="0.25"/>
    <row r="863" s="112" customFormat="1" x14ac:dyDescent="0.25"/>
    <row r="864" s="112" customFormat="1" x14ac:dyDescent="0.25"/>
    <row r="865" s="112" customFormat="1" x14ac:dyDescent="0.25"/>
    <row r="866" s="112" customFormat="1" x14ac:dyDescent="0.25"/>
    <row r="867" s="112" customFormat="1" x14ac:dyDescent="0.25"/>
    <row r="868" s="112" customFormat="1" x14ac:dyDescent="0.25"/>
    <row r="869" s="112" customFormat="1" x14ac:dyDescent="0.25"/>
    <row r="870" s="112" customFormat="1" x14ac:dyDescent="0.25"/>
    <row r="871" s="112" customFormat="1" x14ac:dyDescent="0.25"/>
    <row r="872" s="112" customFormat="1" x14ac:dyDescent="0.25"/>
  </sheetData>
  <conditionalFormatting sqref="B1:B1048576">
    <cfRule type="containsText" dxfId="7" priority="1" operator="containsText" text="VRAI">
      <formula>NOT(ISERROR(SEARCH("VRAI",B1)))</formula>
    </cfRule>
    <cfRule type="containsText" dxfId="6" priority="2" operator="containsText" text="FAUX">
      <formula>NOT(ISERROR(SEARCH("FAUX",B1)))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8F1FB-47A3-46A8-836B-25A5A0868043}">
  <sheetPr codeName="Feuil26"/>
  <dimension ref="C3:D11"/>
  <sheetViews>
    <sheetView showGridLines="0" workbookViewId="0">
      <selection activeCell="F25" sqref="F25"/>
    </sheetView>
  </sheetViews>
  <sheetFormatPr baseColWidth="10" defaultColWidth="11.42578125" defaultRowHeight="15" x14ac:dyDescent="0.25"/>
  <cols>
    <col min="3" max="3" width="73.140625" bestFit="1" customWidth="1"/>
  </cols>
  <sheetData>
    <row r="3" spans="3:4" x14ac:dyDescent="0.25">
      <c r="C3" t="s">
        <v>640</v>
      </c>
      <c r="D3" t="s">
        <v>641</v>
      </c>
    </row>
    <row r="4" spans="3:4" x14ac:dyDescent="0.25">
      <c r="C4" s="306" t="s">
        <v>642</v>
      </c>
      <c r="D4" t="s">
        <v>643</v>
      </c>
    </row>
    <row r="5" spans="3:4" x14ac:dyDescent="0.25">
      <c r="C5" s="306" t="s">
        <v>644</v>
      </c>
    </row>
    <row r="6" spans="3:4" x14ac:dyDescent="0.25">
      <c r="C6" s="306" t="s">
        <v>645</v>
      </c>
      <c r="D6" t="s">
        <v>643</v>
      </c>
    </row>
    <row r="7" spans="3:4" x14ac:dyDescent="0.25">
      <c r="C7" s="112" t="s">
        <v>646</v>
      </c>
      <c r="D7" t="s">
        <v>647</v>
      </c>
    </row>
    <row r="8" spans="3:4" x14ac:dyDescent="0.25">
      <c r="C8" s="306" t="s">
        <v>648</v>
      </c>
      <c r="D8" t="s">
        <v>643</v>
      </c>
    </row>
    <row r="9" spans="3:4" x14ac:dyDescent="0.25">
      <c r="C9" s="303" t="s">
        <v>649</v>
      </c>
    </row>
    <row r="10" spans="3:4" x14ac:dyDescent="0.25">
      <c r="C10" s="112" t="s">
        <v>650</v>
      </c>
      <c r="D10" t="s">
        <v>651</v>
      </c>
    </row>
    <row r="11" spans="3:4" x14ac:dyDescent="0.25">
      <c r="C11" s="112" t="s">
        <v>652</v>
      </c>
      <c r="D11" t="s">
        <v>647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E0457-CAFB-423F-822B-E630F5F7C1CD}">
  <sheetPr codeName="Feuil19"/>
  <dimension ref="A1:AQ486"/>
  <sheetViews>
    <sheetView showGridLines="0" zoomScale="80" zoomScaleNormal="80" workbookViewId="0">
      <selection activeCell="P45" sqref="P45"/>
    </sheetView>
  </sheetViews>
  <sheetFormatPr baseColWidth="10" defaultColWidth="11.42578125" defaultRowHeight="15" x14ac:dyDescent="0.25"/>
  <cols>
    <col min="1" max="1" width="18.28515625" style="112" bestFit="1" customWidth="1"/>
    <col min="2" max="2" width="31.5703125" customWidth="1"/>
    <col min="3" max="3" width="21.28515625" customWidth="1"/>
    <col min="4" max="4" width="23.42578125" customWidth="1"/>
    <col min="5" max="5" width="19.42578125" customWidth="1"/>
    <col min="6" max="6" width="15.85546875" style="112" hidden="1" customWidth="1"/>
    <col min="7" max="7" width="23.28515625" hidden="1" customWidth="1"/>
    <col min="8" max="8" width="0" style="112" hidden="1" customWidth="1"/>
    <col min="9" max="9" width="18.28515625" style="112" bestFit="1" customWidth="1"/>
    <col min="10" max="10" width="22.7109375" customWidth="1"/>
    <col min="11" max="11" width="31.7109375" bestFit="1" customWidth="1"/>
    <col min="13" max="13" width="14.140625" customWidth="1"/>
    <col min="15" max="43" width="11.42578125" style="112"/>
  </cols>
  <sheetData>
    <row r="1" spans="2:14" ht="31.5" x14ac:dyDescent="0.25">
      <c r="B1" s="250" t="s">
        <v>653</v>
      </c>
      <c r="C1" s="250" t="s">
        <v>654</v>
      </c>
      <c r="D1" s="250" t="s">
        <v>655</v>
      </c>
      <c r="E1" s="250" t="s">
        <v>656</v>
      </c>
      <c r="G1" s="112"/>
      <c r="J1" s="250" t="s">
        <v>657</v>
      </c>
      <c r="K1" s="250" t="s">
        <v>658</v>
      </c>
      <c r="L1" s="250" t="s">
        <v>605</v>
      </c>
      <c r="M1" s="250" t="s">
        <v>659</v>
      </c>
      <c r="N1" s="250" t="s">
        <v>660</v>
      </c>
    </row>
    <row r="2" spans="2:14" ht="34.15" customHeight="1" x14ac:dyDescent="0.25">
      <c r="B2" s="251" t="s">
        <v>661</v>
      </c>
      <c r="C2" s="251" t="s">
        <v>662</v>
      </c>
      <c r="D2" s="251" t="s">
        <v>663</v>
      </c>
      <c r="E2" s="252" t="s">
        <v>664</v>
      </c>
      <c r="G2" s="253" t="s">
        <v>665</v>
      </c>
      <c r="J2" s="240">
        <v>0</v>
      </c>
      <c r="K2" s="240" t="str">
        <f>SYNTHESE!B19</f>
        <v>Total brut des dépenses éligibles</v>
      </c>
      <c r="L2" s="322" t="e">
        <f>J2/(SYNTHESE!C19)</f>
        <v>#DIV/0!</v>
      </c>
      <c r="M2" s="255" t="e">
        <f>IF(L2&gt;=N2,"Oui","Non")</f>
        <v>#DIV/0!</v>
      </c>
      <c r="N2" s="256">
        <v>0.2</v>
      </c>
    </row>
    <row r="3" spans="2:14" ht="30" customHeight="1" x14ac:dyDescent="0.25">
      <c r="B3" s="251" t="s">
        <v>666</v>
      </c>
      <c r="C3" s="251"/>
      <c r="D3" s="251" t="s">
        <v>667</v>
      </c>
      <c r="E3" s="252" t="s">
        <v>664</v>
      </c>
      <c r="G3" s="112"/>
      <c r="J3" s="112"/>
      <c r="K3" s="112"/>
      <c r="L3" s="112"/>
      <c r="M3" s="112"/>
      <c r="N3" s="112"/>
    </row>
    <row r="4" spans="2:14" ht="29.45" customHeight="1" x14ac:dyDescent="0.25">
      <c r="B4" s="251" t="s">
        <v>668</v>
      </c>
      <c r="C4" s="251" t="s">
        <v>669</v>
      </c>
      <c r="D4" s="251" t="s">
        <v>670</v>
      </c>
      <c r="E4" s="252" t="s">
        <v>664</v>
      </c>
      <c r="G4" s="112"/>
      <c r="J4" s="112"/>
      <c r="K4" s="112"/>
      <c r="L4" s="112"/>
      <c r="M4" s="112"/>
      <c r="N4" s="112"/>
    </row>
    <row r="5" spans="2:14" ht="31.15" customHeight="1" x14ac:dyDescent="0.25">
      <c r="B5" s="251" t="s">
        <v>671</v>
      </c>
      <c r="C5" s="251" t="s">
        <v>662</v>
      </c>
      <c r="D5" s="251" t="s">
        <v>672</v>
      </c>
      <c r="E5" s="252" t="s">
        <v>673</v>
      </c>
      <c r="G5" s="112"/>
      <c r="J5" s="112"/>
      <c r="K5" s="112"/>
      <c r="L5" s="112"/>
      <c r="M5" s="112"/>
      <c r="N5" s="112"/>
    </row>
    <row r="6" spans="2:14" ht="51" customHeight="1" x14ac:dyDescent="0.25">
      <c r="B6" s="251" t="s">
        <v>674</v>
      </c>
      <c r="C6" s="251" t="s">
        <v>662</v>
      </c>
      <c r="D6" s="251" t="s">
        <v>675</v>
      </c>
      <c r="E6" s="252" t="s">
        <v>673</v>
      </c>
      <c r="G6" s="112"/>
      <c r="J6" s="112"/>
      <c r="K6" s="112"/>
      <c r="L6" s="112"/>
      <c r="M6" s="112"/>
      <c r="N6" s="112"/>
    </row>
    <row r="7" spans="2:14" ht="40.15" customHeight="1" x14ac:dyDescent="0.25">
      <c r="B7" s="251" t="s">
        <v>676</v>
      </c>
      <c r="C7" s="251" t="s">
        <v>662</v>
      </c>
      <c r="D7" s="251" t="s">
        <v>677</v>
      </c>
      <c r="E7" s="252" t="s">
        <v>673</v>
      </c>
      <c r="G7" s="112"/>
      <c r="J7" s="112"/>
      <c r="K7" s="112"/>
      <c r="L7" s="112"/>
      <c r="M7" s="112"/>
      <c r="N7" s="112"/>
    </row>
    <row r="8" spans="2:14" ht="30" x14ac:dyDescent="0.25">
      <c r="B8" s="251" t="s">
        <v>678</v>
      </c>
      <c r="C8" s="251" t="s">
        <v>679</v>
      </c>
      <c r="D8" s="251" t="s">
        <v>680</v>
      </c>
      <c r="E8" s="252" t="s">
        <v>673</v>
      </c>
      <c r="G8" s="112"/>
      <c r="J8" s="112"/>
      <c r="K8" s="112"/>
      <c r="L8" s="112"/>
      <c r="M8" s="112"/>
      <c r="N8" s="112"/>
    </row>
    <row r="9" spans="2:14" x14ac:dyDescent="0.25">
      <c r="B9" s="112"/>
      <c r="C9" s="112"/>
      <c r="D9" s="112"/>
      <c r="E9" s="112"/>
      <c r="G9" s="112"/>
      <c r="J9" s="112"/>
      <c r="K9" s="112"/>
      <c r="L9" s="112"/>
      <c r="M9" s="112"/>
      <c r="N9" s="112"/>
    </row>
    <row r="10" spans="2:14" x14ac:dyDescent="0.25">
      <c r="B10" s="112"/>
      <c r="C10" s="112"/>
      <c r="D10" s="112"/>
      <c r="E10" s="112"/>
      <c r="G10" s="112"/>
      <c r="J10" s="112"/>
      <c r="K10" s="112"/>
      <c r="L10" s="112"/>
      <c r="M10" s="112"/>
      <c r="N10" s="112"/>
    </row>
    <row r="11" spans="2:14" x14ac:dyDescent="0.25">
      <c r="B11" s="112"/>
      <c r="C11" s="112"/>
      <c r="D11" s="112"/>
      <c r="E11" s="112"/>
      <c r="G11" s="112"/>
      <c r="J11" s="112"/>
      <c r="K11" s="112"/>
      <c r="L11" s="112"/>
      <c r="M11" s="112"/>
      <c r="N11" s="112"/>
    </row>
    <row r="12" spans="2:14" x14ac:dyDescent="0.25">
      <c r="B12" s="112"/>
      <c r="C12" s="112"/>
      <c r="D12" s="112"/>
      <c r="E12" s="112"/>
      <c r="G12" s="112"/>
      <c r="J12" s="112"/>
      <c r="K12" s="112"/>
      <c r="L12" s="112"/>
      <c r="M12" s="112"/>
      <c r="N12" s="112"/>
    </row>
    <row r="13" spans="2:14" x14ac:dyDescent="0.25">
      <c r="B13" s="112"/>
      <c r="C13" s="112"/>
      <c r="D13" s="112"/>
      <c r="E13" s="112"/>
      <c r="G13" s="112"/>
      <c r="J13" s="112"/>
      <c r="K13" s="112"/>
      <c r="L13" s="112"/>
      <c r="M13" s="112"/>
      <c r="N13" s="112"/>
    </row>
    <row r="14" spans="2:14" x14ac:dyDescent="0.25">
      <c r="B14" s="112"/>
      <c r="C14" s="112"/>
      <c r="D14" s="112"/>
      <c r="E14" s="112"/>
      <c r="G14" s="112"/>
      <c r="J14" s="112"/>
      <c r="K14" s="112"/>
      <c r="L14" s="112"/>
      <c r="M14" s="112"/>
      <c r="N14" s="112"/>
    </row>
    <row r="15" spans="2:14" x14ac:dyDescent="0.25">
      <c r="B15" s="112"/>
      <c r="C15" s="112"/>
      <c r="D15" s="112"/>
      <c r="E15" s="112"/>
      <c r="G15" s="112"/>
      <c r="J15" s="112"/>
      <c r="K15" s="112"/>
      <c r="L15" s="112"/>
      <c r="M15" s="112"/>
      <c r="N15" s="112"/>
    </row>
    <row r="16" spans="2:14" x14ac:dyDescent="0.25">
      <c r="B16" s="112"/>
      <c r="C16" s="112"/>
      <c r="D16" s="112"/>
      <c r="E16" s="112"/>
      <c r="G16" s="112"/>
      <c r="J16" s="112"/>
      <c r="K16" s="112"/>
      <c r="L16" s="112"/>
      <c r="M16" s="112"/>
      <c r="N16" s="112"/>
    </row>
    <row r="17" spans="2:14" x14ac:dyDescent="0.25">
      <c r="B17" s="112"/>
      <c r="C17" s="112"/>
      <c r="D17" s="112"/>
      <c r="E17" s="112"/>
      <c r="G17" s="112"/>
      <c r="J17" s="112"/>
      <c r="K17" s="112"/>
      <c r="L17" s="112"/>
      <c r="M17" s="112"/>
      <c r="N17" s="112"/>
    </row>
    <row r="18" spans="2:14" x14ac:dyDescent="0.25">
      <c r="B18" s="112"/>
      <c r="C18" s="112"/>
      <c r="D18" s="112"/>
      <c r="E18" s="112"/>
      <c r="G18" s="112"/>
      <c r="J18" s="112"/>
      <c r="K18" s="112"/>
      <c r="L18" s="112"/>
      <c r="M18" s="112"/>
      <c r="N18" s="112"/>
    </row>
    <row r="19" spans="2:14" x14ac:dyDescent="0.25">
      <c r="B19" s="112"/>
      <c r="C19" s="112"/>
      <c r="D19" s="112"/>
      <c r="E19" s="112"/>
      <c r="G19" s="112"/>
      <c r="J19" s="112"/>
      <c r="K19" s="112"/>
      <c r="L19" s="112"/>
      <c r="M19" s="112"/>
      <c r="N19" s="112"/>
    </row>
    <row r="20" spans="2:14" x14ac:dyDescent="0.25">
      <c r="B20" s="112"/>
      <c r="C20" s="112"/>
      <c r="D20" s="112"/>
      <c r="E20" s="112"/>
      <c r="G20" s="112"/>
      <c r="J20" s="112"/>
      <c r="K20" s="112"/>
      <c r="L20" s="112"/>
      <c r="M20" s="112"/>
      <c r="N20" s="112"/>
    </row>
    <row r="21" spans="2:14" x14ac:dyDescent="0.25">
      <c r="B21" s="112"/>
      <c r="C21" s="112"/>
      <c r="D21" s="112"/>
      <c r="E21" s="112"/>
      <c r="G21" s="112"/>
      <c r="J21" s="112"/>
      <c r="K21" s="112"/>
      <c r="L21" s="112"/>
      <c r="M21" s="112"/>
      <c r="N21" s="112"/>
    </row>
    <row r="22" spans="2:14" x14ac:dyDescent="0.25">
      <c r="B22" s="112"/>
      <c r="C22" s="112"/>
      <c r="D22" s="112"/>
      <c r="E22" s="112"/>
      <c r="G22" s="112"/>
      <c r="J22" s="112"/>
      <c r="K22" s="112"/>
      <c r="L22" s="112"/>
      <c r="M22" s="112"/>
      <c r="N22" s="112"/>
    </row>
    <row r="23" spans="2:14" x14ac:dyDescent="0.25">
      <c r="B23" s="112"/>
      <c r="C23" s="112"/>
      <c r="D23" s="112"/>
      <c r="E23" s="112"/>
      <c r="G23" s="112"/>
      <c r="J23" s="112"/>
      <c r="K23" s="112"/>
      <c r="L23" s="112"/>
      <c r="M23" s="112"/>
      <c r="N23" s="112"/>
    </row>
    <row r="24" spans="2:14" x14ac:dyDescent="0.25">
      <c r="B24" s="112"/>
      <c r="C24" s="112"/>
      <c r="D24" s="112"/>
      <c r="E24" s="112"/>
      <c r="G24" s="112"/>
      <c r="J24" s="112"/>
      <c r="K24" s="112"/>
      <c r="L24" s="112"/>
      <c r="M24" s="112"/>
      <c r="N24" s="112"/>
    </row>
    <row r="25" spans="2:14" x14ac:dyDescent="0.25">
      <c r="B25" s="112"/>
      <c r="C25" s="112"/>
      <c r="D25" s="112"/>
      <c r="E25" s="112"/>
      <c r="G25" s="112"/>
      <c r="J25" s="112"/>
      <c r="K25" s="112"/>
      <c r="L25" s="112"/>
      <c r="M25" s="112"/>
      <c r="N25" s="112"/>
    </row>
    <row r="26" spans="2:14" x14ac:dyDescent="0.25">
      <c r="B26" s="112"/>
      <c r="C26" s="112"/>
      <c r="D26" s="112"/>
      <c r="E26" s="112"/>
      <c r="G26" s="112"/>
      <c r="J26" s="112"/>
      <c r="K26" s="112"/>
      <c r="L26" s="112"/>
      <c r="M26" s="112"/>
      <c r="N26" s="112"/>
    </row>
    <row r="27" spans="2:14" x14ac:dyDescent="0.25">
      <c r="B27" s="112"/>
      <c r="C27" s="112"/>
      <c r="D27" s="112"/>
      <c r="E27" s="112"/>
      <c r="G27" s="112"/>
      <c r="J27" s="112"/>
      <c r="K27" s="112"/>
      <c r="L27" s="112"/>
      <c r="M27" s="112"/>
      <c r="N27" s="112"/>
    </row>
    <row r="28" spans="2:14" x14ac:dyDescent="0.25">
      <c r="B28" s="112"/>
      <c r="C28" s="112"/>
      <c r="D28" s="112"/>
      <c r="E28" s="112"/>
      <c r="G28" s="112"/>
      <c r="J28" s="112"/>
      <c r="K28" s="112"/>
      <c r="L28" s="112"/>
      <c r="M28" s="112"/>
      <c r="N28" s="112"/>
    </row>
    <row r="29" spans="2:14" x14ac:dyDescent="0.25">
      <c r="B29" s="112"/>
      <c r="C29" s="112"/>
      <c r="D29" s="112"/>
      <c r="E29" s="112"/>
      <c r="G29" s="112"/>
      <c r="J29" s="112"/>
      <c r="K29" s="112"/>
      <c r="L29" s="112"/>
      <c r="M29" s="112"/>
      <c r="N29" s="112"/>
    </row>
    <row r="30" spans="2:14" x14ac:dyDescent="0.25">
      <c r="B30" s="112"/>
      <c r="C30" s="112"/>
      <c r="D30" s="112"/>
      <c r="E30" s="112"/>
      <c r="G30" s="112"/>
      <c r="J30" s="112"/>
      <c r="K30" s="112"/>
      <c r="L30" s="112"/>
      <c r="M30" s="112"/>
      <c r="N30" s="112"/>
    </row>
    <row r="31" spans="2:14" x14ac:dyDescent="0.25">
      <c r="B31" s="112"/>
      <c r="C31" s="112"/>
      <c r="D31" s="112"/>
      <c r="E31" s="112"/>
      <c r="G31" s="112"/>
      <c r="J31" s="112"/>
      <c r="K31" s="112"/>
      <c r="L31" s="112"/>
      <c r="M31" s="112"/>
      <c r="N31" s="112"/>
    </row>
    <row r="32" spans="2:14" x14ac:dyDescent="0.25">
      <c r="B32" s="112"/>
      <c r="C32" s="112"/>
      <c r="D32" s="112"/>
      <c r="E32" s="112"/>
      <c r="G32" s="112"/>
      <c r="J32" s="112"/>
      <c r="K32" s="112"/>
      <c r="L32" s="112"/>
      <c r="M32" s="112"/>
      <c r="N32" s="112"/>
    </row>
    <row r="33" spans="2:14" x14ac:dyDescent="0.25">
      <c r="B33" s="112"/>
      <c r="C33" s="112"/>
      <c r="D33" s="112"/>
      <c r="E33" s="112"/>
      <c r="G33" s="112"/>
      <c r="J33" s="112"/>
      <c r="K33" s="112"/>
      <c r="L33" s="112"/>
      <c r="M33" s="112"/>
      <c r="N33" s="112"/>
    </row>
    <row r="34" spans="2:14" x14ac:dyDescent="0.25">
      <c r="B34" s="112"/>
      <c r="C34" s="112"/>
      <c r="D34" s="112"/>
      <c r="E34" s="112"/>
      <c r="G34" s="112"/>
      <c r="J34" s="112"/>
      <c r="K34" s="112"/>
      <c r="L34" s="112"/>
      <c r="M34" s="112"/>
      <c r="N34" s="112"/>
    </row>
    <row r="35" spans="2:14" x14ac:dyDescent="0.25">
      <c r="B35" s="112"/>
      <c r="C35" s="112"/>
      <c r="D35" s="112"/>
      <c r="E35" s="112"/>
      <c r="G35" s="112"/>
      <c r="J35" s="112"/>
      <c r="K35" s="112"/>
      <c r="L35" s="112"/>
      <c r="M35" s="112"/>
      <c r="N35" s="112"/>
    </row>
    <row r="36" spans="2:14" s="112" customFormat="1" x14ac:dyDescent="0.25"/>
    <row r="37" spans="2:14" s="112" customFormat="1" x14ac:dyDescent="0.25"/>
    <row r="38" spans="2:14" s="112" customFormat="1" x14ac:dyDescent="0.25"/>
    <row r="39" spans="2:14" s="112" customFormat="1" x14ac:dyDescent="0.25"/>
    <row r="40" spans="2:14" s="112" customFormat="1" x14ac:dyDescent="0.25"/>
    <row r="41" spans="2:14" s="112" customFormat="1" x14ac:dyDescent="0.25"/>
    <row r="42" spans="2:14" s="112" customFormat="1" x14ac:dyDescent="0.25"/>
    <row r="43" spans="2:14" s="112" customFormat="1" x14ac:dyDescent="0.25"/>
    <row r="44" spans="2:14" s="112" customFormat="1" x14ac:dyDescent="0.25"/>
    <row r="45" spans="2:14" s="112" customFormat="1" x14ac:dyDescent="0.25"/>
    <row r="46" spans="2:14" s="112" customFormat="1" x14ac:dyDescent="0.25"/>
    <row r="47" spans="2:14" s="112" customFormat="1" x14ac:dyDescent="0.25"/>
    <row r="48" spans="2:14" s="112" customFormat="1" x14ac:dyDescent="0.25"/>
    <row r="49" s="112" customFormat="1" x14ac:dyDescent="0.25"/>
    <row r="50" s="112" customFormat="1" x14ac:dyDescent="0.25"/>
    <row r="51" s="112" customFormat="1" x14ac:dyDescent="0.25"/>
    <row r="52" s="112" customFormat="1" x14ac:dyDescent="0.25"/>
    <row r="53" s="112" customFormat="1" x14ac:dyDescent="0.25"/>
    <row r="54" s="112" customFormat="1" x14ac:dyDescent="0.25"/>
    <row r="55" s="112" customFormat="1" x14ac:dyDescent="0.25"/>
    <row r="56" s="112" customFormat="1" x14ac:dyDescent="0.25"/>
    <row r="57" s="112" customFormat="1" x14ac:dyDescent="0.25"/>
    <row r="58" s="112" customFormat="1" x14ac:dyDescent="0.25"/>
    <row r="59" s="112" customFormat="1" x14ac:dyDescent="0.25"/>
    <row r="60" s="112" customFormat="1" x14ac:dyDescent="0.25"/>
    <row r="61" s="112" customFormat="1" x14ac:dyDescent="0.25"/>
    <row r="62" s="112" customFormat="1" x14ac:dyDescent="0.25"/>
    <row r="63" s="112" customFormat="1" x14ac:dyDescent="0.25"/>
    <row r="64" s="112" customFormat="1" x14ac:dyDescent="0.25"/>
    <row r="65" s="112" customFormat="1" x14ac:dyDescent="0.25"/>
    <row r="66" s="112" customFormat="1" x14ac:dyDescent="0.25"/>
    <row r="67" s="112" customFormat="1" x14ac:dyDescent="0.25"/>
    <row r="68" s="112" customFormat="1" x14ac:dyDescent="0.25"/>
    <row r="69" s="112" customFormat="1" x14ac:dyDescent="0.25"/>
    <row r="70" s="112" customFormat="1" x14ac:dyDescent="0.25"/>
    <row r="71" s="112" customFormat="1" x14ac:dyDescent="0.25"/>
    <row r="72" s="112" customFormat="1" x14ac:dyDescent="0.25"/>
    <row r="73" s="112" customFormat="1" x14ac:dyDescent="0.25"/>
    <row r="74" s="112" customFormat="1" x14ac:dyDescent="0.25"/>
    <row r="75" s="112" customFormat="1" x14ac:dyDescent="0.25"/>
    <row r="76" s="112" customFormat="1" x14ac:dyDescent="0.25"/>
    <row r="77" s="112" customFormat="1" x14ac:dyDescent="0.25"/>
    <row r="78" s="112" customFormat="1" x14ac:dyDescent="0.25"/>
    <row r="79" s="112" customFormat="1" x14ac:dyDescent="0.25"/>
    <row r="80" s="112" customFormat="1" x14ac:dyDescent="0.25"/>
    <row r="81" s="112" customFormat="1" x14ac:dyDescent="0.25"/>
    <row r="82" s="112" customFormat="1" x14ac:dyDescent="0.25"/>
    <row r="83" s="112" customFormat="1" x14ac:dyDescent="0.25"/>
    <row r="84" s="112" customFormat="1" x14ac:dyDescent="0.25"/>
    <row r="85" s="112" customFormat="1" x14ac:dyDescent="0.25"/>
    <row r="86" s="112" customFormat="1" x14ac:dyDescent="0.25"/>
    <row r="87" s="112" customFormat="1" x14ac:dyDescent="0.25"/>
    <row r="88" s="112" customFormat="1" x14ac:dyDescent="0.25"/>
    <row r="89" s="112" customFormat="1" x14ac:dyDescent="0.25"/>
    <row r="90" s="112" customFormat="1" x14ac:dyDescent="0.25"/>
    <row r="91" s="112" customFormat="1" x14ac:dyDescent="0.25"/>
    <row r="92" s="112" customFormat="1" x14ac:dyDescent="0.25"/>
    <row r="93" s="112" customFormat="1" x14ac:dyDescent="0.25"/>
    <row r="94" s="112" customFormat="1" x14ac:dyDescent="0.25"/>
    <row r="95" s="112" customFormat="1" x14ac:dyDescent="0.25"/>
    <row r="96" s="112" customFormat="1" x14ac:dyDescent="0.25"/>
    <row r="97" s="112" customFormat="1" x14ac:dyDescent="0.25"/>
    <row r="98" s="112" customFormat="1" x14ac:dyDescent="0.25"/>
    <row r="99" s="112" customFormat="1" x14ac:dyDescent="0.25"/>
    <row r="100" s="112" customFormat="1" x14ac:dyDescent="0.25"/>
    <row r="101" s="112" customFormat="1" x14ac:dyDescent="0.25"/>
    <row r="102" s="112" customFormat="1" x14ac:dyDescent="0.25"/>
    <row r="103" s="112" customFormat="1" x14ac:dyDescent="0.25"/>
    <row r="104" s="112" customFormat="1" x14ac:dyDescent="0.25"/>
    <row r="105" s="112" customFormat="1" x14ac:dyDescent="0.25"/>
    <row r="106" s="112" customFormat="1" x14ac:dyDescent="0.25"/>
    <row r="107" s="112" customFormat="1" x14ac:dyDescent="0.25"/>
    <row r="108" s="112" customFormat="1" x14ac:dyDescent="0.25"/>
    <row r="109" s="112" customFormat="1" x14ac:dyDescent="0.25"/>
    <row r="110" s="112" customFormat="1" x14ac:dyDescent="0.25"/>
    <row r="111" s="112" customFormat="1" x14ac:dyDescent="0.25"/>
    <row r="112" s="112" customFormat="1" x14ac:dyDescent="0.25"/>
    <row r="113" s="112" customFormat="1" x14ac:dyDescent="0.25"/>
    <row r="114" s="112" customFormat="1" x14ac:dyDescent="0.25"/>
    <row r="115" s="112" customFormat="1" x14ac:dyDescent="0.25"/>
    <row r="116" s="112" customFormat="1" x14ac:dyDescent="0.25"/>
    <row r="117" s="112" customFormat="1" x14ac:dyDescent="0.25"/>
    <row r="118" s="112" customFormat="1" x14ac:dyDescent="0.25"/>
    <row r="119" s="112" customFormat="1" x14ac:dyDescent="0.25"/>
    <row r="120" s="112" customFormat="1" x14ac:dyDescent="0.25"/>
    <row r="121" s="112" customFormat="1" x14ac:dyDescent="0.25"/>
    <row r="122" s="112" customFormat="1" x14ac:dyDescent="0.25"/>
    <row r="123" s="112" customFormat="1" x14ac:dyDescent="0.25"/>
    <row r="124" s="112" customFormat="1" x14ac:dyDescent="0.25"/>
    <row r="125" s="112" customFormat="1" x14ac:dyDescent="0.25"/>
    <row r="126" s="112" customFormat="1" x14ac:dyDescent="0.25"/>
    <row r="127" s="112" customFormat="1" x14ac:dyDescent="0.25"/>
    <row r="128" s="112" customFormat="1" x14ac:dyDescent="0.25"/>
    <row r="129" s="112" customFormat="1" x14ac:dyDescent="0.25"/>
    <row r="130" s="112" customFormat="1" x14ac:dyDescent="0.25"/>
    <row r="131" s="112" customFormat="1" x14ac:dyDescent="0.25"/>
    <row r="132" s="112" customFormat="1" x14ac:dyDescent="0.25"/>
    <row r="133" s="112" customFormat="1" x14ac:dyDescent="0.25"/>
    <row r="134" s="112" customFormat="1" x14ac:dyDescent="0.25"/>
    <row r="135" s="112" customFormat="1" x14ac:dyDescent="0.25"/>
    <row r="136" s="112" customFormat="1" x14ac:dyDescent="0.25"/>
    <row r="137" s="112" customFormat="1" x14ac:dyDescent="0.25"/>
    <row r="138" s="112" customFormat="1" x14ac:dyDescent="0.25"/>
    <row r="139" s="112" customFormat="1" x14ac:dyDescent="0.25"/>
    <row r="140" s="112" customFormat="1" x14ac:dyDescent="0.25"/>
    <row r="141" s="112" customFormat="1" x14ac:dyDescent="0.25"/>
    <row r="142" s="112" customFormat="1" x14ac:dyDescent="0.25"/>
    <row r="143" s="112" customFormat="1" x14ac:dyDescent="0.25"/>
    <row r="144" s="112" customFormat="1" x14ac:dyDescent="0.25"/>
    <row r="145" s="112" customFormat="1" x14ac:dyDescent="0.25"/>
    <row r="146" s="112" customFormat="1" x14ac:dyDescent="0.25"/>
    <row r="147" s="112" customFormat="1" x14ac:dyDescent="0.25"/>
    <row r="148" s="112" customFormat="1" x14ac:dyDescent="0.25"/>
    <row r="149" s="112" customFormat="1" x14ac:dyDescent="0.25"/>
    <row r="150" s="112" customFormat="1" x14ac:dyDescent="0.25"/>
    <row r="151" s="112" customFormat="1" x14ac:dyDescent="0.25"/>
    <row r="152" s="112" customFormat="1" x14ac:dyDescent="0.25"/>
    <row r="153" s="112" customFormat="1" x14ac:dyDescent="0.25"/>
    <row r="154" s="112" customFormat="1" x14ac:dyDescent="0.25"/>
    <row r="155" s="112" customFormat="1" x14ac:dyDescent="0.25"/>
    <row r="156" s="112" customFormat="1" x14ac:dyDescent="0.25"/>
    <row r="157" s="112" customFormat="1" x14ac:dyDescent="0.25"/>
    <row r="158" s="112" customFormat="1" x14ac:dyDescent="0.25"/>
    <row r="159" s="112" customFormat="1" x14ac:dyDescent="0.25"/>
    <row r="160" s="112" customFormat="1" x14ac:dyDescent="0.25"/>
    <row r="161" s="112" customFormat="1" x14ac:dyDescent="0.25"/>
    <row r="162" s="112" customFormat="1" x14ac:dyDescent="0.25"/>
    <row r="163" s="112" customFormat="1" x14ac:dyDescent="0.25"/>
    <row r="164" s="112" customFormat="1" x14ac:dyDescent="0.25"/>
    <row r="165" s="112" customFormat="1" x14ac:dyDescent="0.25"/>
    <row r="166" s="112" customFormat="1" x14ac:dyDescent="0.25"/>
    <row r="167" s="112" customFormat="1" x14ac:dyDescent="0.25"/>
    <row r="168" s="112" customFormat="1" x14ac:dyDescent="0.25"/>
    <row r="169" s="112" customFormat="1" x14ac:dyDescent="0.25"/>
    <row r="170" s="112" customFormat="1" x14ac:dyDescent="0.25"/>
    <row r="171" s="112" customFormat="1" x14ac:dyDescent="0.25"/>
    <row r="172" s="112" customFormat="1" x14ac:dyDescent="0.25"/>
    <row r="173" s="112" customFormat="1" x14ac:dyDescent="0.25"/>
    <row r="174" s="112" customFormat="1" x14ac:dyDescent="0.25"/>
    <row r="175" s="112" customFormat="1" x14ac:dyDescent="0.25"/>
    <row r="176" s="112" customFormat="1" x14ac:dyDescent="0.25"/>
    <row r="177" s="112" customFormat="1" x14ac:dyDescent="0.25"/>
    <row r="178" s="112" customFormat="1" x14ac:dyDescent="0.25"/>
    <row r="179" s="112" customFormat="1" x14ac:dyDescent="0.25"/>
    <row r="180" s="112" customFormat="1" x14ac:dyDescent="0.25"/>
    <row r="181" s="112" customFormat="1" x14ac:dyDescent="0.25"/>
    <row r="182" s="112" customFormat="1" x14ac:dyDescent="0.25"/>
    <row r="183" s="112" customFormat="1" x14ac:dyDescent="0.25"/>
    <row r="184" s="112" customFormat="1" x14ac:dyDescent="0.25"/>
    <row r="185" s="112" customFormat="1" x14ac:dyDescent="0.25"/>
    <row r="186" s="112" customFormat="1" x14ac:dyDescent="0.25"/>
    <row r="187" s="112" customFormat="1" x14ac:dyDescent="0.25"/>
    <row r="188" s="112" customFormat="1" x14ac:dyDescent="0.25"/>
    <row r="189" s="112" customFormat="1" x14ac:dyDescent="0.25"/>
    <row r="190" s="112" customFormat="1" x14ac:dyDescent="0.25"/>
    <row r="191" s="112" customFormat="1" x14ac:dyDescent="0.25"/>
    <row r="192" s="112" customFormat="1" x14ac:dyDescent="0.25"/>
    <row r="193" s="112" customFormat="1" x14ac:dyDescent="0.25"/>
    <row r="194" s="112" customFormat="1" x14ac:dyDescent="0.25"/>
    <row r="195" s="112" customFormat="1" x14ac:dyDescent="0.25"/>
    <row r="196" s="112" customFormat="1" x14ac:dyDescent="0.25"/>
    <row r="197" s="112" customFormat="1" x14ac:dyDescent="0.25"/>
    <row r="198" s="112" customFormat="1" x14ac:dyDescent="0.25"/>
    <row r="199" s="112" customFormat="1" x14ac:dyDescent="0.25"/>
    <row r="200" s="112" customFormat="1" x14ac:dyDescent="0.25"/>
    <row r="201" s="112" customFormat="1" x14ac:dyDescent="0.25"/>
    <row r="202" s="112" customFormat="1" x14ac:dyDescent="0.25"/>
    <row r="203" s="112" customFormat="1" x14ac:dyDescent="0.25"/>
    <row r="204" s="112" customFormat="1" x14ac:dyDescent="0.25"/>
    <row r="205" s="112" customFormat="1" x14ac:dyDescent="0.25"/>
    <row r="206" s="112" customFormat="1" x14ac:dyDescent="0.25"/>
    <row r="207" s="112" customFormat="1" x14ac:dyDescent="0.25"/>
    <row r="208" s="112" customFormat="1" x14ac:dyDescent="0.25"/>
    <row r="209" s="112" customFormat="1" x14ac:dyDescent="0.25"/>
    <row r="210" s="112" customFormat="1" x14ac:dyDescent="0.25"/>
    <row r="211" s="112" customFormat="1" x14ac:dyDescent="0.25"/>
    <row r="212" s="112" customFormat="1" x14ac:dyDescent="0.25"/>
    <row r="213" s="112" customFormat="1" x14ac:dyDescent="0.25"/>
    <row r="214" s="112" customFormat="1" x14ac:dyDescent="0.25"/>
    <row r="215" s="112" customFormat="1" x14ac:dyDescent="0.25"/>
    <row r="216" s="112" customFormat="1" x14ac:dyDescent="0.25"/>
    <row r="217" s="112" customFormat="1" x14ac:dyDescent="0.25"/>
    <row r="218" s="112" customFormat="1" x14ac:dyDescent="0.25"/>
    <row r="219" s="112" customFormat="1" x14ac:dyDescent="0.25"/>
    <row r="220" s="112" customFormat="1" x14ac:dyDescent="0.25"/>
    <row r="221" s="112" customFormat="1" x14ac:dyDescent="0.25"/>
    <row r="222" s="112" customFormat="1" x14ac:dyDescent="0.25"/>
    <row r="223" s="112" customFormat="1" x14ac:dyDescent="0.25"/>
    <row r="224" s="112" customFormat="1" x14ac:dyDescent="0.25"/>
    <row r="225" s="112" customFormat="1" x14ac:dyDescent="0.25"/>
    <row r="226" s="112" customFormat="1" x14ac:dyDescent="0.25"/>
    <row r="227" s="112" customFormat="1" x14ac:dyDescent="0.25"/>
    <row r="228" s="112" customFormat="1" x14ac:dyDescent="0.25"/>
    <row r="229" s="112" customFormat="1" x14ac:dyDescent="0.25"/>
    <row r="230" s="112" customFormat="1" x14ac:dyDescent="0.25"/>
    <row r="231" s="112" customFormat="1" x14ac:dyDescent="0.25"/>
    <row r="232" s="112" customFormat="1" x14ac:dyDescent="0.25"/>
    <row r="233" s="112" customFormat="1" x14ac:dyDescent="0.25"/>
    <row r="234" s="112" customFormat="1" x14ac:dyDescent="0.25"/>
    <row r="235" s="112" customFormat="1" x14ac:dyDescent="0.25"/>
    <row r="236" s="112" customFormat="1" x14ac:dyDescent="0.25"/>
    <row r="237" s="112" customFormat="1" x14ac:dyDescent="0.25"/>
    <row r="238" s="112" customFormat="1" x14ac:dyDescent="0.25"/>
    <row r="239" s="112" customFormat="1" x14ac:dyDescent="0.25"/>
    <row r="240" s="112" customFormat="1" x14ac:dyDescent="0.25"/>
    <row r="241" s="112" customFormat="1" x14ac:dyDescent="0.25"/>
    <row r="242" s="112" customFormat="1" x14ac:dyDescent="0.25"/>
    <row r="243" s="112" customFormat="1" x14ac:dyDescent="0.25"/>
    <row r="244" s="112" customFormat="1" x14ac:dyDescent="0.25"/>
    <row r="245" s="112" customFormat="1" x14ac:dyDescent="0.25"/>
    <row r="246" s="112" customFormat="1" x14ac:dyDescent="0.25"/>
    <row r="247" s="112" customFormat="1" x14ac:dyDescent="0.25"/>
    <row r="248" s="112" customFormat="1" x14ac:dyDescent="0.25"/>
    <row r="249" s="112" customFormat="1" x14ac:dyDescent="0.25"/>
    <row r="250" s="112" customFormat="1" x14ac:dyDescent="0.25"/>
    <row r="251" s="112" customFormat="1" x14ac:dyDescent="0.25"/>
    <row r="252" s="112" customFormat="1" x14ac:dyDescent="0.25"/>
    <row r="253" s="112" customFormat="1" x14ac:dyDescent="0.25"/>
    <row r="254" s="112" customFormat="1" x14ac:dyDescent="0.25"/>
    <row r="255" s="112" customFormat="1" x14ac:dyDescent="0.25"/>
    <row r="256" s="112" customFormat="1" x14ac:dyDescent="0.25"/>
    <row r="257" s="112" customFormat="1" x14ac:dyDescent="0.25"/>
    <row r="258" s="112" customFormat="1" x14ac:dyDescent="0.25"/>
    <row r="259" s="112" customFormat="1" x14ac:dyDescent="0.25"/>
    <row r="260" s="112" customFormat="1" x14ac:dyDescent="0.25"/>
    <row r="261" s="112" customFormat="1" x14ac:dyDescent="0.25"/>
    <row r="262" s="112" customFormat="1" x14ac:dyDescent="0.25"/>
    <row r="263" s="112" customFormat="1" x14ac:dyDescent="0.25"/>
    <row r="264" s="112" customFormat="1" x14ac:dyDescent="0.25"/>
    <row r="265" s="112" customFormat="1" x14ac:dyDescent="0.25"/>
    <row r="266" s="112" customFormat="1" x14ac:dyDescent="0.25"/>
    <row r="267" s="112" customFormat="1" x14ac:dyDescent="0.25"/>
    <row r="268" s="112" customFormat="1" x14ac:dyDescent="0.25"/>
    <row r="269" s="112" customFormat="1" x14ac:dyDescent="0.25"/>
    <row r="270" s="112" customFormat="1" x14ac:dyDescent="0.25"/>
    <row r="271" s="112" customFormat="1" x14ac:dyDescent="0.25"/>
    <row r="272" s="112" customFormat="1" x14ac:dyDescent="0.25"/>
    <row r="273" s="112" customFormat="1" x14ac:dyDescent="0.25"/>
    <row r="274" s="112" customFormat="1" x14ac:dyDescent="0.25"/>
    <row r="275" s="112" customFormat="1" x14ac:dyDescent="0.25"/>
    <row r="276" s="112" customFormat="1" x14ac:dyDescent="0.25"/>
    <row r="277" s="112" customFormat="1" x14ac:dyDescent="0.25"/>
    <row r="278" s="112" customFormat="1" x14ac:dyDescent="0.25"/>
    <row r="279" s="112" customFormat="1" x14ac:dyDescent="0.25"/>
    <row r="280" s="112" customFormat="1" x14ac:dyDescent="0.25"/>
    <row r="281" s="112" customFormat="1" x14ac:dyDescent="0.25"/>
    <row r="282" s="112" customFormat="1" x14ac:dyDescent="0.25"/>
    <row r="283" s="112" customFormat="1" x14ac:dyDescent="0.25"/>
    <row r="284" s="112" customFormat="1" x14ac:dyDescent="0.25"/>
    <row r="285" s="112" customFormat="1" x14ac:dyDescent="0.25"/>
    <row r="286" s="112" customFormat="1" x14ac:dyDescent="0.25"/>
    <row r="287" s="112" customFormat="1" x14ac:dyDescent="0.25"/>
    <row r="288" s="112" customFormat="1" x14ac:dyDescent="0.25"/>
    <row r="289" s="112" customFormat="1" x14ac:dyDescent="0.25"/>
    <row r="290" s="112" customFormat="1" x14ac:dyDescent="0.25"/>
    <row r="291" s="112" customFormat="1" x14ac:dyDescent="0.25"/>
    <row r="292" s="112" customFormat="1" x14ac:dyDescent="0.25"/>
    <row r="293" s="112" customFormat="1" x14ac:dyDescent="0.25"/>
    <row r="294" s="112" customFormat="1" x14ac:dyDescent="0.25"/>
    <row r="295" s="112" customFormat="1" x14ac:dyDescent="0.25"/>
    <row r="296" s="112" customFormat="1" x14ac:dyDescent="0.25"/>
    <row r="297" s="112" customFormat="1" x14ac:dyDescent="0.25"/>
    <row r="298" s="112" customFormat="1" x14ac:dyDescent="0.25"/>
    <row r="299" s="112" customFormat="1" x14ac:dyDescent="0.25"/>
    <row r="300" s="112" customFormat="1" x14ac:dyDescent="0.25"/>
    <row r="301" s="112" customFormat="1" x14ac:dyDescent="0.25"/>
    <row r="302" s="112" customFormat="1" x14ac:dyDescent="0.25"/>
    <row r="303" s="112" customFormat="1" x14ac:dyDescent="0.25"/>
    <row r="304" s="112" customFormat="1" x14ac:dyDescent="0.25"/>
    <row r="305" s="112" customFormat="1" x14ac:dyDescent="0.25"/>
    <row r="306" s="112" customFormat="1" x14ac:dyDescent="0.25"/>
    <row r="307" s="112" customFormat="1" x14ac:dyDescent="0.25"/>
    <row r="308" s="112" customFormat="1" x14ac:dyDescent="0.25"/>
    <row r="309" s="112" customFormat="1" x14ac:dyDescent="0.25"/>
    <row r="310" s="112" customFormat="1" x14ac:dyDescent="0.25"/>
    <row r="311" s="112" customFormat="1" x14ac:dyDescent="0.25"/>
    <row r="312" s="112" customFormat="1" x14ac:dyDescent="0.25"/>
    <row r="313" s="112" customFormat="1" x14ac:dyDescent="0.25"/>
    <row r="314" s="112" customFormat="1" x14ac:dyDescent="0.25"/>
    <row r="315" s="112" customFormat="1" x14ac:dyDescent="0.25"/>
    <row r="316" s="112" customFormat="1" x14ac:dyDescent="0.25"/>
    <row r="317" s="112" customFormat="1" x14ac:dyDescent="0.25"/>
    <row r="318" s="112" customFormat="1" x14ac:dyDescent="0.25"/>
    <row r="319" s="112" customFormat="1" x14ac:dyDescent="0.25"/>
    <row r="320" s="112" customFormat="1" x14ac:dyDescent="0.25"/>
    <row r="321" s="112" customFormat="1" x14ac:dyDescent="0.25"/>
    <row r="322" s="112" customFormat="1" x14ac:dyDescent="0.25"/>
    <row r="323" s="112" customFormat="1" x14ac:dyDescent="0.25"/>
    <row r="324" s="112" customFormat="1" x14ac:dyDescent="0.25"/>
    <row r="325" s="112" customFormat="1" x14ac:dyDescent="0.25"/>
    <row r="326" s="112" customFormat="1" x14ac:dyDescent="0.25"/>
    <row r="327" s="112" customFormat="1" x14ac:dyDescent="0.25"/>
    <row r="328" s="112" customFormat="1" x14ac:dyDescent="0.25"/>
    <row r="329" s="112" customFormat="1" x14ac:dyDescent="0.25"/>
    <row r="330" s="112" customFormat="1" x14ac:dyDescent="0.25"/>
    <row r="331" s="112" customFormat="1" x14ac:dyDescent="0.25"/>
    <row r="332" s="112" customFormat="1" x14ac:dyDescent="0.25"/>
    <row r="333" s="112" customFormat="1" x14ac:dyDescent="0.25"/>
    <row r="334" s="112" customFormat="1" x14ac:dyDescent="0.25"/>
    <row r="335" s="112" customFormat="1" x14ac:dyDescent="0.25"/>
    <row r="336" s="112" customFormat="1" x14ac:dyDescent="0.25"/>
    <row r="337" s="112" customFormat="1" x14ac:dyDescent="0.25"/>
    <row r="338" s="112" customFormat="1" x14ac:dyDescent="0.25"/>
    <row r="339" s="112" customFormat="1" x14ac:dyDescent="0.25"/>
    <row r="340" s="112" customFormat="1" x14ac:dyDescent="0.25"/>
    <row r="341" s="112" customFormat="1" x14ac:dyDescent="0.25"/>
    <row r="342" s="112" customFormat="1" x14ac:dyDescent="0.25"/>
    <row r="343" s="112" customFormat="1" x14ac:dyDescent="0.25"/>
    <row r="344" s="112" customFormat="1" x14ac:dyDescent="0.25"/>
    <row r="345" s="112" customFormat="1" x14ac:dyDescent="0.25"/>
    <row r="346" s="112" customFormat="1" x14ac:dyDescent="0.25"/>
    <row r="347" s="112" customFormat="1" x14ac:dyDescent="0.25"/>
    <row r="348" s="112" customFormat="1" x14ac:dyDescent="0.25"/>
    <row r="349" s="112" customFormat="1" x14ac:dyDescent="0.25"/>
    <row r="350" s="112" customFormat="1" x14ac:dyDescent="0.25"/>
    <row r="351" s="112" customFormat="1" x14ac:dyDescent="0.25"/>
    <row r="352" s="112" customFormat="1" x14ac:dyDescent="0.25"/>
    <row r="353" s="112" customFormat="1" x14ac:dyDescent="0.25"/>
    <row r="354" s="112" customFormat="1" x14ac:dyDescent="0.25"/>
    <row r="355" s="112" customFormat="1" x14ac:dyDescent="0.25"/>
    <row r="356" s="112" customFormat="1" x14ac:dyDescent="0.25"/>
    <row r="357" s="112" customFormat="1" x14ac:dyDescent="0.25"/>
    <row r="358" s="112" customFormat="1" x14ac:dyDescent="0.25"/>
    <row r="359" s="112" customFormat="1" x14ac:dyDescent="0.25"/>
    <row r="360" s="112" customFormat="1" x14ac:dyDescent="0.25"/>
    <row r="361" s="112" customFormat="1" x14ac:dyDescent="0.25"/>
    <row r="362" s="112" customFormat="1" x14ac:dyDescent="0.25"/>
    <row r="363" s="112" customFormat="1" x14ac:dyDescent="0.25"/>
    <row r="364" s="112" customFormat="1" x14ac:dyDescent="0.25"/>
    <row r="365" s="112" customFormat="1" x14ac:dyDescent="0.25"/>
    <row r="366" s="112" customFormat="1" x14ac:dyDescent="0.25"/>
    <row r="367" s="112" customFormat="1" x14ac:dyDescent="0.25"/>
    <row r="368" s="112" customFormat="1" x14ac:dyDescent="0.25"/>
    <row r="369" s="112" customFormat="1" x14ac:dyDescent="0.25"/>
    <row r="370" s="112" customFormat="1" x14ac:dyDescent="0.25"/>
    <row r="371" s="112" customFormat="1" x14ac:dyDescent="0.25"/>
    <row r="372" s="112" customFormat="1" x14ac:dyDescent="0.25"/>
    <row r="373" s="112" customFormat="1" x14ac:dyDescent="0.25"/>
    <row r="374" s="112" customFormat="1" x14ac:dyDescent="0.25"/>
    <row r="375" s="112" customFormat="1" x14ac:dyDescent="0.25"/>
    <row r="376" s="112" customFormat="1" x14ac:dyDescent="0.25"/>
    <row r="377" s="112" customFormat="1" x14ac:dyDescent="0.25"/>
    <row r="378" s="112" customFormat="1" x14ac:dyDescent="0.25"/>
    <row r="379" s="112" customFormat="1" x14ac:dyDescent="0.25"/>
    <row r="380" s="112" customFormat="1" x14ac:dyDescent="0.25"/>
    <row r="381" s="112" customFormat="1" x14ac:dyDescent="0.25"/>
    <row r="382" s="112" customFormat="1" x14ac:dyDescent="0.25"/>
    <row r="383" s="112" customFormat="1" x14ac:dyDescent="0.25"/>
    <row r="384" s="112" customFormat="1" x14ac:dyDescent="0.25"/>
    <row r="385" s="112" customFormat="1" x14ac:dyDescent="0.25"/>
    <row r="386" s="112" customFormat="1" x14ac:dyDescent="0.25"/>
    <row r="387" s="112" customFormat="1" x14ac:dyDescent="0.25"/>
    <row r="388" s="112" customFormat="1" x14ac:dyDescent="0.25"/>
    <row r="389" s="112" customFormat="1" x14ac:dyDescent="0.25"/>
    <row r="390" s="112" customFormat="1" x14ac:dyDescent="0.25"/>
    <row r="391" s="112" customFormat="1" x14ac:dyDescent="0.25"/>
    <row r="392" s="112" customFormat="1" x14ac:dyDescent="0.25"/>
    <row r="393" s="112" customFormat="1" x14ac:dyDescent="0.25"/>
    <row r="394" s="112" customFormat="1" x14ac:dyDescent="0.25"/>
    <row r="395" s="112" customFormat="1" x14ac:dyDescent="0.25"/>
    <row r="396" s="112" customFormat="1" x14ac:dyDescent="0.25"/>
    <row r="397" s="112" customFormat="1" x14ac:dyDescent="0.25"/>
    <row r="398" s="112" customFormat="1" x14ac:dyDescent="0.25"/>
    <row r="399" s="112" customFormat="1" x14ac:dyDescent="0.25"/>
    <row r="400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="112" customFormat="1" x14ac:dyDescent="0.25"/>
    <row r="434" s="112" customFormat="1" x14ac:dyDescent="0.25"/>
    <row r="435" s="112" customFormat="1" x14ac:dyDescent="0.25"/>
    <row r="436" s="112" customFormat="1" x14ac:dyDescent="0.25"/>
    <row r="437" s="112" customFormat="1" x14ac:dyDescent="0.25"/>
    <row r="438" s="112" customFormat="1" x14ac:dyDescent="0.25"/>
    <row r="439" s="112" customFormat="1" x14ac:dyDescent="0.25"/>
    <row r="440" s="112" customFormat="1" x14ac:dyDescent="0.25"/>
    <row r="441" s="112" customFormat="1" x14ac:dyDescent="0.25"/>
    <row r="442" s="112" customFormat="1" x14ac:dyDescent="0.25"/>
    <row r="443" s="112" customFormat="1" x14ac:dyDescent="0.25"/>
    <row r="444" s="112" customFormat="1" x14ac:dyDescent="0.25"/>
    <row r="445" s="112" customFormat="1" x14ac:dyDescent="0.25"/>
    <row r="446" s="112" customFormat="1" x14ac:dyDescent="0.25"/>
    <row r="447" s="112" customFormat="1" x14ac:dyDescent="0.25"/>
    <row r="448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</sheetData>
  <conditionalFormatting sqref="M2">
    <cfRule type="containsText" dxfId="5" priority="3" operator="containsText" text="Oui">
      <formula>NOT(ISERROR(SEARCH("Oui",M2)))</formula>
    </cfRule>
    <cfRule type="containsText" dxfId="4" priority="4" operator="containsText" text="Non">
      <formula>NOT(ISERROR(SEARCH("Non",M2)))</formula>
    </cfRule>
  </conditionalFormatting>
  <conditionalFormatting sqref="E2:E8">
    <cfRule type="containsText" dxfId="3" priority="1" operator="containsText" text="non">
      <formula>NOT(ISERROR(SEARCH("non",E2)))</formula>
    </cfRule>
    <cfRule type="containsText" dxfId="2" priority="2" operator="containsText" text="oui">
      <formula>NOT(ISERROR(SEARCH("oui",E2)))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63B24-759E-413B-8B47-D3776F8F7D0C}">
  <sheetPr codeName="Feuil27">
    <tabColor rgb="FFFFFF00"/>
  </sheetPr>
  <dimension ref="A1:CF681"/>
  <sheetViews>
    <sheetView showGridLines="0" topLeftCell="A53" zoomScaleNormal="100" workbookViewId="0">
      <selection activeCell="I139" sqref="I139"/>
    </sheetView>
  </sheetViews>
  <sheetFormatPr baseColWidth="10" defaultColWidth="11.42578125" defaultRowHeight="15" x14ac:dyDescent="0.25"/>
  <cols>
    <col min="2" max="2" width="22.28515625" style="112" customWidth="1"/>
    <col min="3" max="3" width="107" style="112" bestFit="1" customWidth="1"/>
    <col min="4" max="4" width="31.85546875" style="112" customWidth="1"/>
    <col min="5" max="5" width="14.85546875" style="112" bestFit="1" customWidth="1"/>
    <col min="6" max="6" width="11.42578125" style="112" customWidth="1"/>
    <col min="7" max="7" width="13" style="112" bestFit="1" customWidth="1"/>
    <col min="8" max="8" width="18.28515625" style="112" bestFit="1" customWidth="1"/>
    <col min="9" max="9" width="28.5703125" customWidth="1"/>
    <col min="10" max="10" width="31.7109375" bestFit="1" customWidth="1"/>
    <col min="11" max="11" width="14.7109375" customWidth="1"/>
    <col min="12" max="12" width="14.140625" customWidth="1"/>
    <col min="14" max="15" width="11.42578125" style="112"/>
    <col min="16" max="16" width="31.140625" style="112" bestFit="1" customWidth="1"/>
    <col min="17" max="17" width="14.85546875" style="112" customWidth="1"/>
    <col min="18" max="18" width="14" style="112" customWidth="1"/>
    <col min="19" max="19" width="32.140625" style="112" customWidth="1"/>
    <col min="20" max="20" width="30" style="112" bestFit="1" customWidth="1"/>
    <col min="21" max="21" width="14.5703125" style="112" customWidth="1"/>
    <col min="22" max="22" width="14.42578125" style="112" bestFit="1" customWidth="1"/>
    <col min="23" max="23" width="9.85546875" style="112" bestFit="1" customWidth="1"/>
    <col min="24" max="24" width="60.5703125" style="112" bestFit="1" customWidth="1"/>
    <col min="25" max="25" width="9.85546875" style="112" bestFit="1" customWidth="1"/>
    <col min="26" max="26" width="12.7109375" style="112" bestFit="1" customWidth="1"/>
    <col min="27" max="27" width="5.42578125" style="112" bestFit="1" customWidth="1"/>
    <col min="28" max="28" width="13.42578125" style="112" customWidth="1"/>
    <col min="29" max="29" width="16.28515625" style="112" bestFit="1" customWidth="1"/>
    <col min="30" max="30" width="11.28515625" style="112" bestFit="1" customWidth="1"/>
    <col min="31" max="31" width="14" style="112" bestFit="1" customWidth="1"/>
    <col min="32" max="33" width="12.7109375" style="112" bestFit="1" customWidth="1"/>
    <col min="34" max="34" width="13.28515625" style="112" bestFit="1" customWidth="1"/>
    <col min="35" max="35" width="13" style="112" bestFit="1" customWidth="1"/>
    <col min="36" max="36" width="10.5703125" style="112" bestFit="1" customWidth="1"/>
    <col min="37" max="39" width="11.42578125" style="112"/>
    <col min="40" max="40" width="36.28515625" style="112" customWidth="1"/>
    <col min="41" max="41" width="11.42578125" style="112"/>
    <col min="42" max="42" width="55.7109375" style="112" bestFit="1" customWidth="1"/>
    <col min="43" max="43" width="91" style="112" customWidth="1"/>
    <col min="44" max="44" width="30.7109375" style="112" bestFit="1" customWidth="1"/>
    <col min="45" max="45" width="89.140625" style="112" bestFit="1" customWidth="1"/>
    <col min="46" max="46" width="40" style="112" bestFit="1" customWidth="1"/>
    <col min="47" max="47" width="21.140625" style="112" bestFit="1" customWidth="1"/>
    <col min="48" max="48" width="11.28515625" style="112" bestFit="1" customWidth="1"/>
    <col min="49" max="49" width="23.42578125" style="112" bestFit="1" customWidth="1"/>
    <col min="50" max="50" width="67.140625" style="112" bestFit="1" customWidth="1"/>
    <col min="51" max="51" width="18" style="112" customWidth="1"/>
    <col min="52" max="52" width="27.85546875" style="112" bestFit="1" customWidth="1"/>
    <col min="53" max="53" width="22.85546875" style="112" bestFit="1" customWidth="1"/>
    <col min="54" max="54" width="11.42578125" style="112"/>
    <col min="55" max="55" width="13.7109375" style="112" bestFit="1" customWidth="1"/>
    <col min="56" max="56" width="17.42578125" style="112" customWidth="1"/>
    <col min="57" max="57" width="22.85546875" style="112" bestFit="1" customWidth="1"/>
    <col min="58" max="58" width="11.28515625" style="112" bestFit="1" customWidth="1"/>
    <col min="59" max="59" width="13.7109375" style="112" bestFit="1" customWidth="1"/>
    <col min="60" max="60" width="26" style="112" bestFit="1" customWidth="1"/>
    <col min="61" max="62" width="11.42578125" style="112"/>
    <col min="63" max="63" width="67.42578125" style="112" bestFit="1" customWidth="1"/>
    <col min="64" max="64" width="11.28515625" style="112" bestFit="1" customWidth="1"/>
    <col min="65" max="65" width="15.28515625" style="112" bestFit="1" customWidth="1"/>
    <col min="66" max="84" width="11.42578125" style="112"/>
  </cols>
  <sheetData>
    <row r="1" spans="2:13" ht="21" x14ac:dyDescent="0.4">
      <c r="B1" s="323" t="s">
        <v>681</v>
      </c>
      <c r="C1" s="324"/>
      <c r="D1" s="324"/>
      <c r="E1" s="324"/>
      <c r="F1" s="324"/>
      <c r="G1" s="324"/>
      <c r="I1" s="323" t="s">
        <v>682</v>
      </c>
      <c r="J1" s="112"/>
      <c r="K1" s="112"/>
      <c r="L1" s="112"/>
      <c r="M1" s="112"/>
    </row>
    <row r="2" spans="2:13" ht="34.15" customHeight="1" x14ac:dyDescent="0.3">
      <c r="B2" s="324"/>
      <c r="C2" s="324"/>
      <c r="D2" s="324"/>
      <c r="E2" s="324"/>
      <c r="F2" s="324"/>
      <c r="G2" s="324"/>
      <c r="I2" s="112"/>
      <c r="J2" s="112"/>
      <c r="K2" s="112"/>
      <c r="L2" s="112"/>
      <c r="M2" s="112"/>
    </row>
    <row r="3" spans="2:13" ht="30" customHeight="1" x14ac:dyDescent="0.35">
      <c r="B3" s="324"/>
      <c r="C3" s="511" t="s">
        <v>685</v>
      </c>
      <c r="D3" s="511"/>
      <c r="E3" s="511"/>
      <c r="F3" s="511"/>
      <c r="G3" s="511"/>
      <c r="I3" s="112"/>
      <c r="J3" s="112"/>
      <c r="K3" s="112"/>
      <c r="L3" s="112"/>
      <c r="M3" s="112"/>
    </row>
    <row r="4" spans="2:13" ht="29.45" customHeight="1" x14ac:dyDescent="0.3">
      <c r="B4" s="324"/>
      <c r="C4" s="324"/>
      <c r="D4" s="324"/>
      <c r="E4" s="324"/>
      <c r="F4" s="324"/>
      <c r="G4" s="324"/>
      <c r="I4" s="112"/>
      <c r="J4" s="112"/>
      <c r="K4" s="112"/>
      <c r="L4" s="112"/>
      <c r="M4" s="112"/>
    </row>
    <row r="5" spans="2:13" ht="31.15" customHeight="1" x14ac:dyDescent="0.25">
      <c r="B5" s="325" t="s">
        <v>686</v>
      </c>
      <c r="C5" s="523" t="s">
        <v>687</v>
      </c>
      <c r="D5" s="523"/>
      <c r="E5" s="523"/>
      <c r="F5" s="524" t="str">
        <f>IF(AND(E7&lt;250,OR(E8&lt;50000000,E9&lt;43000000)),"OUI","NON")</f>
        <v>OUI</v>
      </c>
      <c r="G5" s="515" t="str">
        <f>IF(F5="NON", "JEI invalidée","")</f>
        <v/>
      </c>
      <c r="I5" s="250" t="s">
        <v>657</v>
      </c>
      <c r="J5" s="250" t="s">
        <v>658</v>
      </c>
      <c r="K5" s="250" t="s">
        <v>605</v>
      </c>
      <c r="L5" s="250" t="s">
        <v>659</v>
      </c>
      <c r="M5" s="250" t="s">
        <v>660</v>
      </c>
    </row>
    <row r="6" spans="2:13" ht="21.75" customHeight="1" x14ac:dyDescent="0.3">
      <c r="B6" s="326"/>
      <c r="C6" s="523"/>
      <c r="D6" s="523"/>
      <c r="E6" s="523"/>
      <c r="F6" s="525"/>
      <c r="G6" s="515"/>
      <c r="I6" s="419"/>
      <c r="J6" s="240">
        <f>SYNTHESE!C19</f>
        <v>0</v>
      </c>
      <c r="K6" s="254" t="e">
        <f>I6/J6</f>
        <v>#DIV/0!</v>
      </c>
      <c r="L6" s="255" t="e">
        <f>IF(K6&gt;=M6,"Oui","Non")</f>
        <v>#DIV/0!</v>
      </c>
      <c r="M6" s="256">
        <v>0.2</v>
      </c>
    </row>
    <row r="7" spans="2:13" ht="19.5" customHeight="1" x14ac:dyDescent="0.3">
      <c r="B7" s="326"/>
      <c r="C7" s="516" t="s">
        <v>692</v>
      </c>
      <c r="D7" s="517"/>
      <c r="E7" s="343">
        <f>SUM(VALO_PERSO!O5:O11)</f>
        <v>6.3150684931506849</v>
      </c>
      <c r="F7" s="525"/>
      <c r="G7" s="515"/>
      <c r="J7" s="112"/>
      <c r="K7" s="112"/>
      <c r="L7" s="112"/>
      <c r="M7" s="112"/>
    </row>
    <row r="8" spans="2:13" ht="19.5" customHeight="1" x14ac:dyDescent="0.3">
      <c r="B8" s="326"/>
      <c r="C8" s="516" t="s">
        <v>693</v>
      </c>
      <c r="D8" s="517"/>
      <c r="E8" s="344" t="s">
        <v>817</v>
      </c>
      <c r="F8" s="525"/>
      <c r="G8" s="515"/>
      <c r="I8" s="112"/>
      <c r="J8" s="112"/>
      <c r="K8" s="112"/>
      <c r="L8" s="112"/>
      <c r="M8" s="112"/>
    </row>
    <row r="9" spans="2:13" ht="15" customHeight="1" x14ac:dyDescent="0.3">
      <c r="B9" s="326"/>
      <c r="C9" s="527" t="s">
        <v>694</v>
      </c>
      <c r="D9" s="528"/>
      <c r="E9" s="345"/>
      <c r="F9" s="526"/>
      <c r="G9" s="515"/>
      <c r="I9" s="112"/>
      <c r="J9" s="112"/>
      <c r="K9" s="112"/>
      <c r="L9" s="112"/>
      <c r="M9" s="112"/>
    </row>
    <row r="10" spans="2:13" ht="20.25" customHeight="1" x14ac:dyDescent="0.25">
      <c r="B10" s="325" t="s">
        <v>695</v>
      </c>
      <c r="C10" s="328" t="s">
        <v>696</v>
      </c>
      <c r="D10" s="513">
        <v>44927</v>
      </c>
      <c r="E10" s="514"/>
      <c r="F10" s="530" t="str">
        <f ca="1">IF(AND($E$14&lt;$D$10,$F$14&lt;11),"OUI",IF($E$14&gt;=$D$10,"NA","NON"))</f>
        <v>NA</v>
      </c>
      <c r="G10" s="515" t="str">
        <f ca="1">IF(OR(F10="NON",F12="NON"), "JEI invalidée","")</f>
        <v/>
      </c>
      <c r="I10" s="380" t="s">
        <v>744</v>
      </c>
      <c r="J10" s="380" t="s">
        <v>745</v>
      </c>
      <c r="K10" s="380" t="s">
        <v>643</v>
      </c>
      <c r="L10" s="112"/>
      <c r="M10" s="112"/>
    </row>
    <row r="11" spans="2:13" ht="16.5" customHeight="1" x14ac:dyDescent="0.3">
      <c r="B11" s="325"/>
      <c r="C11" s="518" t="s">
        <v>697</v>
      </c>
      <c r="D11" s="519"/>
      <c r="E11" s="520"/>
      <c r="F11" s="531"/>
      <c r="G11" s="515"/>
      <c r="I11" s="381" t="s">
        <v>746</v>
      </c>
      <c r="J11" s="379" t="s">
        <v>747</v>
      </c>
      <c r="K11" s="379" t="s">
        <v>748</v>
      </c>
      <c r="L11" s="112"/>
      <c r="M11" s="112"/>
    </row>
    <row r="12" spans="2:13" ht="16.5" x14ac:dyDescent="0.3">
      <c r="B12" s="326"/>
      <c r="C12" s="329" t="s">
        <v>698</v>
      </c>
      <c r="D12" s="529">
        <v>44927</v>
      </c>
      <c r="E12" s="520"/>
      <c r="F12" s="530" t="str">
        <f ca="1">IF(AND($E$14&gt;=$D$12,$F$14&lt;8),"OUI",IF($E$14&lt;$D$12,"NA","NON"))</f>
        <v>OUI</v>
      </c>
      <c r="G12" s="515"/>
      <c r="I12" s="381" t="s">
        <v>749</v>
      </c>
      <c r="J12" s="379" t="s">
        <v>747</v>
      </c>
      <c r="K12" s="379" t="s">
        <v>748</v>
      </c>
      <c r="L12" s="112"/>
      <c r="M12" s="112"/>
    </row>
    <row r="13" spans="2:13" ht="16.5" customHeight="1" x14ac:dyDescent="0.3">
      <c r="B13" s="326"/>
      <c r="C13" s="532" t="s">
        <v>699</v>
      </c>
      <c r="D13" s="533"/>
      <c r="E13" s="534"/>
      <c r="F13" s="531"/>
      <c r="G13" s="515"/>
      <c r="I13" s="381" t="s">
        <v>750</v>
      </c>
      <c r="J13" s="379" t="s">
        <v>747</v>
      </c>
      <c r="K13" s="379" t="s">
        <v>748</v>
      </c>
      <c r="L13" s="112"/>
      <c r="M13" s="112"/>
    </row>
    <row r="14" spans="2:13" ht="16.5" customHeight="1" x14ac:dyDescent="0.3">
      <c r="B14" s="326"/>
      <c r="C14" s="521" t="s">
        <v>700</v>
      </c>
      <c r="D14" s="522"/>
      <c r="E14" s="346">
        <v>44977</v>
      </c>
      <c r="F14" s="340">
        <f ca="1">DATEDIF(E14,TODAY(),"Y")</f>
        <v>3</v>
      </c>
      <c r="G14" s="515"/>
      <c r="I14" s="381" t="s">
        <v>751</v>
      </c>
      <c r="J14" s="379" t="s">
        <v>747</v>
      </c>
      <c r="K14" s="379" t="s">
        <v>748</v>
      </c>
      <c r="L14" s="112"/>
      <c r="M14" s="112"/>
    </row>
    <row r="15" spans="2:13" ht="16.5" customHeight="1" x14ac:dyDescent="0.3">
      <c r="B15" s="325" t="s">
        <v>701</v>
      </c>
      <c r="C15" s="523" t="s">
        <v>702</v>
      </c>
      <c r="D15" s="523"/>
      <c r="E15" s="523"/>
      <c r="F15" s="536" t="e">
        <f>IF(K6&gt;20%,"OUI","NON")</f>
        <v>#DIV/0!</v>
      </c>
      <c r="G15" s="515" t="e">
        <f>IF(F15="NON", "JEI invalidée","")</f>
        <v>#DIV/0!</v>
      </c>
      <c r="I15" s="381" t="s">
        <v>752</v>
      </c>
      <c r="J15" s="379" t="s">
        <v>747</v>
      </c>
      <c r="K15" s="379" t="s">
        <v>748</v>
      </c>
      <c r="L15" s="112"/>
      <c r="M15" s="112"/>
    </row>
    <row r="16" spans="2:13" ht="16.5" x14ac:dyDescent="0.3">
      <c r="B16" s="326"/>
      <c r="C16" s="535"/>
      <c r="D16" s="535"/>
      <c r="E16" s="535"/>
      <c r="F16" s="524"/>
      <c r="G16" s="515"/>
      <c r="I16" s="381" t="s">
        <v>753</v>
      </c>
      <c r="J16" s="379" t="s">
        <v>747</v>
      </c>
      <c r="K16" s="379" t="s">
        <v>748</v>
      </c>
      <c r="L16" s="112"/>
      <c r="M16" s="112"/>
    </row>
    <row r="17" spans="2:84" ht="16.5" customHeight="1" x14ac:dyDescent="0.3">
      <c r="B17" s="325" t="s">
        <v>703</v>
      </c>
      <c r="C17" s="537" t="s">
        <v>704</v>
      </c>
      <c r="D17" s="538"/>
      <c r="E17" s="539"/>
      <c r="F17" s="341" t="str">
        <f>IF(OR(F18="OUI",F19="OUI",F20="OUI",F21="OUI",F22="OUI",F23="OUI"),"OUI","NON")</f>
        <v>OUI</v>
      </c>
      <c r="G17" s="515" t="str">
        <f>IF(F17="NON", "JEI invalidée","")</f>
        <v/>
      </c>
      <c r="I17" s="381" t="s">
        <v>754</v>
      </c>
      <c r="J17" s="379" t="s">
        <v>747</v>
      </c>
      <c r="K17" s="379" t="s">
        <v>748</v>
      </c>
      <c r="L17" s="112"/>
      <c r="M17" s="112"/>
    </row>
    <row r="18" spans="2:84" ht="16.5" customHeight="1" x14ac:dyDescent="0.3">
      <c r="B18" s="325"/>
      <c r="C18" s="540" t="s">
        <v>705</v>
      </c>
      <c r="D18" s="541"/>
      <c r="E18" s="542"/>
      <c r="F18" s="347" t="s">
        <v>706</v>
      </c>
      <c r="G18" s="515"/>
      <c r="I18" s="381" t="s">
        <v>755</v>
      </c>
      <c r="J18" s="379" t="s">
        <v>747</v>
      </c>
      <c r="K18" s="379" t="s">
        <v>748</v>
      </c>
      <c r="L18" s="112"/>
      <c r="M18" s="112"/>
    </row>
    <row r="19" spans="2:84" ht="16.5" customHeight="1" x14ac:dyDescent="0.3">
      <c r="B19" s="325"/>
      <c r="C19" s="540" t="s">
        <v>707</v>
      </c>
      <c r="D19" s="541"/>
      <c r="E19" s="542"/>
      <c r="F19" s="347" t="s">
        <v>706</v>
      </c>
      <c r="G19" s="515"/>
      <c r="I19" s="381" t="s">
        <v>756</v>
      </c>
      <c r="J19" s="379" t="s">
        <v>747</v>
      </c>
      <c r="K19" s="379" t="s">
        <v>748</v>
      </c>
      <c r="L19" s="112"/>
      <c r="M19" s="112"/>
    </row>
    <row r="20" spans="2:84" ht="16.5" x14ac:dyDescent="0.3">
      <c r="B20" s="325"/>
      <c r="C20" s="540" t="s">
        <v>708</v>
      </c>
      <c r="D20" s="541"/>
      <c r="E20" s="542"/>
      <c r="F20" s="347" t="s">
        <v>709</v>
      </c>
      <c r="G20" s="515"/>
      <c r="I20" s="382" t="s">
        <v>757</v>
      </c>
      <c r="J20" s="379" t="s">
        <v>747</v>
      </c>
      <c r="K20" s="379" t="s">
        <v>748</v>
      </c>
      <c r="L20" s="112"/>
      <c r="M20" s="112"/>
    </row>
    <row r="21" spans="2:84" ht="16.5" customHeight="1" x14ac:dyDescent="0.25">
      <c r="B21" s="325"/>
      <c r="C21" s="540" t="s">
        <v>710</v>
      </c>
      <c r="D21" s="541"/>
      <c r="E21" s="542"/>
      <c r="F21" s="347" t="s">
        <v>709</v>
      </c>
      <c r="G21" s="515"/>
      <c r="I21" s="112"/>
      <c r="J21" s="112"/>
      <c r="K21" s="112"/>
      <c r="L21" s="112"/>
      <c r="M21" s="112"/>
    </row>
    <row r="22" spans="2:84" ht="16.5" customHeight="1" x14ac:dyDescent="0.25">
      <c r="B22" s="325"/>
      <c r="C22" s="540" t="s">
        <v>711</v>
      </c>
      <c r="D22" s="541"/>
      <c r="E22" s="542"/>
      <c r="F22" s="347" t="s">
        <v>709</v>
      </c>
      <c r="G22" s="515"/>
      <c r="I22" s="112"/>
      <c r="J22" s="112"/>
      <c r="K22" s="112"/>
      <c r="L22" s="112"/>
      <c r="M22" s="112"/>
    </row>
    <row r="23" spans="2:84" ht="22.5" customHeight="1" x14ac:dyDescent="0.3">
      <c r="B23" s="326"/>
      <c r="C23" s="548" t="s">
        <v>712</v>
      </c>
      <c r="D23" s="549"/>
      <c r="E23" s="550"/>
      <c r="F23" s="348" t="s">
        <v>709</v>
      </c>
      <c r="G23" s="515"/>
      <c r="I23" s="112"/>
      <c r="J23" s="112"/>
      <c r="K23" s="112"/>
      <c r="L23" s="112"/>
      <c r="M23" s="112"/>
    </row>
    <row r="24" spans="2:84" ht="32.25" customHeight="1" x14ac:dyDescent="0.3">
      <c r="B24" s="326" t="s">
        <v>717</v>
      </c>
      <c r="C24" s="551" t="s">
        <v>718</v>
      </c>
      <c r="D24" s="552"/>
      <c r="E24" s="553"/>
      <c r="F24" s="557" t="str">
        <f>IF(AND(F26="NON",F30="NON",F33="NON"),"OUI","NON")</f>
        <v>OUI</v>
      </c>
      <c r="G24" s="515" t="str">
        <f>IF(F24="NON", "JEI invalidée","")</f>
        <v/>
      </c>
      <c r="I24" s="112"/>
      <c r="J24" s="112"/>
      <c r="K24" s="112"/>
      <c r="L24" s="112"/>
      <c r="M24" s="112"/>
      <c r="CE24"/>
      <c r="CF24"/>
    </row>
    <row r="25" spans="2:84" ht="24.75" customHeight="1" x14ac:dyDescent="0.3">
      <c r="B25" s="326"/>
      <c r="C25" s="554"/>
      <c r="D25" s="555"/>
      <c r="E25" s="556"/>
      <c r="F25" s="558"/>
      <c r="G25" s="515"/>
      <c r="I25" s="112"/>
      <c r="J25" s="112"/>
      <c r="K25" s="112"/>
      <c r="L25" s="112"/>
      <c r="M25" s="112"/>
      <c r="CE25"/>
      <c r="CF25"/>
    </row>
    <row r="26" spans="2:84" ht="24.75" customHeight="1" x14ac:dyDescent="0.25">
      <c r="B26" s="327" t="s">
        <v>725</v>
      </c>
      <c r="C26" s="334" t="s">
        <v>726</v>
      </c>
      <c r="D26" s="337"/>
      <c r="E26" s="338"/>
      <c r="F26" s="342" t="str">
        <f>IF(AND(F27="NON",F28="NON",F29="NON"),"NON","OUI")</f>
        <v>NON</v>
      </c>
      <c r="G26" s="515"/>
      <c r="I26" s="112"/>
      <c r="J26" s="112"/>
      <c r="K26" s="112"/>
      <c r="L26" s="112"/>
      <c r="M26" s="112"/>
      <c r="CE26"/>
      <c r="CF26"/>
    </row>
    <row r="27" spans="2:84" ht="36.75" customHeight="1" x14ac:dyDescent="0.25">
      <c r="B27" s="327"/>
      <c r="C27" s="335" t="s">
        <v>728</v>
      </c>
      <c r="D27" s="339"/>
      <c r="E27" s="331"/>
      <c r="F27" s="349" t="s">
        <v>709</v>
      </c>
      <c r="G27" s="515"/>
      <c r="I27" s="112"/>
      <c r="J27" s="112"/>
      <c r="K27" s="112"/>
      <c r="L27" s="112"/>
      <c r="M27" s="112"/>
      <c r="CE27"/>
      <c r="CF27"/>
    </row>
    <row r="28" spans="2:84" ht="24.75" customHeight="1" x14ac:dyDescent="0.25">
      <c r="B28" s="327"/>
      <c r="C28" s="335" t="s">
        <v>729</v>
      </c>
      <c r="D28" s="330"/>
      <c r="E28" s="331"/>
      <c r="F28" s="349" t="s">
        <v>709</v>
      </c>
      <c r="G28" s="515"/>
      <c r="I28" s="112"/>
      <c r="J28" s="112"/>
      <c r="K28" s="112"/>
      <c r="L28" s="112"/>
      <c r="M28" s="112"/>
      <c r="CE28"/>
      <c r="CF28"/>
    </row>
    <row r="29" spans="2:84" ht="16.5" x14ac:dyDescent="0.25">
      <c r="B29" s="327"/>
      <c r="C29" s="336" t="s">
        <v>731</v>
      </c>
      <c r="D29" s="332"/>
      <c r="E29" s="333"/>
      <c r="F29" s="350" t="s">
        <v>709</v>
      </c>
      <c r="G29" s="515"/>
      <c r="I29" s="112"/>
      <c r="J29" s="112"/>
      <c r="K29" s="112"/>
      <c r="L29" s="112"/>
      <c r="M29" s="112"/>
      <c r="CE29"/>
      <c r="CF29"/>
    </row>
    <row r="30" spans="2:84" ht="16.5" x14ac:dyDescent="0.25">
      <c r="B30" s="327" t="s">
        <v>732</v>
      </c>
      <c r="C30" s="334" t="s">
        <v>733</v>
      </c>
      <c r="D30" s="337"/>
      <c r="E30" s="338"/>
      <c r="F30" s="342" t="str">
        <f>IF(AND(F31="NON",F32="NON"),"NON","OUI")</f>
        <v>NON</v>
      </c>
      <c r="G30" s="515"/>
      <c r="I30" s="112"/>
      <c r="J30" s="112"/>
      <c r="K30" s="112"/>
      <c r="L30" s="112"/>
      <c r="M30" s="112"/>
      <c r="CE30"/>
      <c r="CF30"/>
    </row>
    <row r="31" spans="2:84" ht="16.5" x14ac:dyDescent="0.25">
      <c r="B31" s="327"/>
      <c r="C31" s="335" t="s">
        <v>734</v>
      </c>
      <c r="D31" s="330"/>
      <c r="E31" s="331"/>
      <c r="F31" s="349" t="s">
        <v>709</v>
      </c>
      <c r="G31" s="515"/>
      <c r="I31" s="112"/>
      <c r="J31" s="112"/>
      <c r="K31" s="112"/>
      <c r="L31" s="112"/>
      <c r="M31" s="112"/>
      <c r="CE31"/>
      <c r="CF31"/>
    </row>
    <row r="32" spans="2:84" ht="16.5" x14ac:dyDescent="0.25">
      <c r="B32" s="327"/>
      <c r="C32" s="336" t="s">
        <v>736</v>
      </c>
      <c r="D32" s="332"/>
      <c r="E32" s="333"/>
      <c r="F32" s="350" t="s">
        <v>709</v>
      </c>
      <c r="G32" s="515"/>
      <c r="I32" s="112"/>
      <c r="J32" s="112"/>
      <c r="K32" s="112"/>
      <c r="L32" s="112"/>
      <c r="M32" s="112"/>
      <c r="CE32"/>
      <c r="CF32"/>
    </row>
    <row r="33" spans="1:84" ht="16.5" x14ac:dyDescent="0.25">
      <c r="B33" s="327" t="s">
        <v>737</v>
      </c>
      <c r="C33" s="334" t="s">
        <v>738</v>
      </c>
      <c r="D33" s="337"/>
      <c r="E33" s="338"/>
      <c r="F33" s="342" t="str">
        <f>IF(AND(F34="NON",F35="NON"),"NON","OUI")</f>
        <v>NON</v>
      </c>
      <c r="G33" s="515"/>
      <c r="I33" s="112"/>
      <c r="J33" s="112"/>
      <c r="K33" s="112"/>
      <c r="L33" s="112"/>
      <c r="M33" s="112"/>
      <c r="CE33"/>
      <c r="CF33"/>
    </row>
    <row r="34" spans="1:84" ht="16.5" x14ac:dyDescent="0.25">
      <c r="B34" s="327"/>
      <c r="C34" s="335" t="s">
        <v>739</v>
      </c>
      <c r="D34" s="330"/>
      <c r="E34" s="331"/>
      <c r="F34" s="349" t="s">
        <v>709</v>
      </c>
      <c r="G34" s="515"/>
      <c r="I34" s="112"/>
      <c r="J34" s="112"/>
      <c r="K34" s="112"/>
      <c r="L34" s="112"/>
      <c r="M34" s="112"/>
      <c r="CE34"/>
      <c r="CF34"/>
    </row>
    <row r="35" spans="1:84" ht="16.5" x14ac:dyDescent="0.25">
      <c r="B35" s="327"/>
      <c r="C35" s="336" t="s">
        <v>740</v>
      </c>
      <c r="D35" s="332"/>
      <c r="E35" s="333"/>
      <c r="F35" s="350" t="s">
        <v>709</v>
      </c>
      <c r="G35" s="515"/>
      <c r="I35" s="112"/>
      <c r="J35" s="112"/>
      <c r="K35" s="112"/>
      <c r="L35" s="112"/>
      <c r="M35" s="112"/>
      <c r="CE35"/>
      <c r="CF35"/>
    </row>
    <row r="36" spans="1:84" s="112" customFormat="1" x14ac:dyDescent="0.25"/>
    <row r="37" spans="1:84" s="112" customFormat="1" ht="14.45" customHeight="1" x14ac:dyDescent="0.4">
      <c r="B37" s="428"/>
      <c r="C37" s="512" t="s">
        <v>683</v>
      </c>
      <c r="D37" s="512"/>
      <c r="E37" s="512"/>
    </row>
    <row r="38" spans="1:84" s="112" customFormat="1" ht="14.45" customHeight="1" x14ac:dyDescent="0.4">
      <c r="B38" s="428"/>
      <c r="C38" s="512"/>
      <c r="D38" s="512"/>
      <c r="E38" s="512"/>
    </row>
    <row r="39" spans="1:84" s="112" customFormat="1" x14ac:dyDescent="0.25"/>
    <row r="40" spans="1:84" s="112" customFormat="1" ht="15.75" thickBot="1" x14ac:dyDescent="0.3"/>
    <row r="41" spans="1:84" s="112" customFormat="1" ht="15.75" thickBot="1" x14ac:dyDescent="0.3">
      <c r="B41" s="351"/>
      <c r="C41" s="559" t="s">
        <v>688</v>
      </c>
      <c r="D41" s="560"/>
      <c r="E41" s="560"/>
      <c r="F41" s="351"/>
      <c r="G41" s="351"/>
      <c r="H41" s="351"/>
    </row>
    <row r="42" spans="1:84" s="112" customFormat="1" ht="15.75" thickBot="1" x14ac:dyDescent="0.3">
      <c r="B42" s="371" t="s">
        <v>366</v>
      </c>
      <c r="C42" s="359" t="s">
        <v>73</v>
      </c>
      <c r="D42" s="360" t="s">
        <v>368</v>
      </c>
      <c r="E42" s="360" t="s">
        <v>691</v>
      </c>
      <c r="F42" s="351"/>
      <c r="G42" s="351"/>
      <c r="H42" s="351"/>
    </row>
    <row r="43" spans="1:84" s="112" customFormat="1" ht="48.75" thickBot="1" x14ac:dyDescent="0.3">
      <c r="A43" s="112" t="s">
        <v>816</v>
      </c>
      <c r="B43" s="361">
        <f>VALO_PERSO!F5</f>
        <v>1</v>
      </c>
      <c r="C43" s="352" t="str">
        <f>VALO_PERSO!G5</f>
        <v>PY</v>
      </c>
      <c r="D43" s="352" t="str">
        <f>VALO_PERSO!H5</f>
        <v>Elodie</v>
      </c>
      <c r="E43" s="352" t="str">
        <f>VALO_PERSO!J5</f>
        <v>Expert en stratégie digitale - IESA Multimedia - ECAD Consultants</v>
      </c>
      <c r="F43" s="351"/>
      <c r="G43" s="351"/>
      <c r="H43" s="351"/>
    </row>
    <row r="44" spans="1:84" s="112" customFormat="1" ht="60.75" thickBot="1" x14ac:dyDescent="0.3">
      <c r="A44" s="112" t="s">
        <v>816</v>
      </c>
      <c r="B44" s="361">
        <f>VALO_PERSO!F6</f>
        <v>2</v>
      </c>
      <c r="C44" s="352" t="str">
        <f>VALO_PERSO!G6</f>
        <v>GASPERIN</v>
      </c>
      <c r="D44" s="352" t="str">
        <f>VALO_PERSO!H6</f>
        <v>Anthony</v>
      </c>
      <c r="E44" s="352" t="str">
        <f>VALO_PERSO!J6</f>
        <v xml:space="preserve">Docteur en Sciences mention informatique - Université de Genève </v>
      </c>
      <c r="F44" s="351"/>
      <c r="G44" s="351"/>
      <c r="H44" s="351"/>
    </row>
    <row r="45" spans="1:84" s="112" customFormat="1" ht="60.75" thickBot="1" x14ac:dyDescent="0.3">
      <c r="A45" s="112" t="s">
        <v>816</v>
      </c>
      <c r="B45" s="361">
        <f>VALO_PERSO!F6</f>
        <v>2</v>
      </c>
      <c r="C45" s="352" t="str">
        <f>VALO_PERSO!G6</f>
        <v>GASPERIN</v>
      </c>
      <c r="D45" s="352" t="str">
        <f>VALO_PERSO!H6</f>
        <v>Anthony</v>
      </c>
      <c r="E45" s="352" t="str">
        <f>VALO_PERSO!J6</f>
        <v xml:space="preserve">Docteur en Sciences mention informatique - Université de Genève </v>
      </c>
      <c r="F45" s="351"/>
      <c r="G45" s="351"/>
      <c r="H45" s="351"/>
    </row>
    <row r="46" spans="1:84" s="112" customFormat="1" ht="36.75" thickBot="1" x14ac:dyDescent="0.3">
      <c r="A46" s="112" t="s">
        <v>816</v>
      </c>
      <c r="B46" s="361">
        <f>VALO_PERSO!F7</f>
        <v>5</v>
      </c>
      <c r="C46" s="352" t="str">
        <f>VALO_PERSO!G7</f>
        <v>LA CORTE</v>
      </c>
      <c r="D46" s="352" t="str">
        <f>VALO_PERSO!H7</f>
        <v>Matias</v>
      </c>
      <c r="E46" s="352" t="str">
        <f>VALO_PERSO!J7</f>
        <v>Baccalauréat Général - Acadmie de Grenoble</v>
      </c>
      <c r="F46" s="351"/>
      <c r="G46" s="351"/>
      <c r="H46" s="351"/>
    </row>
    <row r="47" spans="1:84" s="112" customFormat="1" ht="15.75" thickBot="1" x14ac:dyDescent="0.3">
      <c r="A47" s="112" t="s">
        <v>816</v>
      </c>
      <c r="B47" s="361" t="e">
        <f>VALO_PERSO!#REF!</f>
        <v>#REF!</v>
      </c>
      <c r="C47" s="352" t="e">
        <f>VALO_PERSO!#REF!</f>
        <v>#REF!</v>
      </c>
      <c r="D47" s="352" t="e">
        <f>VALO_PERSO!#REF!</f>
        <v>#REF!</v>
      </c>
      <c r="E47" s="352" t="e">
        <f>VALO_PERSO!#REF!</f>
        <v>#REF!</v>
      </c>
      <c r="F47" s="351"/>
      <c r="G47" s="351"/>
      <c r="H47" s="351"/>
    </row>
    <row r="48" spans="1:84" s="112" customFormat="1" ht="15.75" thickBot="1" x14ac:dyDescent="0.3">
      <c r="A48" s="112" t="s">
        <v>816</v>
      </c>
      <c r="B48" s="361" t="e">
        <f>VALO_PERSO!#REF!</f>
        <v>#REF!</v>
      </c>
      <c r="C48" s="352" t="e">
        <f>VALO_PERSO!#REF!</f>
        <v>#REF!</v>
      </c>
      <c r="D48" s="352" t="e">
        <f>VALO_PERSO!#REF!</f>
        <v>#REF!</v>
      </c>
      <c r="E48" s="352" t="e">
        <f>VALO_PERSO!#REF!</f>
        <v>#REF!</v>
      </c>
      <c r="F48" s="351"/>
      <c r="G48" s="351"/>
      <c r="H48" s="351"/>
    </row>
    <row r="49" spans="1:8" s="112" customFormat="1" ht="15.75" thickBot="1" x14ac:dyDescent="0.3">
      <c r="A49" s="112" t="s">
        <v>816</v>
      </c>
      <c r="B49" s="361" t="e">
        <f>VALO_PERSO!#REF!</f>
        <v>#REF!</v>
      </c>
      <c r="C49" s="352" t="e">
        <f>VALO_PERSO!#REF!</f>
        <v>#REF!</v>
      </c>
      <c r="D49" s="352" t="e">
        <f>VALO_PERSO!#REF!</f>
        <v>#REF!</v>
      </c>
      <c r="E49" s="352" t="e">
        <f>VALO_PERSO!#REF!</f>
        <v>#REF!</v>
      </c>
      <c r="F49" s="351"/>
      <c r="G49" s="351"/>
      <c r="H49" s="351"/>
    </row>
    <row r="50" spans="1:8" s="112" customFormat="1" ht="15.75" thickBot="1" x14ac:dyDescent="0.3">
      <c r="A50" s="112" t="s">
        <v>816</v>
      </c>
      <c r="B50" s="361" t="e">
        <f>VALO_PERSO!#REF!</f>
        <v>#REF!</v>
      </c>
      <c r="C50" s="352" t="e">
        <f>VALO_PERSO!#REF!</f>
        <v>#REF!</v>
      </c>
      <c r="D50" s="352" t="e">
        <f>VALO_PERSO!#REF!</f>
        <v>#REF!</v>
      </c>
      <c r="E50" s="352" t="e">
        <f>VALO_PERSO!#REF!</f>
        <v>#REF!</v>
      </c>
      <c r="F50" s="351"/>
      <c r="G50" s="351"/>
      <c r="H50" s="351"/>
    </row>
    <row r="51" spans="1:8" s="112" customFormat="1" ht="15.75" thickBot="1" x14ac:dyDescent="0.3">
      <c r="A51" s="112" t="s">
        <v>816</v>
      </c>
      <c r="B51" s="361" t="e">
        <f>VALO_PERSO!#REF!</f>
        <v>#REF!</v>
      </c>
      <c r="C51" s="352" t="e">
        <f>VALO_PERSO!#REF!</f>
        <v>#REF!</v>
      </c>
      <c r="D51" s="352" t="e">
        <f>VALO_PERSO!#REF!</f>
        <v>#REF!</v>
      </c>
      <c r="E51" s="352" t="e">
        <f>VALO_PERSO!#REF!</f>
        <v>#REF!</v>
      </c>
      <c r="F51" s="351"/>
      <c r="G51" s="351"/>
      <c r="H51" s="351"/>
    </row>
    <row r="52" spans="1:8" s="112" customFormat="1" ht="15.75" thickBot="1" x14ac:dyDescent="0.3">
      <c r="A52" s="112" t="s">
        <v>816</v>
      </c>
      <c r="B52" s="361" t="e">
        <f>VALO_PERSO!#REF!</f>
        <v>#REF!</v>
      </c>
      <c r="C52" s="352" t="e">
        <f>VALO_PERSO!#REF!</f>
        <v>#REF!</v>
      </c>
      <c r="D52" s="352" t="e">
        <f>VALO_PERSO!#REF!</f>
        <v>#REF!</v>
      </c>
      <c r="E52" s="352" t="e">
        <f>VALO_PERSO!#REF!</f>
        <v>#REF!</v>
      </c>
      <c r="F52" s="351"/>
      <c r="G52" s="351"/>
      <c r="H52" s="351"/>
    </row>
    <row r="53" spans="1:8" s="112" customFormat="1" ht="15.75" thickBot="1" x14ac:dyDescent="0.3">
      <c r="A53" s="112" t="s">
        <v>816</v>
      </c>
      <c r="B53" s="361" t="e">
        <f>VALO_PERSO!#REF!</f>
        <v>#REF!</v>
      </c>
      <c r="C53" s="352" t="e">
        <f>VALO_PERSO!#REF!</f>
        <v>#REF!</v>
      </c>
      <c r="D53" s="352" t="e">
        <f>VALO_PERSO!#REF!</f>
        <v>#REF!</v>
      </c>
      <c r="E53" s="352" t="e">
        <f>VALO_PERSO!#REF!</f>
        <v>#REF!</v>
      </c>
      <c r="F53" s="351"/>
      <c r="G53" s="351"/>
      <c r="H53" s="351"/>
    </row>
    <row r="54" spans="1:8" s="112" customFormat="1" ht="15.75" thickBot="1" x14ac:dyDescent="0.3">
      <c r="A54" s="112" t="s">
        <v>816</v>
      </c>
      <c r="B54" s="361" t="e">
        <f>VALO_PERSO!#REF!</f>
        <v>#REF!</v>
      </c>
      <c r="C54" s="352" t="e">
        <f>VALO_PERSO!#REF!</f>
        <v>#REF!</v>
      </c>
      <c r="D54" s="352" t="e">
        <f>VALO_PERSO!#REF!</f>
        <v>#REF!</v>
      </c>
      <c r="E54" s="352" t="e">
        <f>VALO_PERSO!#REF!</f>
        <v>#REF!</v>
      </c>
      <c r="F54" s="351"/>
      <c r="G54" s="351"/>
      <c r="H54" s="351"/>
    </row>
    <row r="55" spans="1:8" s="112" customFormat="1" ht="15.75" thickBot="1" x14ac:dyDescent="0.3">
      <c r="A55" s="112" t="s">
        <v>816</v>
      </c>
      <c r="B55" s="361" t="e">
        <f>VALO_PERSO!#REF!</f>
        <v>#REF!</v>
      </c>
      <c r="C55" s="352" t="e">
        <f>VALO_PERSO!#REF!</f>
        <v>#REF!</v>
      </c>
      <c r="D55" s="352" t="e">
        <f>VALO_PERSO!#REF!</f>
        <v>#REF!</v>
      </c>
      <c r="E55" s="352" t="e">
        <f>VALO_PERSO!#REF!</f>
        <v>#REF!</v>
      </c>
      <c r="F55" s="351"/>
      <c r="G55" s="351"/>
      <c r="H55" s="351"/>
    </row>
    <row r="56" spans="1:8" s="112" customFormat="1" ht="15.75" thickBot="1" x14ac:dyDescent="0.3">
      <c r="A56" s="112" t="s">
        <v>816</v>
      </c>
      <c r="B56" s="361" t="e">
        <f>VALO_PERSO!#REF!</f>
        <v>#REF!</v>
      </c>
      <c r="C56" s="352" t="e">
        <f>VALO_PERSO!#REF!</f>
        <v>#REF!</v>
      </c>
      <c r="D56" s="352" t="e">
        <f>VALO_PERSO!#REF!</f>
        <v>#REF!</v>
      </c>
      <c r="E56" s="352" t="e">
        <f>VALO_PERSO!#REF!</f>
        <v>#REF!</v>
      </c>
      <c r="F56" s="351"/>
      <c r="G56" s="351"/>
      <c r="H56" s="351"/>
    </row>
    <row r="57" spans="1:8" s="112" customFormat="1" ht="15.75" thickBot="1" x14ac:dyDescent="0.3">
      <c r="A57" s="112" t="s">
        <v>816</v>
      </c>
      <c r="B57" s="361" t="e">
        <f>VALO_PERSO!#REF!</f>
        <v>#REF!</v>
      </c>
      <c r="C57" s="352" t="e">
        <f>VALO_PERSO!#REF!</f>
        <v>#REF!</v>
      </c>
      <c r="D57" s="352" t="e">
        <f>VALO_PERSO!#REF!</f>
        <v>#REF!</v>
      </c>
      <c r="E57" s="352" t="e">
        <f>VALO_PERSO!#REF!</f>
        <v>#REF!</v>
      </c>
      <c r="F57" s="351"/>
      <c r="G57" s="351"/>
      <c r="H57" s="351"/>
    </row>
    <row r="58" spans="1:8" s="112" customFormat="1" ht="15.75" thickBot="1" x14ac:dyDescent="0.3">
      <c r="A58" s="112" t="s">
        <v>816</v>
      </c>
      <c r="B58" s="361" t="e">
        <f>VALO_PERSO!#REF!</f>
        <v>#REF!</v>
      </c>
      <c r="C58" s="352" t="e">
        <f>VALO_PERSO!#REF!</f>
        <v>#REF!</v>
      </c>
      <c r="D58" s="352" t="e">
        <f>VALO_PERSO!#REF!</f>
        <v>#REF!</v>
      </c>
      <c r="E58" s="352" t="e">
        <f>VALO_PERSO!#REF!</f>
        <v>#REF!</v>
      </c>
      <c r="F58" s="351"/>
      <c r="G58" s="351"/>
      <c r="H58" s="351"/>
    </row>
    <row r="59" spans="1:8" s="112" customFormat="1" ht="15.75" thickBot="1" x14ac:dyDescent="0.3">
      <c r="A59" s="112" t="s">
        <v>816</v>
      </c>
      <c r="B59" s="361" t="e">
        <f>VALO_PERSO!#REF!</f>
        <v>#REF!</v>
      </c>
      <c r="C59" s="352" t="e">
        <f>VALO_PERSO!#REF!</f>
        <v>#REF!</v>
      </c>
      <c r="D59" s="352" t="e">
        <f>VALO_PERSO!#REF!</f>
        <v>#REF!</v>
      </c>
      <c r="E59" s="352" t="e">
        <f>VALO_PERSO!#REF!</f>
        <v>#REF!</v>
      </c>
      <c r="F59" s="351"/>
      <c r="G59" s="351"/>
      <c r="H59" s="351"/>
    </row>
    <row r="60" spans="1:8" s="112" customFormat="1" ht="15.75" thickBot="1" x14ac:dyDescent="0.3">
      <c r="A60" s="112" t="s">
        <v>816</v>
      </c>
      <c r="B60" s="361" t="e">
        <f>VALO_PERSO!#REF!</f>
        <v>#REF!</v>
      </c>
      <c r="C60" s="352" t="e">
        <f>VALO_PERSO!#REF!</f>
        <v>#REF!</v>
      </c>
      <c r="D60" s="352" t="e">
        <f>VALO_PERSO!#REF!</f>
        <v>#REF!</v>
      </c>
      <c r="E60" s="352" t="e">
        <f>VALO_PERSO!#REF!</f>
        <v>#REF!</v>
      </c>
      <c r="F60" s="351"/>
      <c r="G60" s="351"/>
      <c r="H60" s="351"/>
    </row>
    <row r="61" spans="1:8" s="112" customFormat="1" ht="15.75" thickBot="1" x14ac:dyDescent="0.3">
      <c r="A61" s="112" t="s">
        <v>816</v>
      </c>
      <c r="B61" s="361" t="e">
        <f>VALO_PERSO!#REF!</f>
        <v>#REF!</v>
      </c>
      <c r="C61" s="352" t="e">
        <f>VALO_PERSO!#REF!</f>
        <v>#REF!</v>
      </c>
      <c r="D61" s="352" t="e">
        <f>VALO_PERSO!#REF!</f>
        <v>#REF!</v>
      </c>
      <c r="E61" s="352" t="e">
        <f>VALO_PERSO!#REF!</f>
        <v>#REF!</v>
      </c>
      <c r="F61" s="351"/>
      <c r="G61" s="351"/>
      <c r="H61" s="351"/>
    </row>
    <row r="62" spans="1:8" s="112" customFormat="1" ht="15.75" thickBot="1" x14ac:dyDescent="0.3">
      <c r="A62" s="112" t="s">
        <v>816</v>
      </c>
      <c r="B62" s="361" t="e">
        <f>VALO_PERSO!#REF!</f>
        <v>#REF!</v>
      </c>
      <c r="C62" s="352" t="e">
        <f>VALO_PERSO!#REF!</f>
        <v>#REF!</v>
      </c>
      <c r="D62" s="352" t="e">
        <f>VALO_PERSO!#REF!</f>
        <v>#REF!</v>
      </c>
      <c r="E62" s="352" t="e">
        <f>VALO_PERSO!#REF!</f>
        <v>#REF!</v>
      </c>
      <c r="F62" s="351"/>
      <c r="G62" s="351"/>
      <c r="H62" s="351"/>
    </row>
    <row r="63" spans="1:8" s="112" customFormat="1" ht="15.75" thickBot="1" x14ac:dyDescent="0.3">
      <c r="A63" s="112" t="s">
        <v>816</v>
      </c>
      <c r="B63" s="361" t="e">
        <f>VALO_PERSO!#REF!</f>
        <v>#REF!</v>
      </c>
      <c r="C63" s="352" t="e">
        <f>VALO_PERSO!#REF!</f>
        <v>#REF!</v>
      </c>
      <c r="D63" s="352" t="e">
        <f>VALO_PERSO!#REF!</f>
        <v>#REF!</v>
      </c>
      <c r="E63" s="352" t="e">
        <f>VALO_PERSO!#REF!</f>
        <v>#REF!</v>
      </c>
      <c r="F63" s="351"/>
      <c r="G63" s="351"/>
      <c r="H63" s="351"/>
    </row>
    <row r="64" spans="1:8" s="112" customFormat="1" ht="15.75" thickBot="1" x14ac:dyDescent="0.3">
      <c r="A64" s="112" t="s">
        <v>816</v>
      </c>
      <c r="B64" s="361" t="e">
        <f>VALO_PERSO!#REF!</f>
        <v>#REF!</v>
      </c>
      <c r="C64" s="352" t="e">
        <f>VALO_PERSO!#REF!</f>
        <v>#REF!</v>
      </c>
      <c r="D64" s="352" t="e">
        <f>VALO_PERSO!#REF!</f>
        <v>#REF!</v>
      </c>
      <c r="E64" s="352" t="e">
        <f>VALO_PERSO!#REF!</f>
        <v>#REF!</v>
      </c>
      <c r="F64" s="351"/>
      <c r="G64" s="351"/>
      <c r="H64" s="351"/>
    </row>
    <row r="65" spans="1:8" s="112" customFormat="1" ht="15.75" thickBot="1" x14ac:dyDescent="0.3">
      <c r="A65" s="112" t="s">
        <v>816</v>
      </c>
      <c r="B65" s="361" t="e">
        <f>VALO_PERSO!#REF!</f>
        <v>#REF!</v>
      </c>
      <c r="C65" s="352" t="e">
        <f>VALO_PERSO!#REF!</f>
        <v>#REF!</v>
      </c>
      <c r="D65" s="352" t="e">
        <f>VALO_PERSO!#REF!</f>
        <v>#REF!</v>
      </c>
      <c r="E65" s="352" t="e">
        <f>VALO_PERSO!#REF!</f>
        <v>#REF!</v>
      </c>
      <c r="F65" s="351"/>
      <c r="G65" s="351"/>
      <c r="H65" s="351"/>
    </row>
    <row r="66" spans="1:8" s="112" customFormat="1" ht="15.75" thickBot="1" x14ac:dyDescent="0.3">
      <c r="A66" s="112" t="s">
        <v>816</v>
      </c>
      <c r="B66" s="361" t="e">
        <f>VALO_PERSO!#REF!</f>
        <v>#REF!</v>
      </c>
      <c r="C66" s="352" t="e">
        <f>VALO_PERSO!#REF!</f>
        <v>#REF!</v>
      </c>
      <c r="D66" s="352" t="e">
        <f>VALO_PERSO!#REF!</f>
        <v>#REF!</v>
      </c>
      <c r="E66" s="352" t="e">
        <f>VALO_PERSO!#REF!</f>
        <v>#REF!</v>
      </c>
      <c r="F66" s="351"/>
      <c r="G66" s="351"/>
      <c r="H66" s="351"/>
    </row>
    <row r="67" spans="1:8" s="112" customFormat="1" ht="15.75" thickBot="1" x14ac:dyDescent="0.3">
      <c r="A67" s="112" t="s">
        <v>816</v>
      </c>
      <c r="B67" s="361" t="e">
        <f>VALO_PERSO!#REF!</f>
        <v>#REF!</v>
      </c>
      <c r="C67" s="352" t="e">
        <f>VALO_PERSO!#REF!</f>
        <v>#REF!</v>
      </c>
      <c r="D67" s="352" t="e">
        <f>VALO_PERSO!#REF!</f>
        <v>#REF!</v>
      </c>
      <c r="E67" s="352" t="e">
        <f>VALO_PERSO!#REF!</f>
        <v>#REF!</v>
      </c>
      <c r="F67" s="351"/>
      <c r="G67" s="351"/>
      <c r="H67" s="351"/>
    </row>
    <row r="68" spans="1:8" s="112" customFormat="1" ht="15.75" thickBot="1" x14ac:dyDescent="0.3">
      <c r="A68" s="112" t="s">
        <v>816</v>
      </c>
      <c r="B68" s="361" t="e">
        <f>VALO_PERSO!#REF!</f>
        <v>#REF!</v>
      </c>
      <c r="C68" s="352" t="e">
        <f>VALO_PERSO!#REF!</f>
        <v>#REF!</v>
      </c>
      <c r="D68" s="352" t="e">
        <f>VALO_PERSO!#REF!</f>
        <v>#REF!</v>
      </c>
      <c r="E68" s="352" t="e">
        <f>VALO_PERSO!#REF!</f>
        <v>#REF!</v>
      </c>
      <c r="F68" s="351"/>
      <c r="G68" s="351"/>
      <c r="H68" s="351"/>
    </row>
    <row r="69" spans="1:8" s="112" customFormat="1" ht="15.75" thickBot="1" x14ac:dyDescent="0.3">
      <c r="A69" s="112" t="s">
        <v>816</v>
      </c>
      <c r="B69" s="361" t="e">
        <f>VALO_PERSO!#REF!</f>
        <v>#REF!</v>
      </c>
      <c r="C69" s="352" t="e">
        <f>VALO_PERSO!#REF!</f>
        <v>#REF!</v>
      </c>
      <c r="D69" s="352" t="e">
        <f>VALO_PERSO!#REF!</f>
        <v>#REF!</v>
      </c>
      <c r="E69" s="352" t="e">
        <f>VALO_PERSO!#REF!</f>
        <v>#REF!</v>
      </c>
      <c r="F69" s="351"/>
      <c r="G69" s="351"/>
      <c r="H69" s="351"/>
    </row>
    <row r="70" spans="1:8" s="112" customFormat="1" ht="15.75" thickBot="1" x14ac:dyDescent="0.3">
      <c r="A70" s="112" t="s">
        <v>816</v>
      </c>
      <c r="B70" s="361" t="e">
        <f>VALO_PERSO!#REF!</f>
        <v>#REF!</v>
      </c>
      <c r="C70" s="352" t="e">
        <f>VALO_PERSO!#REF!</f>
        <v>#REF!</v>
      </c>
      <c r="D70" s="352" t="e">
        <f>VALO_PERSO!#REF!</f>
        <v>#REF!</v>
      </c>
      <c r="E70" s="352" t="e">
        <f>VALO_PERSO!#REF!</f>
        <v>#REF!</v>
      </c>
      <c r="F70" s="351"/>
      <c r="G70" s="351"/>
      <c r="H70" s="351"/>
    </row>
    <row r="71" spans="1:8" s="112" customFormat="1" ht="15.75" thickBot="1" x14ac:dyDescent="0.3">
      <c r="A71" s="112" t="s">
        <v>816</v>
      </c>
      <c r="B71" s="361" t="e">
        <f>VALO_PERSO!#REF!</f>
        <v>#REF!</v>
      </c>
      <c r="C71" s="352" t="e">
        <f>VALO_PERSO!#REF!</f>
        <v>#REF!</v>
      </c>
      <c r="D71" s="352" t="e">
        <f>VALO_PERSO!#REF!</f>
        <v>#REF!</v>
      </c>
      <c r="E71" s="352" t="e">
        <f>VALO_PERSO!#REF!</f>
        <v>#REF!</v>
      </c>
      <c r="F71" s="351"/>
      <c r="G71" s="351"/>
      <c r="H71" s="351"/>
    </row>
    <row r="72" spans="1:8" s="112" customFormat="1" ht="15.75" thickBot="1" x14ac:dyDescent="0.3">
      <c r="A72" s="112" t="s">
        <v>816</v>
      </c>
      <c r="B72" s="361" t="e">
        <f>VALO_PERSO!#REF!</f>
        <v>#REF!</v>
      </c>
      <c r="C72" s="352" t="e">
        <f>VALO_PERSO!#REF!</f>
        <v>#REF!</v>
      </c>
      <c r="D72" s="352" t="e">
        <f>VALO_PERSO!#REF!</f>
        <v>#REF!</v>
      </c>
      <c r="E72" s="352" t="e">
        <f>VALO_PERSO!#REF!</f>
        <v>#REF!</v>
      </c>
      <c r="F72" s="351"/>
      <c r="G72" s="351"/>
      <c r="H72" s="351"/>
    </row>
    <row r="73" spans="1:8" s="112" customFormat="1" ht="15.75" thickBot="1" x14ac:dyDescent="0.3">
      <c r="A73" s="112" t="s">
        <v>816</v>
      </c>
      <c r="B73" s="361" t="e">
        <f>VALO_PERSO!#REF!</f>
        <v>#REF!</v>
      </c>
      <c r="C73" s="352" t="e">
        <f>VALO_PERSO!#REF!</f>
        <v>#REF!</v>
      </c>
      <c r="D73" s="352" t="e">
        <f>VALO_PERSO!#REF!</f>
        <v>#REF!</v>
      </c>
      <c r="E73" s="352" t="e">
        <f>VALO_PERSO!#REF!</f>
        <v>#REF!</v>
      </c>
      <c r="F73" s="351"/>
      <c r="G73" s="351"/>
      <c r="H73" s="351"/>
    </row>
    <row r="74" spans="1:8" s="112" customFormat="1" ht="15.75" thickBot="1" x14ac:dyDescent="0.3">
      <c r="A74" s="112" t="s">
        <v>816</v>
      </c>
      <c r="B74" s="361" t="e">
        <f>VALO_PERSO!#REF!</f>
        <v>#REF!</v>
      </c>
      <c r="C74" s="352" t="e">
        <f>VALO_PERSO!#REF!</f>
        <v>#REF!</v>
      </c>
      <c r="D74" s="352" t="e">
        <f>VALO_PERSO!#REF!</f>
        <v>#REF!</v>
      </c>
      <c r="E74" s="352" t="e">
        <f>VALO_PERSO!#REF!</f>
        <v>#REF!</v>
      </c>
      <c r="F74" s="351"/>
      <c r="G74" s="351"/>
      <c r="H74" s="351"/>
    </row>
    <row r="75" spans="1:8" s="112" customFormat="1" ht="15.75" thickBot="1" x14ac:dyDescent="0.3">
      <c r="A75" s="112" t="s">
        <v>816</v>
      </c>
      <c r="B75" s="361" t="e">
        <f>VALO_PERSO!#REF!</f>
        <v>#REF!</v>
      </c>
      <c r="C75" s="352" t="e">
        <f>VALO_PERSO!#REF!</f>
        <v>#REF!</v>
      </c>
      <c r="D75" s="352" t="e">
        <f>VALO_PERSO!#REF!</f>
        <v>#REF!</v>
      </c>
      <c r="E75" s="352" t="e">
        <f>VALO_PERSO!#REF!</f>
        <v>#REF!</v>
      </c>
      <c r="F75" s="351"/>
      <c r="G75" s="351"/>
      <c r="H75" s="351"/>
    </row>
    <row r="76" spans="1:8" s="112" customFormat="1" ht="15.75" thickBot="1" x14ac:dyDescent="0.3">
      <c r="A76" s="112" t="s">
        <v>816</v>
      </c>
      <c r="B76" s="361" t="e">
        <f>VALO_PERSO!#REF!</f>
        <v>#REF!</v>
      </c>
      <c r="C76" s="352" t="e">
        <f>VALO_PERSO!#REF!</f>
        <v>#REF!</v>
      </c>
      <c r="D76" s="352" t="e">
        <f>VALO_PERSO!#REF!</f>
        <v>#REF!</v>
      </c>
      <c r="E76" s="352" t="e">
        <f>VALO_PERSO!#REF!</f>
        <v>#REF!</v>
      </c>
      <c r="F76" s="351"/>
      <c r="G76" s="351"/>
      <c r="H76" s="351"/>
    </row>
    <row r="77" spans="1:8" s="112" customFormat="1" ht="15.75" thickBot="1" x14ac:dyDescent="0.3">
      <c r="A77" s="112" t="s">
        <v>816</v>
      </c>
      <c r="B77" s="361" t="e">
        <f>VALO_PERSO!#REF!</f>
        <v>#REF!</v>
      </c>
      <c r="C77" s="352" t="e">
        <f>VALO_PERSO!#REF!</f>
        <v>#REF!</v>
      </c>
      <c r="D77" s="352" t="e">
        <f>VALO_PERSO!#REF!</f>
        <v>#REF!</v>
      </c>
      <c r="E77" s="352" t="e">
        <f>VALO_PERSO!#REF!</f>
        <v>#REF!</v>
      </c>
      <c r="F77" s="351"/>
      <c r="G77" s="351"/>
      <c r="H77" s="351"/>
    </row>
    <row r="78" spans="1:8" s="112" customFormat="1" ht="15.75" thickBot="1" x14ac:dyDescent="0.3">
      <c r="A78" s="112" t="s">
        <v>816</v>
      </c>
      <c r="B78" s="361" t="e">
        <f>VALO_PERSO!#REF!</f>
        <v>#REF!</v>
      </c>
      <c r="C78" s="352" t="e">
        <f>VALO_PERSO!#REF!</f>
        <v>#REF!</v>
      </c>
      <c r="D78" s="352" t="e">
        <f>VALO_PERSO!#REF!</f>
        <v>#REF!</v>
      </c>
      <c r="E78" s="352" t="e">
        <f>VALO_PERSO!#REF!</f>
        <v>#REF!</v>
      </c>
      <c r="F78" s="351"/>
      <c r="G78" s="351"/>
      <c r="H78" s="351"/>
    </row>
    <row r="79" spans="1:8" s="112" customFormat="1" ht="15.75" thickBot="1" x14ac:dyDescent="0.3">
      <c r="A79" s="112" t="s">
        <v>816</v>
      </c>
      <c r="B79" s="361" t="e">
        <f>VALO_PERSO!#REF!</f>
        <v>#REF!</v>
      </c>
      <c r="C79" s="352" t="e">
        <f>VALO_PERSO!#REF!</f>
        <v>#REF!</v>
      </c>
      <c r="D79" s="352" t="e">
        <f>VALO_PERSO!#REF!</f>
        <v>#REF!</v>
      </c>
      <c r="E79" s="352" t="e">
        <f>VALO_PERSO!#REF!</f>
        <v>#REF!</v>
      </c>
      <c r="F79" s="351"/>
      <c r="G79" s="351"/>
      <c r="H79" s="351"/>
    </row>
    <row r="80" spans="1:8" s="112" customFormat="1" ht="15.75" thickBot="1" x14ac:dyDescent="0.3">
      <c r="A80" s="112" t="s">
        <v>816</v>
      </c>
      <c r="B80" s="361" t="e">
        <f>VALO_PERSO!#REF!</f>
        <v>#REF!</v>
      </c>
      <c r="C80" s="352" t="e">
        <f>VALO_PERSO!#REF!</f>
        <v>#REF!</v>
      </c>
      <c r="D80" s="352" t="e">
        <f>VALO_PERSO!#REF!</f>
        <v>#REF!</v>
      </c>
      <c r="E80" s="352" t="e">
        <f>VALO_PERSO!#REF!</f>
        <v>#REF!</v>
      </c>
      <c r="F80" s="351"/>
      <c r="G80" s="351"/>
      <c r="H80" s="351"/>
    </row>
    <row r="81" spans="1:8" s="112" customFormat="1" ht="15.75" thickBot="1" x14ac:dyDescent="0.3">
      <c r="A81" s="112" t="s">
        <v>816</v>
      </c>
      <c r="B81" s="361" t="e">
        <f>VALO_PERSO!#REF!</f>
        <v>#REF!</v>
      </c>
      <c r="C81" s="352" t="e">
        <f>VALO_PERSO!#REF!</f>
        <v>#REF!</v>
      </c>
      <c r="D81" s="352" t="e">
        <f>VALO_PERSO!#REF!</f>
        <v>#REF!</v>
      </c>
      <c r="E81" s="352" t="e">
        <f>VALO_PERSO!#REF!</f>
        <v>#REF!</v>
      </c>
      <c r="F81" s="351"/>
      <c r="G81" s="351"/>
      <c r="H81" s="351"/>
    </row>
    <row r="82" spans="1:8" s="112" customFormat="1" ht="15.75" thickBot="1" x14ac:dyDescent="0.3">
      <c r="A82" s="112" t="s">
        <v>816</v>
      </c>
      <c r="B82" s="361" t="e">
        <f>VALO_PERSO!#REF!</f>
        <v>#REF!</v>
      </c>
      <c r="C82" s="352" t="e">
        <f>VALO_PERSO!#REF!</f>
        <v>#REF!</v>
      </c>
      <c r="D82" s="352" t="e">
        <f>VALO_PERSO!#REF!</f>
        <v>#REF!</v>
      </c>
      <c r="E82" s="352" t="e">
        <f>VALO_PERSO!#REF!</f>
        <v>#REF!</v>
      </c>
      <c r="F82" s="351"/>
      <c r="G82" s="351"/>
      <c r="H82" s="351"/>
    </row>
    <row r="83" spans="1:8" s="112" customFormat="1" ht="15.75" thickBot="1" x14ac:dyDescent="0.3">
      <c r="A83" s="112" t="s">
        <v>816</v>
      </c>
      <c r="B83" s="361" t="e">
        <f>VALO_PERSO!#REF!</f>
        <v>#REF!</v>
      </c>
      <c r="C83" s="352" t="e">
        <f>VALO_PERSO!#REF!</f>
        <v>#REF!</v>
      </c>
      <c r="D83" s="352" t="e">
        <f>VALO_PERSO!#REF!</f>
        <v>#REF!</v>
      </c>
      <c r="E83" s="352" t="e">
        <f>VALO_PERSO!#REF!</f>
        <v>#REF!</v>
      </c>
      <c r="F83" s="351"/>
      <c r="G83" s="351"/>
      <c r="H83" s="351"/>
    </row>
    <row r="84" spans="1:8" s="112" customFormat="1" ht="15.75" thickBot="1" x14ac:dyDescent="0.3">
      <c r="A84" s="112" t="s">
        <v>816</v>
      </c>
      <c r="B84" s="361" t="e">
        <f>VALO_PERSO!#REF!</f>
        <v>#REF!</v>
      </c>
      <c r="C84" s="352" t="e">
        <f>VALO_PERSO!#REF!</f>
        <v>#REF!</v>
      </c>
      <c r="D84" s="352" t="e">
        <f>VALO_PERSO!#REF!</f>
        <v>#REF!</v>
      </c>
      <c r="E84" s="352" t="e">
        <f>VALO_PERSO!#REF!</f>
        <v>#REF!</v>
      </c>
      <c r="F84" s="351"/>
      <c r="G84" s="351"/>
      <c r="H84" s="351"/>
    </row>
    <row r="85" spans="1:8" s="112" customFormat="1" ht="15.75" thickBot="1" x14ac:dyDescent="0.3">
      <c r="A85" s="112" t="s">
        <v>816</v>
      </c>
      <c r="B85" s="361" t="e">
        <f>VALO_PERSO!#REF!</f>
        <v>#REF!</v>
      </c>
      <c r="C85" s="352" t="e">
        <f>VALO_PERSO!#REF!</f>
        <v>#REF!</v>
      </c>
      <c r="D85" s="352" t="e">
        <f>VALO_PERSO!#REF!</f>
        <v>#REF!</v>
      </c>
      <c r="E85" s="352" t="e">
        <f>VALO_PERSO!#REF!</f>
        <v>#REF!</v>
      </c>
      <c r="F85" s="351"/>
      <c r="G85" s="351"/>
      <c r="H85" s="351"/>
    </row>
    <row r="86" spans="1:8" s="112" customFormat="1" ht="15.75" thickBot="1" x14ac:dyDescent="0.3">
      <c r="A86" s="112" t="s">
        <v>816</v>
      </c>
      <c r="B86" s="361" t="e">
        <f>VALO_PERSO!#REF!</f>
        <v>#REF!</v>
      </c>
      <c r="C86" s="352" t="e">
        <f>VALO_PERSO!#REF!</f>
        <v>#REF!</v>
      </c>
      <c r="D86" s="352" t="e">
        <f>VALO_PERSO!#REF!</f>
        <v>#REF!</v>
      </c>
      <c r="E86" s="352" t="e">
        <f>VALO_PERSO!#REF!</f>
        <v>#REF!</v>
      </c>
      <c r="F86" s="351"/>
      <c r="G86" s="351"/>
      <c r="H86" s="351"/>
    </row>
    <row r="87" spans="1:8" s="112" customFormat="1" ht="60.75" thickBot="1" x14ac:dyDescent="0.3">
      <c r="B87" s="361">
        <f>VALO_PERSO!F6</f>
        <v>2</v>
      </c>
      <c r="C87" s="352" t="str">
        <f>VALO_PERSO!G6</f>
        <v>GASPERIN</v>
      </c>
      <c r="D87" s="352" t="str">
        <f>VALO_PERSO!H6</f>
        <v>Anthony</v>
      </c>
      <c r="E87" s="352" t="str">
        <f>VALO_PERSO!J6</f>
        <v xml:space="preserve">Docteur en Sciences mention informatique - Université de Genève </v>
      </c>
      <c r="F87" s="351"/>
      <c r="G87" s="351"/>
      <c r="H87" s="351"/>
    </row>
    <row r="88" spans="1:8" s="112" customFormat="1" ht="36.75" thickBot="1" x14ac:dyDescent="0.3">
      <c r="B88" s="361">
        <f>VALO_PERSO!F7</f>
        <v>5</v>
      </c>
      <c r="C88" s="352" t="str">
        <f>VALO_PERSO!G7</f>
        <v>LA CORTE</v>
      </c>
      <c r="D88" s="352" t="str">
        <f>VALO_PERSO!H7</f>
        <v>Matias</v>
      </c>
      <c r="E88" s="352" t="str">
        <f>VALO_PERSO!J7</f>
        <v>Baccalauréat Général - Acadmie de Grenoble</v>
      </c>
      <c r="F88" s="351"/>
      <c r="G88" s="351"/>
      <c r="H88" s="351"/>
    </row>
    <row r="89" spans="1:8" s="112" customFormat="1" ht="36.75" thickBot="1" x14ac:dyDescent="0.3">
      <c r="B89" s="361">
        <f>VALO_PERSO!F8</f>
        <v>9</v>
      </c>
      <c r="C89" s="352" t="str">
        <f>VALO_PERSO!G8</f>
        <v>WIRTH</v>
      </c>
      <c r="D89" s="352" t="str">
        <f>VALO_PERSO!H8</f>
        <v>Romain</v>
      </c>
      <c r="E89" s="352" t="str">
        <f>VALO_PERSO!J8</f>
        <v xml:space="preserve">Bachelor of science - Ecole Hôtelière de Lausanne </v>
      </c>
      <c r="F89" s="351"/>
      <c r="G89" s="351"/>
      <c r="H89" s="351"/>
    </row>
    <row r="90" spans="1:8" s="112" customFormat="1" ht="60.75" thickBot="1" x14ac:dyDescent="0.3">
      <c r="B90" s="361">
        <f>VALO_PERSO!F9</f>
        <v>10</v>
      </c>
      <c r="C90" s="352" t="str">
        <f>VALO_PERSO!G9</f>
        <v>CILES</v>
      </c>
      <c r="D90" s="352" t="str">
        <f>VALO_PERSO!H9</f>
        <v>Grégoire</v>
      </c>
      <c r="E90" s="352" t="str">
        <f>VALO_PERSO!J9</f>
        <v>RNCP Niveau 5 (Bac +2) - Developpeur web et web mobile - Simplon.co</v>
      </c>
      <c r="F90" s="351"/>
      <c r="G90" s="351"/>
      <c r="H90" s="351"/>
    </row>
    <row r="91" spans="1:8" s="112" customFormat="1" ht="48.75" thickBot="1" x14ac:dyDescent="0.3">
      <c r="B91" s="361">
        <f>VALO_PERSO!F10</f>
        <v>12</v>
      </c>
      <c r="C91" s="352" t="str">
        <f>VALO_PERSO!G10</f>
        <v>RALANTOARISON</v>
      </c>
      <c r="D91" s="352" t="str">
        <f>VALO_PERSO!H10</f>
        <v>Osée</v>
      </c>
      <c r="E91" s="352" t="str">
        <f>VALO_PERSO!J10</f>
        <v>Attestation de suivi Développeur Web et Web Mobile - Oclock</v>
      </c>
      <c r="F91" s="351"/>
      <c r="G91" s="351"/>
      <c r="H91" s="351"/>
    </row>
    <row r="92" spans="1:8" s="112" customFormat="1" ht="15.75" thickBot="1" x14ac:dyDescent="0.3">
      <c r="B92" s="361" t="e">
        <f>VALO_PERSO!#REF!</f>
        <v>#REF!</v>
      </c>
      <c r="C92" s="352" t="e">
        <f>VALO_PERSO!#REF!</f>
        <v>#REF!</v>
      </c>
      <c r="D92" s="352" t="e">
        <f>VALO_PERSO!#REF!</f>
        <v>#REF!</v>
      </c>
      <c r="E92" s="352" t="e">
        <f>VALO_PERSO!#REF!</f>
        <v>#REF!</v>
      </c>
      <c r="F92" s="351"/>
      <c r="G92" s="351"/>
      <c r="H92" s="351"/>
    </row>
    <row r="93" spans="1:8" s="112" customFormat="1" ht="15.75" thickBot="1" x14ac:dyDescent="0.3">
      <c r="B93" s="361" t="e">
        <f>VALO_PERSO!#REF!</f>
        <v>#REF!</v>
      </c>
      <c r="C93" s="352" t="e">
        <f>VALO_PERSO!#REF!</f>
        <v>#REF!</v>
      </c>
      <c r="D93" s="352" t="e">
        <f>VALO_PERSO!#REF!</f>
        <v>#REF!</v>
      </c>
      <c r="E93" s="352" t="e">
        <f>VALO_PERSO!#REF!</f>
        <v>#REF!</v>
      </c>
      <c r="F93" s="351"/>
      <c r="G93" s="351"/>
      <c r="H93" s="351"/>
    </row>
    <row r="94" spans="1:8" s="112" customFormat="1" ht="15.75" thickBot="1" x14ac:dyDescent="0.3">
      <c r="B94" s="361">
        <f>VALO_PERSO!F11</f>
        <v>24</v>
      </c>
      <c r="C94" s="352" t="str">
        <f>VALO_PERSO!G11</f>
        <v>KANDIAH</v>
      </c>
      <c r="D94" s="352" t="str">
        <f>VALO_PERSO!H11</f>
        <v>Corrège</v>
      </c>
      <c r="E94" s="352">
        <f>VALO_PERSO!J11</f>
        <v>0</v>
      </c>
      <c r="F94" s="351"/>
      <c r="G94" s="351"/>
      <c r="H94" s="351"/>
    </row>
    <row r="95" spans="1:8" s="112" customFormat="1" ht="15.75" thickBot="1" x14ac:dyDescent="0.3">
      <c r="B95" s="361" t="e">
        <f>VALO_PERSO!#REF!</f>
        <v>#REF!</v>
      </c>
      <c r="C95" s="352" t="e">
        <f>VALO_PERSO!#REF!</f>
        <v>#REF!</v>
      </c>
      <c r="D95" s="352" t="e">
        <f>VALO_PERSO!#REF!</f>
        <v>#REF!</v>
      </c>
      <c r="E95" s="352" t="e">
        <f>VALO_PERSO!#REF!</f>
        <v>#REF!</v>
      </c>
      <c r="F95" s="351"/>
      <c r="H95" s="351"/>
    </row>
    <row r="96" spans="1:8" s="112" customFormat="1" ht="15.75" thickBot="1" x14ac:dyDescent="0.3">
      <c r="B96" s="361" t="e">
        <f>VALO_PERSO!#REF!</f>
        <v>#REF!</v>
      </c>
      <c r="C96" s="352" t="e">
        <f>VALO_PERSO!#REF!</f>
        <v>#REF!</v>
      </c>
      <c r="D96" s="352" t="e">
        <f>VALO_PERSO!#REF!</f>
        <v>#REF!</v>
      </c>
      <c r="E96" s="352" t="e">
        <f>VALO_PERSO!#REF!</f>
        <v>#REF!</v>
      </c>
      <c r="F96" s="351"/>
      <c r="G96" s="351"/>
      <c r="H96" s="351"/>
    </row>
    <row r="97" spans="1:8" s="112" customFormat="1" ht="15.75" thickBot="1" x14ac:dyDescent="0.3">
      <c r="B97" s="361" t="e">
        <f>VALO_PERSO!#REF!</f>
        <v>#REF!</v>
      </c>
      <c r="C97" s="352" t="e">
        <f>VALO_PERSO!#REF!</f>
        <v>#REF!</v>
      </c>
      <c r="D97" s="352" t="e">
        <f>VALO_PERSO!#REF!</f>
        <v>#REF!</v>
      </c>
      <c r="E97" s="352" t="e">
        <f>VALO_PERSO!#REF!</f>
        <v>#REF!</v>
      </c>
      <c r="F97" s="351"/>
      <c r="G97" s="351"/>
      <c r="H97" s="351"/>
    </row>
    <row r="98" spans="1:8" s="112" customFormat="1" ht="15.75" thickBot="1" x14ac:dyDescent="0.3">
      <c r="B98" s="361" t="e">
        <f>VALO_PERSO!#REF!</f>
        <v>#REF!</v>
      </c>
      <c r="C98" s="352" t="e">
        <f>VALO_PERSO!#REF!</f>
        <v>#REF!</v>
      </c>
      <c r="D98" s="352" t="e">
        <f>VALO_PERSO!#REF!</f>
        <v>#REF!</v>
      </c>
      <c r="E98" s="352" t="e">
        <f>VALO_PERSO!#REF!</f>
        <v>#REF!</v>
      </c>
      <c r="F98" s="351"/>
      <c r="G98" s="351"/>
      <c r="H98" s="351"/>
    </row>
    <row r="99" spans="1:8" s="112" customFormat="1" ht="15.75" thickBot="1" x14ac:dyDescent="0.3">
      <c r="B99" s="361" t="e">
        <f>VALO_PERSO!#REF!</f>
        <v>#REF!</v>
      </c>
      <c r="C99" s="352" t="e">
        <f>VALO_PERSO!#REF!</f>
        <v>#REF!</v>
      </c>
      <c r="D99" s="352" t="e">
        <f>VALO_PERSO!#REF!</f>
        <v>#REF!</v>
      </c>
      <c r="E99" s="352" t="e">
        <f>VALO_PERSO!#REF!</f>
        <v>#REF!</v>
      </c>
      <c r="F99" s="351"/>
      <c r="G99" s="351"/>
      <c r="H99" s="351"/>
    </row>
    <row r="100" spans="1:8" s="112" customFormat="1" ht="15.75" thickBot="1" x14ac:dyDescent="0.3">
      <c r="B100" s="361" t="e">
        <f>VALO_PERSO!#REF!</f>
        <v>#REF!</v>
      </c>
      <c r="C100" s="352" t="e">
        <f>VALO_PERSO!#REF!</f>
        <v>#REF!</v>
      </c>
      <c r="D100" s="352" t="e">
        <f>VALO_PERSO!#REF!</f>
        <v>#REF!</v>
      </c>
      <c r="E100" s="352" t="e">
        <f>VALO_PERSO!#REF!</f>
        <v>#REF!</v>
      </c>
      <c r="F100" s="351"/>
      <c r="H100" s="351"/>
    </row>
    <row r="101" spans="1:8" s="112" customFormat="1" x14ac:dyDescent="0.25">
      <c r="B101" s="351"/>
      <c r="C101" s="351"/>
      <c r="D101" s="351"/>
      <c r="E101" s="351"/>
      <c r="F101" s="351"/>
      <c r="G101" s="351"/>
      <c r="H101" s="351"/>
    </row>
    <row r="102" spans="1:8" s="112" customFormat="1" ht="15.75" thickBot="1" x14ac:dyDescent="0.3">
      <c r="B102" s="351"/>
      <c r="C102" s="351"/>
      <c r="D102" s="351"/>
      <c r="E102" s="351"/>
      <c r="F102" s="351"/>
      <c r="G102" s="351"/>
      <c r="H102" s="351"/>
    </row>
    <row r="103" spans="1:8" s="112" customFormat="1" ht="15.75" thickBot="1" x14ac:dyDescent="0.3">
      <c r="B103" s="361"/>
      <c r="C103" s="559" t="str">
        <f>'REP cout'!B4</f>
        <v>Opération 1</v>
      </c>
      <c r="D103" s="560"/>
      <c r="E103" s="560"/>
      <c r="F103" s="560"/>
      <c r="G103" s="351"/>
    </row>
    <row r="104" spans="1:8" s="112" customFormat="1" ht="36.75" thickBot="1" x14ac:dyDescent="0.3">
      <c r="B104" s="370" t="s">
        <v>366</v>
      </c>
      <c r="C104" s="353" t="s">
        <v>719</v>
      </c>
      <c r="D104" s="354" t="s">
        <v>720</v>
      </c>
      <c r="E104" s="354" t="s">
        <v>721</v>
      </c>
      <c r="F104" s="354" t="s">
        <v>722</v>
      </c>
    </row>
    <row r="105" spans="1:8" s="112" customFormat="1" ht="15.6" customHeight="1" thickBot="1" x14ac:dyDescent="0.3">
      <c r="A105" s="112" t="s">
        <v>816</v>
      </c>
      <c r="B105" s="361">
        <f>VALO_PERSO!F5</f>
        <v>1</v>
      </c>
      <c r="C105" s="352" t="str">
        <f>CONCATENATE(C87," ",D87)</f>
        <v>GASPERIN Anthony</v>
      </c>
      <c r="D105" s="352" t="str">
        <f>VALO_PERSO!I5</f>
        <v>UX DESIGNER</v>
      </c>
      <c r="E105" s="355">
        <f>VALO_PERSO!Y5</f>
        <v>0</v>
      </c>
      <c r="F105" s="356">
        <f>VALO_PERSO!AN5</f>
        <v>0</v>
      </c>
    </row>
    <row r="106" spans="1:8" s="112" customFormat="1" ht="15.6" customHeight="1" thickBot="1" x14ac:dyDescent="0.3">
      <c r="A106" s="112" t="s">
        <v>816</v>
      </c>
      <c r="B106" s="361">
        <f>VALO_PERSO!F6</f>
        <v>2</v>
      </c>
      <c r="C106" s="352" t="str">
        <f>CONCATENATE(C88," ",D88)</f>
        <v>LA CORTE Matias</v>
      </c>
      <c r="D106" s="352" t="str">
        <f>VALO_PERSO!I6</f>
        <v>Lead Developer</v>
      </c>
      <c r="E106" s="355">
        <f>VALO_PERSO!Y6</f>
        <v>0</v>
      </c>
      <c r="F106" s="356">
        <f>VALO_PERSO!AN6</f>
        <v>0</v>
      </c>
    </row>
    <row r="107" spans="1:8" s="112" customFormat="1" ht="15.6" customHeight="1" thickBot="1" x14ac:dyDescent="0.3">
      <c r="A107" s="112" t="s">
        <v>816</v>
      </c>
      <c r="B107" s="361">
        <f>VALO_PERSO!F6</f>
        <v>2</v>
      </c>
      <c r="C107" s="352" t="str">
        <f>CONCATENATE(C88," ",D88)</f>
        <v>LA CORTE Matias</v>
      </c>
      <c r="D107" s="352" t="str">
        <f>VALO_PERSO!I6</f>
        <v>Lead Developer</v>
      </c>
      <c r="E107" s="355">
        <f>VALO_PERSO!Y6</f>
        <v>0</v>
      </c>
      <c r="F107" s="356">
        <f>VALO_PERSO!AN6</f>
        <v>0</v>
      </c>
    </row>
    <row r="108" spans="1:8" s="112" customFormat="1" ht="15.6" customHeight="1" thickBot="1" x14ac:dyDescent="0.3">
      <c r="A108" s="112" t="s">
        <v>816</v>
      </c>
      <c r="B108" s="361">
        <f>VALO_PERSO!F7</f>
        <v>5</v>
      </c>
      <c r="C108" s="352" t="str">
        <f>CONCATENATE(C89," ",D89)</f>
        <v>WIRTH Romain</v>
      </c>
      <c r="D108" s="352" t="str">
        <f>VALO_PERSO!I7</f>
        <v>Apprenti</v>
      </c>
      <c r="E108" s="355">
        <f>VALO_PERSO!Y7</f>
        <v>0</v>
      </c>
      <c r="F108" s="356">
        <f>VALO_PERSO!AN7</f>
        <v>0</v>
      </c>
    </row>
    <row r="109" spans="1:8" s="112" customFormat="1" ht="15.6" customHeight="1" thickBot="1" x14ac:dyDescent="0.3">
      <c r="A109" s="112" t="s">
        <v>816</v>
      </c>
      <c r="B109" s="361" t="e">
        <f>VALO_PERSO!#REF!</f>
        <v>#REF!</v>
      </c>
      <c r="C109" s="352" t="str">
        <f>CONCATENATE(C88," ",D88)</f>
        <v>LA CORTE Matias</v>
      </c>
      <c r="D109" s="352" t="e">
        <f>VALO_PERSO!#REF!</f>
        <v>#REF!</v>
      </c>
      <c r="E109" s="355" t="e">
        <f>VALO_PERSO!#REF!</f>
        <v>#REF!</v>
      </c>
      <c r="F109" s="356" t="e">
        <f>VALO_PERSO!#REF!</f>
        <v>#REF!</v>
      </c>
    </row>
    <row r="110" spans="1:8" s="112" customFormat="1" ht="15.6" customHeight="1" thickBot="1" x14ac:dyDescent="0.3">
      <c r="A110" s="112" t="s">
        <v>816</v>
      </c>
      <c r="B110" s="361" t="e">
        <f>VALO_PERSO!#REF!</f>
        <v>#REF!</v>
      </c>
      <c r="C110" s="352" t="str">
        <f>CONCATENATE(C89," ",D89)</f>
        <v>WIRTH Romain</v>
      </c>
      <c r="D110" s="352" t="e">
        <f>VALO_PERSO!#REF!</f>
        <v>#REF!</v>
      </c>
      <c r="E110" s="355" t="e">
        <f>VALO_PERSO!#REF!</f>
        <v>#REF!</v>
      </c>
      <c r="F110" s="356" t="e">
        <f>VALO_PERSO!#REF!</f>
        <v>#REF!</v>
      </c>
    </row>
    <row r="111" spans="1:8" s="112" customFormat="1" ht="15.6" customHeight="1" thickBot="1" x14ac:dyDescent="0.3">
      <c r="A111" s="112" t="s">
        <v>816</v>
      </c>
      <c r="B111" s="361" t="e">
        <f>VALO_PERSO!#REF!</f>
        <v>#REF!</v>
      </c>
      <c r="C111" s="352" t="str">
        <f>CONCATENATE(C89," ",D89)</f>
        <v>WIRTH Romain</v>
      </c>
      <c r="D111" s="352" t="e">
        <f>VALO_PERSO!#REF!</f>
        <v>#REF!</v>
      </c>
      <c r="E111" s="355" t="e">
        <f>VALO_PERSO!#REF!</f>
        <v>#REF!</v>
      </c>
      <c r="F111" s="356" t="e">
        <f>VALO_PERSO!#REF!</f>
        <v>#REF!</v>
      </c>
    </row>
    <row r="112" spans="1:8" s="112" customFormat="1" ht="15.6" customHeight="1" thickBot="1" x14ac:dyDescent="0.3">
      <c r="A112" s="112" t="s">
        <v>816</v>
      </c>
      <c r="B112" s="361" t="e">
        <f>VALO_PERSO!#REF!</f>
        <v>#REF!</v>
      </c>
      <c r="C112" s="352" t="str">
        <f>CONCATENATE(C90," ",D90)</f>
        <v>CILES Grégoire</v>
      </c>
      <c r="D112" s="352" t="e">
        <f>VALO_PERSO!#REF!</f>
        <v>#REF!</v>
      </c>
      <c r="E112" s="355" t="e">
        <f>VALO_PERSO!#REF!</f>
        <v>#REF!</v>
      </c>
      <c r="F112" s="356" t="e">
        <f>VALO_PERSO!#REF!</f>
        <v>#REF!</v>
      </c>
    </row>
    <row r="113" spans="1:6" s="112" customFormat="1" ht="15.6" customHeight="1" thickBot="1" x14ac:dyDescent="0.3">
      <c r="A113" s="112" t="s">
        <v>816</v>
      </c>
      <c r="B113" s="361" t="e">
        <f>VALO_PERSO!#REF!</f>
        <v>#REF!</v>
      </c>
      <c r="C113" s="352" t="str">
        <f>CONCATENATE(C88," ",D88)</f>
        <v>LA CORTE Matias</v>
      </c>
      <c r="D113" s="352" t="e">
        <f>VALO_PERSO!#REF!</f>
        <v>#REF!</v>
      </c>
      <c r="E113" s="355" t="e">
        <f>VALO_PERSO!#REF!</f>
        <v>#REF!</v>
      </c>
      <c r="F113" s="356" t="e">
        <f>VALO_PERSO!#REF!</f>
        <v>#REF!</v>
      </c>
    </row>
    <row r="114" spans="1:6" s="112" customFormat="1" ht="15.6" customHeight="1" thickBot="1" x14ac:dyDescent="0.3">
      <c r="A114" s="112" t="s">
        <v>816</v>
      </c>
      <c r="B114" s="361" t="e">
        <f>VALO_PERSO!#REF!</f>
        <v>#REF!</v>
      </c>
      <c r="C114" s="352" t="str">
        <f>CONCATENATE(C89," ",D89)</f>
        <v>WIRTH Romain</v>
      </c>
      <c r="D114" s="352" t="e">
        <f>VALO_PERSO!#REF!</f>
        <v>#REF!</v>
      </c>
      <c r="E114" s="355" t="e">
        <f>VALO_PERSO!#REF!</f>
        <v>#REF!</v>
      </c>
      <c r="F114" s="356" t="e">
        <f>VALO_PERSO!#REF!</f>
        <v>#REF!</v>
      </c>
    </row>
    <row r="115" spans="1:6" s="112" customFormat="1" ht="15.6" customHeight="1" thickBot="1" x14ac:dyDescent="0.3">
      <c r="A115" s="112" t="s">
        <v>816</v>
      </c>
      <c r="B115" s="361" t="e">
        <f>VALO_PERSO!#REF!</f>
        <v>#REF!</v>
      </c>
      <c r="C115" s="352" t="str">
        <f>CONCATENATE(C89," ",D89)</f>
        <v>WIRTH Romain</v>
      </c>
      <c r="D115" s="352" t="e">
        <f>VALO_PERSO!#REF!</f>
        <v>#REF!</v>
      </c>
      <c r="E115" s="355" t="e">
        <f>VALO_PERSO!#REF!</f>
        <v>#REF!</v>
      </c>
      <c r="F115" s="356" t="e">
        <f>VALO_PERSO!#REF!</f>
        <v>#REF!</v>
      </c>
    </row>
    <row r="116" spans="1:6" s="112" customFormat="1" ht="15.6" customHeight="1" thickBot="1" x14ac:dyDescent="0.3">
      <c r="A116" s="112" t="s">
        <v>816</v>
      </c>
      <c r="B116" s="361" t="e">
        <f>VALO_PERSO!#REF!</f>
        <v>#REF!</v>
      </c>
      <c r="C116" s="352" t="str">
        <f>CONCATENATE(C90," ",D90)</f>
        <v>CILES Grégoire</v>
      </c>
      <c r="D116" s="352" t="e">
        <f>VALO_PERSO!#REF!</f>
        <v>#REF!</v>
      </c>
      <c r="E116" s="355" t="e">
        <f>VALO_PERSO!#REF!</f>
        <v>#REF!</v>
      </c>
      <c r="F116" s="356" t="e">
        <f>VALO_PERSO!#REF!</f>
        <v>#REF!</v>
      </c>
    </row>
    <row r="117" spans="1:6" s="112" customFormat="1" ht="15.6" customHeight="1" thickBot="1" x14ac:dyDescent="0.3">
      <c r="A117" s="112" t="s">
        <v>816</v>
      </c>
      <c r="B117" s="361" t="e">
        <f>VALO_PERSO!#REF!</f>
        <v>#REF!</v>
      </c>
      <c r="C117" s="352" t="str">
        <f>CONCATENATE(C88," ",D88)</f>
        <v>LA CORTE Matias</v>
      </c>
      <c r="D117" s="352" t="e">
        <f>VALO_PERSO!#REF!</f>
        <v>#REF!</v>
      </c>
      <c r="E117" s="355" t="e">
        <f>VALO_PERSO!#REF!</f>
        <v>#REF!</v>
      </c>
      <c r="F117" s="356" t="e">
        <f>VALO_PERSO!#REF!</f>
        <v>#REF!</v>
      </c>
    </row>
    <row r="118" spans="1:6" s="112" customFormat="1" ht="15.6" customHeight="1" thickBot="1" x14ac:dyDescent="0.3">
      <c r="A118" s="112" t="s">
        <v>816</v>
      </c>
      <c r="B118" s="361" t="e">
        <f>VALO_PERSO!#REF!</f>
        <v>#REF!</v>
      </c>
      <c r="C118" s="352" t="str">
        <f>CONCATENATE(C89," ",D89)</f>
        <v>WIRTH Romain</v>
      </c>
      <c r="D118" s="352" t="e">
        <f>VALO_PERSO!#REF!</f>
        <v>#REF!</v>
      </c>
      <c r="E118" s="355" t="e">
        <f>VALO_PERSO!#REF!</f>
        <v>#REF!</v>
      </c>
      <c r="F118" s="356" t="e">
        <f>VALO_PERSO!#REF!</f>
        <v>#REF!</v>
      </c>
    </row>
    <row r="119" spans="1:6" s="112" customFormat="1" ht="15.6" customHeight="1" thickBot="1" x14ac:dyDescent="0.3">
      <c r="A119" s="112" t="s">
        <v>816</v>
      </c>
      <c r="B119" s="361" t="e">
        <f>VALO_PERSO!#REF!</f>
        <v>#REF!</v>
      </c>
      <c r="C119" s="352" t="str">
        <f>CONCATENATE(C89," ",D89)</f>
        <v>WIRTH Romain</v>
      </c>
      <c r="D119" s="352" t="e">
        <f>VALO_PERSO!#REF!</f>
        <v>#REF!</v>
      </c>
      <c r="E119" s="355" t="e">
        <f>VALO_PERSO!#REF!</f>
        <v>#REF!</v>
      </c>
      <c r="F119" s="356" t="e">
        <f>VALO_PERSO!#REF!</f>
        <v>#REF!</v>
      </c>
    </row>
    <row r="120" spans="1:6" s="112" customFormat="1" ht="15.6" customHeight="1" thickBot="1" x14ac:dyDescent="0.3">
      <c r="A120" s="112" t="s">
        <v>816</v>
      </c>
      <c r="B120" s="361" t="e">
        <f>VALO_PERSO!#REF!</f>
        <v>#REF!</v>
      </c>
      <c r="C120" s="352" t="str">
        <f>CONCATENATE(C90," ",D90)</f>
        <v>CILES Grégoire</v>
      </c>
      <c r="D120" s="352" t="e">
        <f>VALO_PERSO!#REF!</f>
        <v>#REF!</v>
      </c>
      <c r="E120" s="355" t="e">
        <f>VALO_PERSO!#REF!</f>
        <v>#REF!</v>
      </c>
      <c r="F120" s="356" t="e">
        <f>VALO_PERSO!#REF!</f>
        <v>#REF!</v>
      </c>
    </row>
    <row r="121" spans="1:6" s="112" customFormat="1" ht="15.6" customHeight="1" thickBot="1" x14ac:dyDescent="0.3">
      <c r="A121" s="112" t="s">
        <v>816</v>
      </c>
      <c r="B121" s="361" t="e">
        <f>VALO_PERSO!#REF!</f>
        <v>#REF!</v>
      </c>
      <c r="C121" s="352" t="str">
        <f>CONCATENATE(C88," ",D88)</f>
        <v>LA CORTE Matias</v>
      </c>
      <c r="D121" s="352" t="e">
        <f>VALO_PERSO!#REF!</f>
        <v>#REF!</v>
      </c>
      <c r="E121" s="355" t="e">
        <f>VALO_PERSO!#REF!</f>
        <v>#REF!</v>
      </c>
      <c r="F121" s="356" t="e">
        <f>VALO_PERSO!#REF!</f>
        <v>#REF!</v>
      </c>
    </row>
    <row r="122" spans="1:6" s="112" customFormat="1" ht="15.6" customHeight="1" thickBot="1" x14ac:dyDescent="0.3">
      <c r="A122" s="112" t="s">
        <v>816</v>
      </c>
      <c r="B122" s="361" t="e">
        <f>VALO_PERSO!#REF!</f>
        <v>#REF!</v>
      </c>
      <c r="C122" s="352" t="str">
        <f>CONCATENATE(C89," ",D89)</f>
        <v>WIRTH Romain</v>
      </c>
      <c r="D122" s="352" t="e">
        <f>VALO_PERSO!#REF!</f>
        <v>#REF!</v>
      </c>
      <c r="E122" s="355" t="e">
        <f>VALO_PERSO!#REF!</f>
        <v>#REF!</v>
      </c>
      <c r="F122" s="356" t="e">
        <f>VALO_PERSO!#REF!</f>
        <v>#REF!</v>
      </c>
    </row>
    <row r="123" spans="1:6" s="112" customFormat="1" ht="15.6" customHeight="1" thickBot="1" x14ac:dyDescent="0.3">
      <c r="A123" s="112" t="s">
        <v>816</v>
      </c>
      <c r="B123" s="361" t="e">
        <f>VALO_PERSO!#REF!</f>
        <v>#REF!</v>
      </c>
      <c r="C123" s="352" t="str">
        <f>CONCATENATE(C89," ",D89)</f>
        <v>WIRTH Romain</v>
      </c>
      <c r="D123" s="352" t="e">
        <f>VALO_PERSO!#REF!</f>
        <v>#REF!</v>
      </c>
      <c r="E123" s="355" t="e">
        <f>VALO_PERSO!#REF!</f>
        <v>#REF!</v>
      </c>
      <c r="F123" s="356" t="e">
        <f>VALO_PERSO!#REF!</f>
        <v>#REF!</v>
      </c>
    </row>
    <row r="124" spans="1:6" s="112" customFormat="1" ht="15.6" customHeight="1" thickBot="1" x14ac:dyDescent="0.3">
      <c r="A124" s="112" t="s">
        <v>816</v>
      </c>
      <c r="B124" s="361" t="e">
        <f>VALO_PERSO!#REF!</f>
        <v>#REF!</v>
      </c>
      <c r="C124" s="352" t="str">
        <f>CONCATENATE(C90," ",D90)</f>
        <v>CILES Grégoire</v>
      </c>
      <c r="D124" s="352" t="e">
        <f>VALO_PERSO!#REF!</f>
        <v>#REF!</v>
      </c>
      <c r="E124" s="355" t="e">
        <f>VALO_PERSO!#REF!</f>
        <v>#REF!</v>
      </c>
      <c r="F124" s="356" t="e">
        <f>VALO_PERSO!#REF!</f>
        <v>#REF!</v>
      </c>
    </row>
    <row r="125" spans="1:6" s="112" customFormat="1" ht="15.6" customHeight="1" thickBot="1" x14ac:dyDescent="0.3">
      <c r="A125" s="112" t="s">
        <v>816</v>
      </c>
      <c r="B125" s="361" t="e">
        <f>VALO_PERSO!#REF!</f>
        <v>#REF!</v>
      </c>
      <c r="C125" s="352" t="str">
        <f>CONCATENATE(C88," ",D88)</f>
        <v>LA CORTE Matias</v>
      </c>
      <c r="D125" s="352" t="e">
        <f>VALO_PERSO!#REF!</f>
        <v>#REF!</v>
      </c>
      <c r="E125" s="355" t="e">
        <f>VALO_PERSO!#REF!</f>
        <v>#REF!</v>
      </c>
      <c r="F125" s="356" t="e">
        <f>VALO_PERSO!#REF!</f>
        <v>#REF!</v>
      </c>
    </row>
    <row r="126" spans="1:6" s="112" customFormat="1" ht="15.6" customHeight="1" thickBot="1" x14ac:dyDescent="0.3">
      <c r="A126" s="112" t="s">
        <v>816</v>
      </c>
      <c r="B126" s="361" t="e">
        <f>VALO_PERSO!#REF!</f>
        <v>#REF!</v>
      </c>
      <c r="C126" s="352" t="str">
        <f>CONCATENATE(C89," ",D89)</f>
        <v>WIRTH Romain</v>
      </c>
      <c r="D126" s="352" t="e">
        <f>VALO_PERSO!#REF!</f>
        <v>#REF!</v>
      </c>
      <c r="E126" s="355" t="e">
        <f>VALO_PERSO!#REF!</f>
        <v>#REF!</v>
      </c>
      <c r="F126" s="356" t="e">
        <f>VALO_PERSO!#REF!</f>
        <v>#REF!</v>
      </c>
    </row>
    <row r="127" spans="1:6" s="112" customFormat="1" ht="15.6" customHeight="1" thickBot="1" x14ac:dyDescent="0.3">
      <c r="A127" s="112" t="s">
        <v>816</v>
      </c>
      <c r="B127" s="361" t="e">
        <f>VALO_PERSO!#REF!</f>
        <v>#REF!</v>
      </c>
      <c r="C127" s="352" t="str">
        <f>CONCATENATE(C89," ",D89)</f>
        <v>WIRTH Romain</v>
      </c>
      <c r="D127" s="352" t="e">
        <f>VALO_PERSO!#REF!</f>
        <v>#REF!</v>
      </c>
      <c r="E127" s="355" t="e">
        <f>VALO_PERSO!#REF!</f>
        <v>#REF!</v>
      </c>
      <c r="F127" s="356" t="e">
        <f>VALO_PERSO!#REF!</f>
        <v>#REF!</v>
      </c>
    </row>
    <row r="128" spans="1:6" s="112" customFormat="1" ht="15.6" customHeight="1" thickBot="1" x14ac:dyDescent="0.3">
      <c r="A128" s="112" t="s">
        <v>816</v>
      </c>
      <c r="B128" s="361" t="e">
        <f>VALO_PERSO!#REF!</f>
        <v>#REF!</v>
      </c>
      <c r="C128" s="352" t="str">
        <f>CONCATENATE(C90," ",D90)</f>
        <v>CILES Grégoire</v>
      </c>
      <c r="D128" s="352" t="e">
        <f>VALO_PERSO!#REF!</f>
        <v>#REF!</v>
      </c>
      <c r="E128" s="355" t="e">
        <f>VALO_PERSO!#REF!</f>
        <v>#REF!</v>
      </c>
      <c r="F128" s="356" t="e">
        <f>VALO_PERSO!#REF!</f>
        <v>#REF!</v>
      </c>
    </row>
    <row r="129" spans="1:6" s="112" customFormat="1" ht="15.6" customHeight="1" thickBot="1" x14ac:dyDescent="0.3">
      <c r="A129" s="112" t="s">
        <v>816</v>
      </c>
      <c r="B129" s="361" t="e">
        <f>VALO_PERSO!#REF!</f>
        <v>#REF!</v>
      </c>
      <c r="C129" s="352" t="str">
        <f>CONCATENATE(C88," ",D88)</f>
        <v>LA CORTE Matias</v>
      </c>
      <c r="D129" s="352" t="e">
        <f>VALO_PERSO!#REF!</f>
        <v>#REF!</v>
      </c>
      <c r="E129" s="355" t="e">
        <f>VALO_PERSO!#REF!</f>
        <v>#REF!</v>
      </c>
      <c r="F129" s="356" t="e">
        <f>VALO_PERSO!#REF!</f>
        <v>#REF!</v>
      </c>
    </row>
    <row r="130" spans="1:6" s="112" customFormat="1" ht="15.6" customHeight="1" thickBot="1" x14ac:dyDescent="0.3">
      <c r="A130" s="112" t="s">
        <v>816</v>
      </c>
      <c r="B130" s="361" t="e">
        <f>VALO_PERSO!#REF!</f>
        <v>#REF!</v>
      </c>
      <c r="C130" s="352" t="str">
        <f>CONCATENATE(C89," ",D89)</f>
        <v>WIRTH Romain</v>
      </c>
      <c r="D130" s="352" t="e">
        <f>VALO_PERSO!#REF!</f>
        <v>#REF!</v>
      </c>
      <c r="E130" s="355" t="e">
        <f>VALO_PERSO!#REF!</f>
        <v>#REF!</v>
      </c>
      <c r="F130" s="356" t="e">
        <f>VALO_PERSO!#REF!</f>
        <v>#REF!</v>
      </c>
    </row>
    <row r="131" spans="1:6" s="112" customFormat="1" ht="15.6" customHeight="1" thickBot="1" x14ac:dyDescent="0.3">
      <c r="A131" s="112" t="s">
        <v>816</v>
      </c>
      <c r="B131" s="361" t="e">
        <f>VALO_PERSO!#REF!</f>
        <v>#REF!</v>
      </c>
      <c r="C131" s="352" t="str">
        <f>CONCATENATE(C89," ",D89)</f>
        <v>WIRTH Romain</v>
      </c>
      <c r="D131" s="352" t="e">
        <f>VALO_PERSO!#REF!</f>
        <v>#REF!</v>
      </c>
      <c r="E131" s="355" t="e">
        <f>VALO_PERSO!#REF!</f>
        <v>#REF!</v>
      </c>
      <c r="F131" s="356" t="e">
        <f>VALO_PERSO!#REF!</f>
        <v>#REF!</v>
      </c>
    </row>
    <row r="132" spans="1:6" s="112" customFormat="1" ht="15.6" customHeight="1" thickBot="1" x14ac:dyDescent="0.3">
      <c r="A132" s="112" t="s">
        <v>816</v>
      </c>
      <c r="B132" s="361" t="e">
        <f>VALO_PERSO!#REF!</f>
        <v>#REF!</v>
      </c>
      <c r="C132" s="352" t="str">
        <f>CONCATENATE(C90," ",D90)</f>
        <v>CILES Grégoire</v>
      </c>
      <c r="D132" s="352" t="e">
        <f>VALO_PERSO!#REF!</f>
        <v>#REF!</v>
      </c>
      <c r="E132" s="355" t="e">
        <f>VALO_PERSO!#REF!</f>
        <v>#REF!</v>
      </c>
      <c r="F132" s="356" t="e">
        <f>VALO_PERSO!#REF!</f>
        <v>#REF!</v>
      </c>
    </row>
    <row r="133" spans="1:6" s="112" customFormat="1" ht="15.6" customHeight="1" thickBot="1" x14ac:dyDescent="0.3">
      <c r="A133" s="112" t="s">
        <v>816</v>
      </c>
      <c r="B133" s="361" t="e">
        <f>VALO_PERSO!#REF!</f>
        <v>#REF!</v>
      </c>
      <c r="C133" s="352" t="str">
        <f>CONCATENATE(C88," ",D88)</f>
        <v>LA CORTE Matias</v>
      </c>
      <c r="D133" s="352" t="e">
        <f>VALO_PERSO!#REF!</f>
        <v>#REF!</v>
      </c>
      <c r="E133" s="355" t="e">
        <f>VALO_PERSO!#REF!</f>
        <v>#REF!</v>
      </c>
      <c r="F133" s="356" t="e">
        <f>VALO_PERSO!#REF!</f>
        <v>#REF!</v>
      </c>
    </row>
    <row r="134" spans="1:6" s="112" customFormat="1" ht="15.6" customHeight="1" thickBot="1" x14ac:dyDescent="0.3">
      <c r="A134" s="112" t="s">
        <v>816</v>
      </c>
      <c r="B134" s="361" t="e">
        <f>VALO_PERSO!#REF!</f>
        <v>#REF!</v>
      </c>
      <c r="C134" s="352" t="str">
        <f>CONCATENATE(C89," ",D89)</f>
        <v>WIRTH Romain</v>
      </c>
      <c r="D134" s="352" t="e">
        <f>VALO_PERSO!#REF!</f>
        <v>#REF!</v>
      </c>
      <c r="E134" s="355" t="e">
        <f>VALO_PERSO!#REF!</f>
        <v>#REF!</v>
      </c>
      <c r="F134" s="356" t="e">
        <f>VALO_PERSO!#REF!</f>
        <v>#REF!</v>
      </c>
    </row>
    <row r="135" spans="1:6" s="112" customFormat="1" ht="15.6" customHeight="1" thickBot="1" x14ac:dyDescent="0.3">
      <c r="A135" s="112" t="s">
        <v>816</v>
      </c>
      <c r="B135" s="361" t="e">
        <f>VALO_PERSO!#REF!</f>
        <v>#REF!</v>
      </c>
      <c r="C135" s="352" t="str">
        <f>CONCATENATE(C89," ",D89)</f>
        <v>WIRTH Romain</v>
      </c>
      <c r="D135" s="352" t="e">
        <f>VALO_PERSO!#REF!</f>
        <v>#REF!</v>
      </c>
      <c r="E135" s="355" t="e">
        <f>VALO_PERSO!#REF!</f>
        <v>#REF!</v>
      </c>
      <c r="F135" s="356" t="e">
        <f>VALO_PERSO!#REF!</f>
        <v>#REF!</v>
      </c>
    </row>
    <row r="136" spans="1:6" s="112" customFormat="1" ht="15.6" customHeight="1" thickBot="1" x14ac:dyDescent="0.3">
      <c r="A136" s="112" t="s">
        <v>816</v>
      </c>
      <c r="B136" s="361" t="e">
        <f>VALO_PERSO!#REF!</f>
        <v>#REF!</v>
      </c>
      <c r="C136" s="352" t="str">
        <f>CONCATENATE(C90," ",D90)</f>
        <v>CILES Grégoire</v>
      </c>
      <c r="D136" s="352" t="e">
        <f>VALO_PERSO!#REF!</f>
        <v>#REF!</v>
      </c>
      <c r="E136" s="355" t="e">
        <f>VALO_PERSO!#REF!</f>
        <v>#REF!</v>
      </c>
      <c r="F136" s="356" t="e">
        <f>VALO_PERSO!#REF!</f>
        <v>#REF!</v>
      </c>
    </row>
    <row r="137" spans="1:6" s="112" customFormat="1" ht="15.6" customHeight="1" thickBot="1" x14ac:dyDescent="0.3">
      <c r="A137" s="112" t="s">
        <v>816</v>
      </c>
      <c r="B137" s="361" t="e">
        <f>VALO_PERSO!#REF!</f>
        <v>#REF!</v>
      </c>
      <c r="C137" s="352" t="str">
        <f>CONCATENATE(C88," ",D88)</f>
        <v>LA CORTE Matias</v>
      </c>
      <c r="D137" s="352" t="e">
        <f>VALO_PERSO!#REF!</f>
        <v>#REF!</v>
      </c>
      <c r="E137" s="355" t="e">
        <f>VALO_PERSO!#REF!</f>
        <v>#REF!</v>
      </c>
      <c r="F137" s="356" t="e">
        <f>VALO_PERSO!#REF!</f>
        <v>#REF!</v>
      </c>
    </row>
    <row r="138" spans="1:6" s="112" customFormat="1" ht="15.6" customHeight="1" thickBot="1" x14ac:dyDescent="0.3">
      <c r="A138" s="112" t="s">
        <v>816</v>
      </c>
      <c r="B138" s="361" t="e">
        <f>VALO_PERSO!#REF!</f>
        <v>#REF!</v>
      </c>
      <c r="C138" s="352" t="str">
        <f>CONCATENATE(C89," ",D89)</f>
        <v>WIRTH Romain</v>
      </c>
      <c r="D138" s="352" t="e">
        <f>VALO_PERSO!#REF!</f>
        <v>#REF!</v>
      </c>
      <c r="E138" s="355" t="e">
        <f>VALO_PERSO!#REF!</f>
        <v>#REF!</v>
      </c>
      <c r="F138" s="356" t="e">
        <f>VALO_PERSO!#REF!</f>
        <v>#REF!</v>
      </c>
    </row>
    <row r="139" spans="1:6" s="112" customFormat="1" ht="15.6" customHeight="1" thickBot="1" x14ac:dyDescent="0.3">
      <c r="A139" s="112" t="s">
        <v>816</v>
      </c>
      <c r="B139" s="361" t="e">
        <f>VALO_PERSO!#REF!</f>
        <v>#REF!</v>
      </c>
      <c r="C139" s="352" t="str">
        <f>CONCATENATE(C89," ",D89)</f>
        <v>WIRTH Romain</v>
      </c>
      <c r="D139" s="352" t="e">
        <f>VALO_PERSO!#REF!</f>
        <v>#REF!</v>
      </c>
      <c r="E139" s="355" t="e">
        <f>VALO_PERSO!#REF!</f>
        <v>#REF!</v>
      </c>
      <c r="F139" s="356" t="e">
        <f>VALO_PERSO!#REF!</f>
        <v>#REF!</v>
      </c>
    </row>
    <row r="140" spans="1:6" s="112" customFormat="1" ht="15.6" customHeight="1" thickBot="1" x14ac:dyDescent="0.3">
      <c r="A140" s="112" t="s">
        <v>816</v>
      </c>
      <c r="B140" s="361" t="e">
        <f>VALO_PERSO!#REF!</f>
        <v>#REF!</v>
      </c>
      <c r="C140" s="352" t="str">
        <f>CONCATENATE(C90," ",D90)</f>
        <v>CILES Grégoire</v>
      </c>
      <c r="D140" s="352" t="e">
        <f>VALO_PERSO!#REF!</f>
        <v>#REF!</v>
      </c>
      <c r="E140" s="355" t="e">
        <f>VALO_PERSO!#REF!</f>
        <v>#REF!</v>
      </c>
      <c r="F140" s="356" t="e">
        <f>VALO_PERSO!#REF!</f>
        <v>#REF!</v>
      </c>
    </row>
    <row r="141" spans="1:6" s="112" customFormat="1" ht="15.6" customHeight="1" thickBot="1" x14ac:dyDescent="0.3">
      <c r="A141" s="112" t="s">
        <v>816</v>
      </c>
      <c r="B141" s="361" t="e">
        <f>VALO_PERSO!#REF!</f>
        <v>#REF!</v>
      </c>
      <c r="C141" s="352" t="str">
        <f>CONCATENATE(C88," ",D88)</f>
        <v>LA CORTE Matias</v>
      </c>
      <c r="D141" s="352" t="e">
        <f>VALO_PERSO!#REF!</f>
        <v>#REF!</v>
      </c>
      <c r="E141" s="355" t="e">
        <f>VALO_PERSO!#REF!</f>
        <v>#REF!</v>
      </c>
      <c r="F141" s="356" t="e">
        <f>VALO_PERSO!#REF!</f>
        <v>#REF!</v>
      </c>
    </row>
    <row r="142" spans="1:6" s="112" customFormat="1" ht="15.6" customHeight="1" thickBot="1" x14ac:dyDescent="0.3">
      <c r="A142" s="112" t="s">
        <v>816</v>
      </c>
      <c r="B142" s="361" t="e">
        <f>VALO_PERSO!#REF!</f>
        <v>#REF!</v>
      </c>
      <c r="C142" s="352" t="str">
        <f>CONCATENATE(C89," ",D89)</f>
        <v>WIRTH Romain</v>
      </c>
      <c r="D142" s="352" t="e">
        <f>VALO_PERSO!#REF!</f>
        <v>#REF!</v>
      </c>
      <c r="E142" s="355" t="e">
        <f>VALO_PERSO!#REF!</f>
        <v>#REF!</v>
      </c>
      <c r="F142" s="356" t="e">
        <f>VALO_PERSO!#REF!</f>
        <v>#REF!</v>
      </c>
    </row>
    <row r="143" spans="1:6" s="112" customFormat="1" ht="15.6" customHeight="1" thickBot="1" x14ac:dyDescent="0.3">
      <c r="A143" s="112" t="s">
        <v>816</v>
      </c>
      <c r="B143" s="361" t="e">
        <f>VALO_PERSO!#REF!</f>
        <v>#REF!</v>
      </c>
      <c r="C143" s="352" t="str">
        <f>CONCATENATE(C89," ",D89)</f>
        <v>WIRTH Romain</v>
      </c>
      <c r="D143" s="352" t="e">
        <f>VALO_PERSO!#REF!</f>
        <v>#REF!</v>
      </c>
      <c r="E143" s="355" t="e">
        <f>VALO_PERSO!#REF!</f>
        <v>#REF!</v>
      </c>
      <c r="F143" s="356" t="e">
        <f>VALO_PERSO!#REF!</f>
        <v>#REF!</v>
      </c>
    </row>
    <row r="144" spans="1:6" s="112" customFormat="1" ht="15.6" customHeight="1" thickBot="1" x14ac:dyDescent="0.3">
      <c r="A144" s="112" t="s">
        <v>816</v>
      </c>
      <c r="B144" s="361" t="e">
        <f>VALO_PERSO!#REF!</f>
        <v>#REF!</v>
      </c>
      <c r="C144" s="352" t="str">
        <f>CONCATENATE(C90," ",D90)</f>
        <v>CILES Grégoire</v>
      </c>
      <c r="D144" s="352" t="e">
        <f>VALO_PERSO!#REF!</f>
        <v>#REF!</v>
      </c>
      <c r="E144" s="355" t="e">
        <f>VALO_PERSO!#REF!</f>
        <v>#REF!</v>
      </c>
      <c r="F144" s="356" t="e">
        <f>VALO_PERSO!#REF!</f>
        <v>#REF!</v>
      </c>
    </row>
    <row r="145" spans="1:20" s="112" customFormat="1" ht="15.6" customHeight="1" thickBot="1" x14ac:dyDescent="0.3">
      <c r="A145" s="112" t="s">
        <v>816</v>
      </c>
      <c r="B145" s="361" t="e">
        <f>VALO_PERSO!#REF!</f>
        <v>#REF!</v>
      </c>
      <c r="C145" s="352" t="str">
        <f>CONCATENATE(C88," ",D88)</f>
        <v>LA CORTE Matias</v>
      </c>
      <c r="D145" s="352" t="e">
        <f>VALO_PERSO!#REF!</f>
        <v>#REF!</v>
      </c>
      <c r="E145" s="355" t="e">
        <f>VALO_PERSO!#REF!</f>
        <v>#REF!</v>
      </c>
      <c r="F145" s="356" t="e">
        <f>VALO_PERSO!#REF!</f>
        <v>#REF!</v>
      </c>
    </row>
    <row r="146" spans="1:20" s="112" customFormat="1" ht="15.6" customHeight="1" thickBot="1" x14ac:dyDescent="0.3">
      <c r="A146" s="112" t="s">
        <v>816</v>
      </c>
      <c r="B146" s="361" t="e">
        <f>VALO_PERSO!#REF!</f>
        <v>#REF!</v>
      </c>
      <c r="C146" s="352" t="str">
        <f>CONCATENATE(C89," ",D89)</f>
        <v>WIRTH Romain</v>
      </c>
      <c r="D146" s="352" t="e">
        <f>VALO_PERSO!#REF!</f>
        <v>#REF!</v>
      </c>
      <c r="E146" s="355" t="e">
        <f>VALO_PERSO!#REF!</f>
        <v>#REF!</v>
      </c>
      <c r="F146" s="356" t="e">
        <f>VALO_PERSO!#REF!</f>
        <v>#REF!</v>
      </c>
    </row>
    <row r="147" spans="1:20" s="112" customFormat="1" ht="15.6" customHeight="1" thickBot="1" x14ac:dyDescent="0.3">
      <c r="A147" s="112" t="s">
        <v>816</v>
      </c>
      <c r="B147" s="361" t="e">
        <f>VALO_PERSO!#REF!</f>
        <v>#REF!</v>
      </c>
      <c r="C147" s="352" t="str">
        <f>CONCATENATE(C89," ",D89)</f>
        <v>WIRTH Romain</v>
      </c>
      <c r="D147" s="352" t="e">
        <f>VALO_PERSO!#REF!</f>
        <v>#REF!</v>
      </c>
      <c r="E147" s="355" t="e">
        <f>VALO_PERSO!#REF!</f>
        <v>#REF!</v>
      </c>
      <c r="F147" s="356" t="e">
        <f>VALO_PERSO!#REF!</f>
        <v>#REF!</v>
      </c>
    </row>
    <row r="148" spans="1:20" s="112" customFormat="1" ht="15.6" customHeight="1" thickBot="1" x14ac:dyDescent="0.3">
      <c r="A148" s="112" t="s">
        <v>816</v>
      </c>
      <c r="B148" s="361" t="e">
        <f>VALO_PERSO!#REF!</f>
        <v>#REF!</v>
      </c>
      <c r="C148" s="352" t="str">
        <f>CONCATENATE(C90," ",D90)</f>
        <v>CILES Grégoire</v>
      </c>
      <c r="D148" s="352" t="e">
        <f>VALO_PERSO!#REF!</f>
        <v>#REF!</v>
      </c>
      <c r="E148" s="355" t="e">
        <f>VALO_PERSO!#REF!</f>
        <v>#REF!</v>
      </c>
      <c r="F148" s="356" t="e">
        <f>VALO_PERSO!#REF!</f>
        <v>#REF!</v>
      </c>
    </row>
    <row r="149" spans="1:20" s="112" customFormat="1" ht="15.75" thickBot="1" x14ac:dyDescent="0.3">
      <c r="B149" s="361">
        <f>VALO_PERSO!F6</f>
        <v>2</v>
      </c>
      <c r="C149" s="352" t="str">
        <f t="shared" ref="C149:C162" si="0">CONCATENATE(C87," ",D87)</f>
        <v>GASPERIN Anthony</v>
      </c>
      <c r="D149" s="352" t="str">
        <f>VALO_PERSO!I6</f>
        <v>Lead Developer</v>
      </c>
      <c r="E149" s="355">
        <f>VALO_PERSO!Y6</f>
        <v>0</v>
      </c>
      <c r="F149" s="356">
        <f>VALO_PERSO!AN6</f>
        <v>0</v>
      </c>
    </row>
    <row r="150" spans="1:20" s="112" customFormat="1" ht="15.75" thickBot="1" x14ac:dyDescent="0.3">
      <c r="B150" s="361">
        <f>VALO_PERSO!F7</f>
        <v>5</v>
      </c>
      <c r="C150" s="352" t="str">
        <f t="shared" si="0"/>
        <v>LA CORTE Matias</v>
      </c>
      <c r="D150" s="352" t="str">
        <f>VALO_PERSO!I7</f>
        <v>Apprenti</v>
      </c>
      <c r="E150" s="355">
        <f>VALO_PERSO!Y7</f>
        <v>0</v>
      </c>
      <c r="F150" s="356">
        <f>VALO_PERSO!AN7</f>
        <v>0</v>
      </c>
    </row>
    <row r="151" spans="1:20" s="112" customFormat="1" ht="15.75" thickBot="1" x14ac:dyDescent="0.3">
      <c r="B151" s="361">
        <f>VALO_PERSO!F8</f>
        <v>9</v>
      </c>
      <c r="C151" s="352" t="str">
        <f t="shared" si="0"/>
        <v>WIRTH Romain</v>
      </c>
      <c r="D151" s="352" t="str">
        <f>VALO_PERSO!I8</f>
        <v>Développeur Full Stack</v>
      </c>
      <c r="E151" s="355">
        <f>VALO_PERSO!Y8</f>
        <v>0</v>
      </c>
      <c r="F151" s="356">
        <f>VALO_PERSO!AN8</f>
        <v>0</v>
      </c>
    </row>
    <row r="152" spans="1:20" s="112" customFormat="1" ht="15.75" thickBot="1" x14ac:dyDescent="0.3">
      <c r="B152" s="361">
        <f>VALO_PERSO!F9</f>
        <v>10</v>
      </c>
      <c r="C152" s="352" t="str">
        <f t="shared" si="0"/>
        <v>CILES Grégoire</v>
      </c>
      <c r="D152" s="352" t="str">
        <f>VALO_PERSO!I9</f>
        <v>Développeur Full Stack</v>
      </c>
      <c r="E152" s="355">
        <f>VALO_PERSO!Y9</f>
        <v>0</v>
      </c>
      <c r="F152" s="356">
        <f>VALO_PERSO!AN9</f>
        <v>0</v>
      </c>
    </row>
    <row r="153" spans="1:20" s="112" customFormat="1" ht="15.75" thickBot="1" x14ac:dyDescent="0.3">
      <c r="B153" s="361">
        <f>VALO_PERSO!F10</f>
        <v>12</v>
      </c>
      <c r="C153" s="352" t="str">
        <f t="shared" si="0"/>
        <v>RALANTOARISON Osée</v>
      </c>
      <c r="D153" s="352" t="str">
        <f>VALO_PERSO!I10</f>
        <v>Développeur Full Stack</v>
      </c>
      <c r="E153" s="355">
        <f>VALO_PERSO!Y10</f>
        <v>0</v>
      </c>
      <c r="F153" s="356">
        <f>VALO_PERSO!AN10</f>
        <v>0</v>
      </c>
    </row>
    <row r="154" spans="1:20" s="112" customFormat="1" ht="15.75" thickBot="1" x14ac:dyDescent="0.3">
      <c r="B154" s="361" t="e">
        <f>VALO_PERSO!#REF!</f>
        <v>#REF!</v>
      </c>
      <c r="C154" s="352" t="e">
        <f t="shared" si="0"/>
        <v>#REF!</v>
      </c>
      <c r="D154" s="352" t="e">
        <f>VALO_PERSO!#REF!</f>
        <v>#REF!</v>
      </c>
      <c r="E154" s="355" t="e">
        <f>VALO_PERSO!#REF!</f>
        <v>#REF!</v>
      </c>
      <c r="F154" s="356" t="e">
        <f>VALO_PERSO!#REF!</f>
        <v>#REF!</v>
      </c>
    </row>
    <row r="155" spans="1:20" s="112" customFormat="1" ht="15.75" thickBot="1" x14ac:dyDescent="0.3">
      <c r="B155" s="361" t="e">
        <f>VALO_PERSO!#REF!</f>
        <v>#REF!</v>
      </c>
      <c r="C155" s="352" t="e">
        <f t="shared" si="0"/>
        <v>#REF!</v>
      </c>
      <c r="D155" s="352" t="e">
        <f>VALO_PERSO!#REF!</f>
        <v>#REF!</v>
      </c>
      <c r="E155" s="355" t="e">
        <f>VALO_PERSO!#REF!</f>
        <v>#REF!</v>
      </c>
      <c r="F155" s="356" t="e">
        <f>VALO_PERSO!#REF!</f>
        <v>#REF!</v>
      </c>
    </row>
    <row r="156" spans="1:20" s="112" customFormat="1" ht="15.75" thickBot="1" x14ac:dyDescent="0.3">
      <c r="B156" s="361">
        <f>VALO_PERSO!F11</f>
        <v>24</v>
      </c>
      <c r="C156" s="352" t="str">
        <f t="shared" si="0"/>
        <v>KANDIAH Corrège</v>
      </c>
      <c r="D156" s="352" t="str">
        <f>VALO_PERSO!I11</f>
        <v>Apprenti</v>
      </c>
      <c r="E156" s="355">
        <f>VALO_PERSO!Y11</f>
        <v>0</v>
      </c>
      <c r="F156" s="356">
        <f>VALO_PERSO!AN11</f>
        <v>0</v>
      </c>
    </row>
    <row r="157" spans="1:20" s="112" customFormat="1" ht="15.75" thickBot="1" x14ac:dyDescent="0.3">
      <c r="B157" s="361" t="e">
        <f>VALO_PERSO!#REF!</f>
        <v>#REF!</v>
      </c>
      <c r="C157" s="352" t="e">
        <f t="shared" si="0"/>
        <v>#REF!</v>
      </c>
      <c r="D157" s="352" t="e">
        <f>VALO_PERSO!#REF!</f>
        <v>#REF!</v>
      </c>
      <c r="E157" s="355" t="e">
        <f>VALO_PERSO!#REF!</f>
        <v>#REF!</v>
      </c>
      <c r="F157" s="356" t="e">
        <f>VALO_PERSO!#REF!</f>
        <v>#REF!</v>
      </c>
    </row>
    <row r="158" spans="1:20" s="112" customFormat="1" ht="15.75" thickBot="1" x14ac:dyDescent="0.3">
      <c r="B158" s="361" t="e">
        <f>VALO_PERSO!#REF!</f>
        <v>#REF!</v>
      </c>
      <c r="C158" s="352" t="e">
        <f t="shared" si="0"/>
        <v>#REF!</v>
      </c>
      <c r="D158" s="352" t="e">
        <f>VALO_PERSO!#REF!</f>
        <v>#REF!</v>
      </c>
      <c r="E158" s="355" t="e">
        <f>VALO_PERSO!#REF!</f>
        <v>#REF!</v>
      </c>
      <c r="F158" s="356" t="e">
        <f>VALO_PERSO!#REF!</f>
        <v>#REF!</v>
      </c>
    </row>
    <row r="159" spans="1:20" s="112" customFormat="1" ht="15.75" thickBot="1" x14ac:dyDescent="0.3">
      <c r="B159" s="417" t="e">
        <f>VALO_PERSO!#REF!</f>
        <v>#REF!</v>
      </c>
      <c r="C159" s="421" t="e">
        <f t="shared" si="0"/>
        <v>#REF!</v>
      </c>
      <c r="D159" s="421" t="e">
        <f>VALO_PERSO!#REF!</f>
        <v>#REF!</v>
      </c>
      <c r="E159" s="422" t="e">
        <f>VALO_PERSO!#REF!</f>
        <v>#REF!</v>
      </c>
      <c r="F159" s="423" t="e">
        <f>VALO_PERSO!#REF!</f>
        <v>#REF!</v>
      </c>
      <c r="G159" s="414"/>
      <c r="H159" s="414"/>
      <c r="I159" s="414"/>
      <c r="J159" s="414"/>
      <c r="K159" s="414"/>
      <c r="L159" s="414"/>
      <c r="M159" s="414"/>
      <c r="N159" s="414"/>
      <c r="O159" s="414"/>
      <c r="P159" s="414"/>
      <c r="Q159" s="414"/>
      <c r="R159" s="414"/>
      <c r="S159" s="414"/>
      <c r="T159" s="414"/>
    </row>
    <row r="160" spans="1:20" s="112" customFormat="1" ht="15.75" thickBot="1" x14ac:dyDescent="0.3">
      <c r="B160" s="361" t="e">
        <f>VALO_PERSO!#REF!</f>
        <v>#REF!</v>
      </c>
      <c r="C160" s="352" t="e">
        <f t="shared" si="0"/>
        <v>#REF!</v>
      </c>
      <c r="D160" s="352" t="e">
        <f>VALO_PERSO!#REF!</f>
        <v>#REF!</v>
      </c>
      <c r="E160" s="355" t="e">
        <f>VALO_PERSO!#REF!</f>
        <v>#REF!</v>
      </c>
      <c r="F160" s="356" t="e">
        <f>VALO_PERSO!#REF!</f>
        <v>#REF!</v>
      </c>
    </row>
    <row r="161" spans="1:36" s="112" customFormat="1" ht="15.75" thickBot="1" x14ac:dyDescent="0.3">
      <c r="B161" s="361" t="e">
        <f>VALO_PERSO!#REF!</f>
        <v>#REF!</v>
      </c>
      <c r="C161" s="352" t="e">
        <f t="shared" si="0"/>
        <v>#REF!</v>
      </c>
      <c r="D161" s="352" t="e">
        <f>VALO_PERSO!#REF!</f>
        <v>#REF!</v>
      </c>
      <c r="E161" s="355" t="e">
        <f>VALO_PERSO!#REF!</f>
        <v>#REF!</v>
      </c>
      <c r="F161" s="356" t="e">
        <f>VALO_PERSO!#REF!</f>
        <v>#REF!</v>
      </c>
    </row>
    <row r="162" spans="1:36" s="112" customFormat="1" ht="15.75" thickBot="1" x14ac:dyDescent="0.3">
      <c r="B162" s="361" t="e">
        <f>VALO_PERSO!#REF!</f>
        <v>#REF!</v>
      </c>
      <c r="C162" s="352" t="e">
        <f t="shared" si="0"/>
        <v>#REF!</v>
      </c>
      <c r="D162" s="352" t="e">
        <f>VALO_PERSO!#REF!</f>
        <v>#REF!</v>
      </c>
      <c r="E162" s="355" t="e">
        <f>VALO_PERSO!#REF!</f>
        <v>#REF!</v>
      </c>
      <c r="F162" s="356" t="e">
        <f>VALO_PERSO!#REF!</f>
        <v>#REF!</v>
      </c>
    </row>
    <row r="163" spans="1:36" s="112" customFormat="1" ht="15.75" thickBot="1" x14ac:dyDescent="0.3">
      <c r="B163" s="339"/>
      <c r="C163" s="418" t="s">
        <v>449</v>
      </c>
      <c r="D163" s="420"/>
      <c r="E163" s="362" t="e">
        <f>SUM(E105:E162)</f>
        <v>#REF!</v>
      </c>
      <c r="F163" s="363" t="e">
        <f>SUM(F105:F162)</f>
        <v>#REF!</v>
      </c>
    </row>
    <row r="164" spans="1:36" s="112" customFormat="1" x14ac:dyDescent="0.25">
      <c r="C164" s="351"/>
      <c r="D164" s="351"/>
      <c r="E164" s="351"/>
      <c r="F164" s="351"/>
      <c r="G164" s="351"/>
      <c r="H164" s="351"/>
    </row>
    <row r="165" spans="1:36" s="112" customFormat="1" ht="15.75" thickBot="1" x14ac:dyDescent="0.3">
      <c r="C165" s="351"/>
      <c r="D165" s="351"/>
      <c r="E165" s="351"/>
      <c r="F165" s="351"/>
      <c r="G165" s="351"/>
      <c r="H165" s="351"/>
    </row>
    <row r="166" spans="1:36" s="112" customFormat="1" ht="15.75" thickBot="1" x14ac:dyDescent="0.3">
      <c r="B166" s="339"/>
      <c r="C166" s="559" t="s">
        <v>741</v>
      </c>
      <c r="D166" s="560"/>
      <c r="E166" s="560"/>
      <c r="F166" s="560"/>
    </row>
    <row r="167" spans="1:36" s="112" customFormat="1" ht="36.75" thickBot="1" x14ac:dyDescent="0.3">
      <c r="B167" s="370" t="s">
        <v>366</v>
      </c>
      <c r="C167" s="357" t="s">
        <v>719</v>
      </c>
      <c r="D167" s="358" t="s">
        <v>720</v>
      </c>
      <c r="E167" s="358" t="s">
        <v>721</v>
      </c>
      <c r="F167" s="358" t="s">
        <v>722</v>
      </c>
      <c r="AI167" s="351"/>
      <c r="AJ167" s="351"/>
    </row>
    <row r="168" spans="1:36" s="112" customFormat="1" ht="15.75" thickBot="1" x14ac:dyDescent="0.3">
      <c r="A168" s="112" t="s">
        <v>816</v>
      </c>
      <c r="B168" s="361">
        <f>VALO_PERSO!F5</f>
        <v>1</v>
      </c>
      <c r="C168" s="352" t="str">
        <f t="shared" ref="C168" si="1">CONCATENATE(C43," ",D43)</f>
        <v>PY Elodie</v>
      </c>
      <c r="D168" s="352" t="str">
        <f>VALO_PERSO!I5</f>
        <v>UX DESIGNER</v>
      </c>
      <c r="E168" s="352">
        <f>VALO_PERSO!Y5</f>
        <v>0</v>
      </c>
      <c r="F168" s="352">
        <f>VALO_PERSO!AN5</f>
        <v>0</v>
      </c>
      <c r="H168" s="112" t="s">
        <v>742</v>
      </c>
      <c r="AI168" s="351"/>
      <c r="AJ168" s="351"/>
    </row>
    <row r="169" spans="1:36" s="112" customFormat="1" ht="15.75" thickBot="1" x14ac:dyDescent="0.3">
      <c r="A169" s="112" t="s">
        <v>816</v>
      </c>
      <c r="B169" s="361">
        <f>VALO_PERSO!F6</f>
        <v>2</v>
      </c>
      <c r="C169" s="352" t="str">
        <f t="shared" ref="C169" si="2">CONCATENATE(C45," ",D45)</f>
        <v>GASPERIN Anthony</v>
      </c>
      <c r="D169" s="352" t="str">
        <f>VALO_PERSO!I6</f>
        <v>Lead Developer</v>
      </c>
      <c r="E169" s="352">
        <f>VALO_PERSO!Y6</f>
        <v>0</v>
      </c>
      <c r="F169" s="352">
        <f>VALO_PERSO!AN6</f>
        <v>0</v>
      </c>
      <c r="H169" s="112" t="s">
        <v>742</v>
      </c>
      <c r="AI169" s="351"/>
      <c r="AJ169" s="351"/>
    </row>
    <row r="170" spans="1:36" s="112" customFormat="1" ht="15.75" thickBot="1" x14ac:dyDescent="0.3">
      <c r="A170" s="112" t="s">
        <v>816</v>
      </c>
      <c r="B170" s="361">
        <f>VALO_PERSO!F6</f>
        <v>2</v>
      </c>
      <c r="C170" s="352" t="e">
        <f t="shared" ref="C170" si="3">CONCATENATE(C47," ",D47)</f>
        <v>#REF!</v>
      </c>
      <c r="D170" s="352" t="str">
        <f>VALO_PERSO!I6</f>
        <v>Lead Developer</v>
      </c>
      <c r="E170" s="352">
        <f>VALO_PERSO!Y6</f>
        <v>0</v>
      </c>
      <c r="F170" s="352">
        <f>VALO_PERSO!AN6</f>
        <v>0</v>
      </c>
      <c r="H170" s="112" t="s">
        <v>742</v>
      </c>
      <c r="AI170" s="351"/>
      <c r="AJ170" s="351"/>
    </row>
    <row r="171" spans="1:36" s="112" customFormat="1" ht="15.75" thickBot="1" x14ac:dyDescent="0.3">
      <c r="A171" s="112" t="s">
        <v>816</v>
      </c>
      <c r="B171" s="361">
        <f>VALO_PERSO!F7</f>
        <v>5</v>
      </c>
      <c r="C171" s="352" t="e">
        <f t="shared" ref="C171" si="4">CONCATENATE(C49," ",D49)</f>
        <v>#REF!</v>
      </c>
      <c r="D171" s="352" t="str">
        <f>VALO_PERSO!I7</f>
        <v>Apprenti</v>
      </c>
      <c r="E171" s="352">
        <f>VALO_PERSO!Y7</f>
        <v>0</v>
      </c>
      <c r="F171" s="352">
        <f>VALO_PERSO!AN7</f>
        <v>0</v>
      </c>
      <c r="H171" s="112" t="s">
        <v>742</v>
      </c>
      <c r="AI171" s="351"/>
      <c r="AJ171" s="351"/>
    </row>
    <row r="172" spans="1:36" s="112" customFormat="1" ht="15.75" thickBot="1" x14ac:dyDescent="0.3">
      <c r="A172" s="112" t="s">
        <v>816</v>
      </c>
      <c r="B172" s="361" t="e">
        <f>VALO_PERSO!#REF!</f>
        <v>#REF!</v>
      </c>
      <c r="C172" s="352" t="str">
        <f t="shared" ref="C172" si="5">CONCATENATE(C87," ",D87)</f>
        <v>GASPERIN Anthony</v>
      </c>
      <c r="D172" s="352" t="e">
        <f>VALO_PERSO!#REF!</f>
        <v>#REF!</v>
      </c>
      <c r="E172" s="352" t="e">
        <f>VALO_PERSO!#REF!</f>
        <v>#REF!</v>
      </c>
      <c r="F172" s="352" t="e">
        <f>VALO_PERSO!#REF!</f>
        <v>#REF!</v>
      </c>
      <c r="H172" s="112" t="s">
        <v>742</v>
      </c>
      <c r="AI172" s="351"/>
      <c r="AJ172" s="351"/>
    </row>
    <row r="173" spans="1:36" s="112" customFormat="1" ht="15.75" thickBot="1" x14ac:dyDescent="0.3">
      <c r="A173" s="112" t="s">
        <v>816</v>
      </c>
      <c r="B173" s="361" t="e">
        <f>VALO_PERSO!#REF!</f>
        <v>#REF!</v>
      </c>
      <c r="C173" s="352" t="str">
        <f t="shared" ref="C173" si="6">CONCATENATE(C88," ",D88)</f>
        <v>LA CORTE Matias</v>
      </c>
      <c r="D173" s="352" t="e">
        <f>VALO_PERSO!#REF!</f>
        <v>#REF!</v>
      </c>
      <c r="E173" s="352" t="e">
        <f>VALO_PERSO!#REF!</f>
        <v>#REF!</v>
      </c>
      <c r="F173" s="352" t="e">
        <f>VALO_PERSO!#REF!</f>
        <v>#REF!</v>
      </c>
      <c r="H173" s="112" t="s">
        <v>742</v>
      </c>
      <c r="AI173" s="351"/>
      <c r="AJ173" s="351"/>
    </row>
    <row r="174" spans="1:36" s="112" customFormat="1" ht="15.75" thickBot="1" x14ac:dyDescent="0.3">
      <c r="A174" s="112" t="s">
        <v>816</v>
      </c>
      <c r="B174" s="361" t="e">
        <f>VALO_PERSO!#REF!</f>
        <v>#REF!</v>
      </c>
      <c r="C174" s="352" t="str">
        <f t="shared" ref="C174" si="7">CONCATENATE(C88," ",D88)</f>
        <v>LA CORTE Matias</v>
      </c>
      <c r="D174" s="352" t="e">
        <f>VALO_PERSO!#REF!</f>
        <v>#REF!</v>
      </c>
      <c r="E174" s="352" t="e">
        <f>VALO_PERSO!#REF!</f>
        <v>#REF!</v>
      </c>
      <c r="F174" s="352" t="e">
        <f>VALO_PERSO!#REF!</f>
        <v>#REF!</v>
      </c>
      <c r="H174" s="112" t="s">
        <v>742</v>
      </c>
      <c r="AI174" s="351"/>
      <c r="AJ174" s="351"/>
    </row>
    <row r="175" spans="1:36" s="112" customFormat="1" ht="15.75" thickBot="1" x14ac:dyDescent="0.3">
      <c r="A175" s="112" t="s">
        <v>816</v>
      </c>
      <c r="B175" s="361" t="e">
        <f>VALO_PERSO!#REF!</f>
        <v>#REF!</v>
      </c>
      <c r="C175" s="352" t="str">
        <f t="shared" ref="C175" si="8">CONCATENATE(C89," ",D89)</f>
        <v>WIRTH Romain</v>
      </c>
      <c r="D175" s="352" t="e">
        <f>VALO_PERSO!#REF!</f>
        <v>#REF!</v>
      </c>
      <c r="E175" s="352" t="e">
        <f>VALO_PERSO!#REF!</f>
        <v>#REF!</v>
      </c>
      <c r="F175" s="352" t="e">
        <f>VALO_PERSO!#REF!</f>
        <v>#REF!</v>
      </c>
      <c r="H175" s="112" t="s">
        <v>742</v>
      </c>
      <c r="AI175" s="351"/>
      <c r="AJ175" s="351"/>
    </row>
    <row r="176" spans="1:36" s="112" customFormat="1" ht="15.75" thickBot="1" x14ac:dyDescent="0.3">
      <c r="A176" s="112" t="s">
        <v>816</v>
      </c>
      <c r="B176" s="361" t="e">
        <f>VALO_PERSO!#REF!</f>
        <v>#REF!</v>
      </c>
      <c r="C176" s="352" t="str">
        <f t="shared" ref="C176" si="9">CONCATENATE(C87," ",D87)</f>
        <v>GASPERIN Anthony</v>
      </c>
      <c r="D176" s="352" t="e">
        <f>VALO_PERSO!#REF!</f>
        <v>#REF!</v>
      </c>
      <c r="E176" s="352" t="e">
        <f>VALO_PERSO!#REF!</f>
        <v>#REF!</v>
      </c>
      <c r="F176" s="352" t="e">
        <f>VALO_PERSO!#REF!</f>
        <v>#REF!</v>
      </c>
      <c r="H176" s="112" t="s">
        <v>742</v>
      </c>
      <c r="AI176" s="351"/>
      <c r="AJ176" s="351"/>
    </row>
    <row r="177" spans="1:36" s="112" customFormat="1" ht="15.75" thickBot="1" x14ac:dyDescent="0.3">
      <c r="A177" s="112" t="s">
        <v>816</v>
      </c>
      <c r="B177" s="361" t="e">
        <f>VALO_PERSO!#REF!</f>
        <v>#REF!</v>
      </c>
      <c r="C177" s="352" t="str">
        <f t="shared" ref="C177" si="10">CONCATENATE(C88," ",D88)</f>
        <v>LA CORTE Matias</v>
      </c>
      <c r="D177" s="352" t="e">
        <f>VALO_PERSO!#REF!</f>
        <v>#REF!</v>
      </c>
      <c r="E177" s="352" t="e">
        <f>VALO_PERSO!#REF!</f>
        <v>#REF!</v>
      </c>
      <c r="F177" s="352" t="e">
        <f>VALO_PERSO!#REF!</f>
        <v>#REF!</v>
      </c>
      <c r="H177" s="112" t="s">
        <v>742</v>
      </c>
      <c r="AI177" s="351"/>
      <c r="AJ177" s="351"/>
    </row>
    <row r="178" spans="1:36" s="112" customFormat="1" ht="15.75" thickBot="1" x14ac:dyDescent="0.3">
      <c r="A178" s="112" t="s">
        <v>816</v>
      </c>
      <c r="B178" s="361" t="e">
        <f>VALO_PERSO!#REF!</f>
        <v>#REF!</v>
      </c>
      <c r="C178" s="352" t="str">
        <f t="shared" ref="C178" si="11">CONCATENATE(C88," ",D88)</f>
        <v>LA CORTE Matias</v>
      </c>
      <c r="D178" s="352" t="e">
        <f>VALO_PERSO!#REF!</f>
        <v>#REF!</v>
      </c>
      <c r="E178" s="352" t="e">
        <f>VALO_PERSO!#REF!</f>
        <v>#REF!</v>
      </c>
      <c r="F178" s="352" t="e">
        <f>VALO_PERSO!#REF!</f>
        <v>#REF!</v>
      </c>
      <c r="H178" s="112" t="s">
        <v>742</v>
      </c>
      <c r="AI178" s="351"/>
      <c r="AJ178" s="351"/>
    </row>
    <row r="179" spans="1:36" s="112" customFormat="1" ht="15.75" thickBot="1" x14ac:dyDescent="0.3">
      <c r="A179" s="112" t="s">
        <v>816</v>
      </c>
      <c r="B179" s="361" t="e">
        <f>VALO_PERSO!#REF!</f>
        <v>#REF!</v>
      </c>
      <c r="C179" s="352" t="str">
        <f t="shared" ref="C179" si="12">CONCATENATE(C89," ",D89)</f>
        <v>WIRTH Romain</v>
      </c>
      <c r="D179" s="352" t="e">
        <f>VALO_PERSO!#REF!</f>
        <v>#REF!</v>
      </c>
      <c r="E179" s="352" t="e">
        <f>VALO_PERSO!#REF!</f>
        <v>#REF!</v>
      </c>
      <c r="F179" s="352" t="e">
        <f>VALO_PERSO!#REF!</f>
        <v>#REF!</v>
      </c>
      <c r="H179" s="112" t="s">
        <v>742</v>
      </c>
      <c r="AI179" s="351"/>
      <c r="AJ179" s="351"/>
    </row>
    <row r="180" spans="1:36" s="112" customFormat="1" ht="15.75" thickBot="1" x14ac:dyDescent="0.3">
      <c r="A180" s="112" t="s">
        <v>816</v>
      </c>
      <c r="B180" s="361" t="e">
        <f>VALO_PERSO!#REF!</f>
        <v>#REF!</v>
      </c>
      <c r="C180" s="352" t="str">
        <f t="shared" ref="C180" si="13">CONCATENATE(C87," ",D87)</f>
        <v>GASPERIN Anthony</v>
      </c>
      <c r="D180" s="352" t="e">
        <f>VALO_PERSO!#REF!</f>
        <v>#REF!</v>
      </c>
      <c r="E180" s="352" t="e">
        <f>VALO_PERSO!#REF!</f>
        <v>#REF!</v>
      </c>
      <c r="F180" s="352" t="e">
        <f>VALO_PERSO!#REF!</f>
        <v>#REF!</v>
      </c>
      <c r="H180" s="112" t="s">
        <v>742</v>
      </c>
      <c r="AI180" s="351"/>
      <c r="AJ180" s="351"/>
    </row>
    <row r="181" spans="1:36" s="112" customFormat="1" ht="15.75" thickBot="1" x14ac:dyDescent="0.3">
      <c r="A181" s="112" t="s">
        <v>816</v>
      </c>
      <c r="B181" s="361" t="e">
        <f>VALO_PERSO!#REF!</f>
        <v>#REF!</v>
      </c>
      <c r="C181" s="352" t="str">
        <f t="shared" ref="C181" si="14">CONCATENATE(C88," ",D88)</f>
        <v>LA CORTE Matias</v>
      </c>
      <c r="D181" s="352" t="e">
        <f>VALO_PERSO!#REF!</f>
        <v>#REF!</v>
      </c>
      <c r="E181" s="352" t="e">
        <f>VALO_PERSO!#REF!</f>
        <v>#REF!</v>
      </c>
      <c r="F181" s="352" t="e">
        <f>VALO_PERSO!#REF!</f>
        <v>#REF!</v>
      </c>
      <c r="H181" s="112" t="s">
        <v>742</v>
      </c>
      <c r="AI181" s="351"/>
      <c r="AJ181" s="351"/>
    </row>
    <row r="182" spans="1:36" s="112" customFormat="1" ht="15.75" thickBot="1" x14ac:dyDescent="0.3">
      <c r="A182" s="112" t="s">
        <v>816</v>
      </c>
      <c r="B182" s="361" t="e">
        <f>VALO_PERSO!#REF!</f>
        <v>#REF!</v>
      </c>
      <c r="C182" s="352" t="str">
        <f t="shared" ref="C182" si="15">CONCATENATE(C88," ",D88)</f>
        <v>LA CORTE Matias</v>
      </c>
      <c r="D182" s="352" t="e">
        <f>VALO_PERSO!#REF!</f>
        <v>#REF!</v>
      </c>
      <c r="E182" s="352" t="e">
        <f>VALO_PERSO!#REF!</f>
        <v>#REF!</v>
      </c>
      <c r="F182" s="352" t="e">
        <f>VALO_PERSO!#REF!</f>
        <v>#REF!</v>
      </c>
      <c r="H182" s="112" t="s">
        <v>742</v>
      </c>
      <c r="AI182" s="351"/>
      <c r="AJ182" s="351"/>
    </row>
    <row r="183" spans="1:36" s="112" customFormat="1" ht="15.75" thickBot="1" x14ac:dyDescent="0.3">
      <c r="A183" s="112" t="s">
        <v>816</v>
      </c>
      <c r="B183" s="361" t="e">
        <f>VALO_PERSO!#REF!</f>
        <v>#REF!</v>
      </c>
      <c r="C183" s="352" t="str">
        <f t="shared" ref="C183" si="16">CONCATENATE(C89," ",D89)</f>
        <v>WIRTH Romain</v>
      </c>
      <c r="D183" s="352" t="e">
        <f>VALO_PERSO!#REF!</f>
        <v>#REF!</v>
      </c>
      <c r="E183" s="352" t="e">
        <f>VALO_PERSO!#REF!</f>
        <v>#REF!</v>
      </c>
      <c r="F183" s="352" t="e">
        <f>VALO_PERSO!#REF!</f>
        <v>#REF!</v>
      </c>
      <c r="H183" s="112" t="s">
        <v>742</v>
      </c>
      <c r="AI183" s="351"/>
      <c r="AJ183" s="351"/>
    </row>
    <row r="184" spans="1:36" s="112" customFormat="1" ht="15.75" thickBot="1" x14ac:dyDescent="0.3">
      <c r="A184" s="112" t="s">
        <v>816</v>
      </c>
      <c r="B184" s="361" t="e">
        <f>VALO_PERSO!#REF!</f>
        <v>#REF!</v>
      </c>
      <c r="C184" s="352" t="str">
        <f t="shared" ref="C184" si="17">CONCATENATE(C87," ",D87)</f>
        <v>GASPERIN Anthony</v>
      </c>
      <c r="D184" s="352" t="e">
        <f>VALO_PERSO!#REF!</f>
        <v>#REF!</v>
      </c>
      <c r="E184" s="352" t="e">
        <f>VALO_PERSO!#REF!</f>
        <v>#REF!</v>
      </c>
      <c r="F184" s="352" t="e">
        <f>VALO_PERSO!#REF!</f>
        <v>#REF!</v>
      </c>
      <c r="H184" s="112" t="s">
        <v>742</v>
      </c>
      <c r="AI184" s="351"/>
      <c r="AJ184" s="351"/>
    </row>
    <row r="185" spans="1:36" s="112" customFormat="1" ht="15.75" thickBot="1" x14ac:dyDescent="0.3">
      <c r="A185" s="112" t="s">
        <v>816</v>
      </c>
      <c r="B185" s="361" t="e">
        <f>VALO_PERSO!#REF!</f>
        <v>#REF!</v>
      </c>
      <c r="C185" s="352" t="str">
        <f t="shared" ref="C185" si="18">CONCATENATE(C88," ",D88)</f>
        <v>LA CORTE Matias</v>
      </c>
      <c r="D185" s="352" t="e">
        <f>VALO_PERSO!#REF!</f>
        <v>#REF!</v>
      </c>
      <c r="E185" s="352" t="e">
        <f>VALO_PERSO!#REF!</f>
        <v>#REF!</v>
      </c>
      <c r="F185" s="352" t="e">
        <f>VALO_PERSO!#REF!</f>
        <v>#REF!</v>
      </c>
      <c r="H185" s="112" t="s">
        <v>742</v>
      </c>
      <c r="AI185" s="351"/>
      <c r="AJ185" s="351"/>
    </row>
    <row r="186" spans="1:36" s="112" customFormat="1" ht="15.75" thickBot="1" x14ac:dyDescent="0.3">
      <c r="A186" s="112" t="s">
        <v>816</v>
      </c>
      <c r="B186" s="361" t="e">
        <f>VALO_PERSO!#REF!</f>
        <v>#REF!</v>
      </c>
      <c r="C186" s="352" t="str">
        <f t="shared" ref="C186" si="19">CONCATENATE(C88," ",D88)</f>
        <v>LA CORTE Matias</v>
      </c>
      <c r="D186" s="352" t="e">
        <f>VALO_PERSO!#REF!</f>
        <v>#REF!</v>
      </c>
      <c r="E186" s="352" t="e">
        <f>VALO_PERSO!#REF!</f>
        <v>#REF!</v>
      </c>
      <c r="F186" s="352" t="e">
        <f>VALO_PERSO!#REF!</f>
        <v>#REF!</v>
      </c>
      <c r="H186" s="112" t="s">
        <v>742</v>
      </c>
      <c r="AI186" s="351"/>
      <c r="AJ186" s="351"/>
    </row>
    <row r="187" spans="1:36" s="112" customFormat="1" ht="15.75" thickBot="1" x14ac:dyDescent="0.3">
      <c r="A187" s="112" t="s">
        <v>816</v>
      </c>
      <c r="B187" s="361" t="e">
        <f>VALO_PERSO!#REF!</f>
        <v>#REF!</v>
      </c>
      <c r="C187" s="352" t="str">
        <f t="shared" ref="C187" si="20">CONCATENATE(C89," ",D89)</f>
        <v>WIRTH Romain</v>
      </c>
      <c r="D187" s="352" t="e">
        <f>VALO_PERSO!#REF!</f>
        <v>#REF!</v>
      </c>
      <c r="E187" s="352" t="e">
        <f>VALO_PERSO!#REF!</f>
        <v>#REF!</v>
      </c>
      <c r="F187" s="352" t="e">
        <f>VALO_PERSO!#REF!</f>
        <v>#REF!</v>
      </c>
      <c r="H187" s="112" t="s">
        <v>742</v>
      </c>
      <c r="AI187" s="351"/>
      <c r="AJ187" s="351"/>
    </row>
    <row r="188" spans="1:36" s="112" customFormat="1" ht="15.75" thickBot="1" x14ac:dyDescent="0.3">
      <c r="A188" s="112" t="s">
        <v>816</v>
      </c>
      <c r="B188" s="361" t="e">
        <f>VALO_PERSO!#REF!</f>
        <v>#REF!</v>
      </c>
      <c r="C188" s="352" t="str">
        <f t="shared" ref="C188" si="21">CONCATENATE(C87," ",D87)</f>
        <v>GASPERIN Anthony</v>
      </c>
      <c r="D188" s="352" t="e">
        <f>VALO_PERSO!#REF!</f>
        <v>#REF!</v>
      </c>
      <c r="E188" s="352" t="e">
        <f>VALO_PERSO!#REF!</f>
        <v>#REF!</v>
      </c>
      <c r="F188" s="352" t="e">
        <f>VALO_PERSO!#REF!</f>
        <v>#REF!</v>
      </c>
      <c r="H188" s="112" t="s">
        <v>742</v>
      </c>
      <c r="AI188" s="351"/>
      <c r="AJ188" s="351"/>
    </row>
    <row r="189" spans="1:36" s="112" customFormat="1" ht="15.75" thickBot="1" x14ac:dyDescent="0.3">
      <c r="A189" s="112" t="s">
        <v>816</v>
      </c>
      <c r="B189" s="361" t="e">
        <f>VALO_PERSO!#REF!</f>
        <v>#REF!</v>
      </c>
      <c r="C189" s="352" t="str">
        <f t="shared" ref="C189" si="22">CONCATENATE(C88," ",D88)</f>
        <v>LA CORTE Matias</v>
      </c>
      <c r="D189" s="352" t="e">
        <f>VALO_PERSO!#REF!</f>
        <v>#REF!</v>
      </c>
      <c r="E189" s="352" t="e">
        <f>VALO_PERSO!#REF!</f>
        <v>#REF!</v>
      </c>
      <c r="F189" s="352" t="e">
        <f>VALO_PERSO!#REF!</f>
        <v>#REF!</v>
      </c>
      <c r="H189" s="112" t="s">
        <v>742</v>
      </c>
      <c r="AI189" s="351"/>
      <c r="AJ189" s="351"/>
    </row>
    <row r="190" spans="1:36" s="112" customFormat="1" ht="15.75" thickBot="1" x14ac:dyDescent="0.3">
      <c r="A190" s="112" t="s">
        <v>816</v>
      </c>
      <c r="B190" s="361" t="e">
        <f>VALO_PERSO!#REF!</f>
        <v>#REF!</v>
      </c>
      <c r="C190" s="352" t="str">
        <f t="shared" ref="C190" si="23">CONCATENATE(C88," ",D88)</f>
        <v>LA CORTE Matias</v>
      </c>
      <c r="D190" s="352" t="e">
        <f>VALO_PERSO!#REF!</f>
        <v>#REF!</v>
      </c>
      <c r="E190" s="352" t="e">
        <f>VALO_PERSO!#REF!</f>
        <v>#REF!</v>
      </c>
      <c r="F190" s="352" t="e">
        <f>VALO_PERSO!#REF!</f>
        <v>#REF!</v>
      </c>
      <c r="H190" s="112" t="s">
        <v>742</v>
      </c>
      <c r="AI190" s="351"/>
      <c r="AJ190" s="351"/>
    </row>
    <row r="191" spans="1:36" s="112" customFormat="1" ht="15.75" thickBot="1" x14ac:dyDescent="0.3">
      <c r="A191" s="112" t="s">
        <v>816</v>
      </c>
      <c r="B191" s="361" t="e">
        <f>VALO_PERSO!#REF!</f>
        <v>#REF!</v>
      </c>
      <c r="C191" s="352" t="str">
        <f t="shared" ref="C191" si="24">CONCATENATE(C89," ",D89)</f>
        <v>WIRTH Romain</v>
      </c>
      <c r="D191" s="352" t="e">
        <f>VALO_PERSO!#REF!</f>
        <v>#REF!</v>
      </c>
      <c r="E191" s="352" t="e">
        <f>VALO_PERSO!#REF!</f>
        <v>#REF!</v>
      </c>
      <c r="F191" s="352" t="e">
        <f>VALO_PERSO!#REF!</f>
        <v>#REF!</v>
      </c>
      <c r="H191" s="112" t="s">
        <v>742</v>
      </c>
      <c r="AI191" s="351"/>
      <c r="AJ191" s="351"/>
    </row>
    <row r="192" spans="1:36" s="112" customFormat="1" ht="15.75" thickBot="1" x14ac:dyDescent="0.3">
      <c r="A192" s="112" t="s">
        <v>816</v>
      </c>
      <c r="B192" s="361" t="e">
        <f>VALO_PERSO!#REF!</f>
        <v>#REF!</v>
      </c>
      <c r="C192" s="352" t="str">
        <f t="shared" ref="C192" si="25">CONCATENATE(C87," ",D87)</f>
        <v>GASPERIN Anthony</v>
      </c>
      <c r="D192" s="352" t="e">
        <f>VALO_PERSO!#REF!</f>
        <v>#REF!</v>
      </c>
      <c r="E192" s="352" t="e">
        <f>VALO_PERSO!#REF!</f>
        <v>#REF!</v>
      </c>
      <c r="F192" s="352" t="e">
        <f>VALO_PERSO!#REF!</f>
        <v>#REF!</v>
      </c>
      <c r="H192" s="112" t="s">
        <v>742</v>
      </c>
      <c r="AI192" s="351"/>
      <c r="AJ192" s="351"/>
    </row>
    <row r="193" spans="1:36" s="112" customFormat="1" ht="15.75" thickBot="1" x14ac:dyDescent="0.3">
      <c r="A193" s="112" t="s">
        <v>816</v>
      </c>
      <c r="B193" s="361" t="e">
        <f>VALO_PERSO!#REF!</f>
        <v>#REF!</v>
      </c>
      <c r="C193" s="352" t="str">
        <f t="shared" ref="C193" si="26">CONCATENATE(C88," ",D88)</f>
        <v>LA CORTE Matias</v>
      </c>
      <c r="D193" s="352" t="e">
        <f>VALO_PERSO!#REF!</f>
        <v>#REF!</v>
      </c>
      <c r="E193" s="352" t="e">
        <f>VALO_PERSO!#REF!</f>
        <v>#REF!</v>
      </c>
      <c r="F193" s="352" t="e">
        <f>VALO_PERSO!#REF!</f>
        <v>#REF!</v>
      </c>
      <c r="H193" s="112" t="s">
        <v>742</v>
      </c>
      <c r="AI193" s="351"/>
      <c r="AJ193" s="351"/>
    </row>
    <row r="194" spans="1:36" s="112" customFormat="1" ht="15.75" thickBot="1" x14ac:dyDescent="0.3">
      <c r="A194" s="112" t="s">
        <v>816</v>
      </c>
      <c r="B194" s="361" t="e">
        <f>VALO_PERSO!#REF!</f>
        <v>#REF!</v>
      </c>
      <c r="C194" s="352" t="str">
        <f t="shared" ref="C194" si="27">CONCATENATE(C88," ",D88)</f>
        <v>LA CORTE Matias</v>
      </c>
      <c r="D194" s="352" t="e">
        <f>VALO_PERSO!#REF!</f>
        <v>#REF!</v>
      </c>
      <c r="E194" s="352" t="e">
        <f>VALO_PERSO!#REF!</f>
        <v>#REF!</v>
      </c>
      <c r="F194" s="352" t="e">
        <f>VALO_PERSO!#REF!</f>
        <v>#REF!</v>
      </c>
      <c r="H194" s="112" t="s">
        <v>742</v>
      </c>
      <c r="AI194" s="351"/>
      <c r="AJ194" s="351"/>
    </row>
    <row r="195" spans="1:36" s="112" customFormat="1" ht="15.75" thickBot="1" x14ac:dyDescent="0.3">
      <c r="A195" s="112" t="s">
        <v>816</v>
      </c>
      <c r="B195" s="361" t="e">
        <f>VALO_PERSO!#REF!</f>
        <v>#REF!</v>
      </c>
      <c r="C195" s="352" t="str">
        <f t="shared" ref="C195" si="28">CONCATENATE(C89," ",D89)</f>
        <v>WIRTH Romain</v>
      </c>
      <c r="D195" s="352" t="e">
        <f>VALO_PERSO!#REF!</f>
        <v>#REF!</v>
      </c>
      <c r="E195" s="352" t="e">
        <f>VALO_PERSO!#REF!</f>
        <v>#REF!</v>
      </c>
      <c r="F195" s="352" t="e">
        <f>VALO_PERSO!#REF!</f>
        <v>#REF!</v>
      </c>
      <c r="H195" s="112" t="s">
        <v>742</v>
      </c>
      <c r="AI195" s="351"/>
      <c r="AJ195" s="351"/>
    </row>
    <row r="196" spans="1:36" s="112" customFormat="1" ht="15.75" thickBot="1" x14ac:dyDescent="0.3">
      <c r="A196" s="112" t="s">
        <v>816</v>
      </c>
      <c r="B196" s="361" t="e">
        <f>VALO_PERSO!#REF!</f>
        <v>#REF!</v>
      </c>
      <c r="C196" s="352" t="str">
        <f t="shared" ref="C196" si="29">CONCATENATE(C87," ",D87)</f>
        <v>GASPERIN Anthony</v>
      </c>
      <c r="D196" s="352" t="e">
        <f>VALO_PERSO!#REF!</f>
        <v>#REF!</v>
      </c>
      <c r="E196" s="352" t="e">
        <f>VALO_PERSO!#REF!</f>
        <v>#REF!</v>
      </c>
      <c r="F196" s="352" t="e">
        <f>VALO_PERSO!#REF!</f>
        <v>#REF!</v>
      </c>
      <c r="H196" s="112" t="s">
        <v>742</v>
      </c>
      <c r="AI196" s="351"/>
      <c r="AJ196" s="351"/>
    </row>
    <row r="197" spans="1:36" s="112" customFormat="1" ht="15.75" thickBot="1" x14ac:dyDescent="0.3">
      <c r="A197" s="112" t="s">
        <v>816</v>
      </c>
      <c r="B197" s="361" t="e">
        <f>VALO_PERSO!#REF!</f>
        <v>#REF!</v>
      </c>
      <c r="C197" s="352" t="str">
        <f t="shared" ref="C197" si="30">CONCATENATE(C88," ",D88)</f>
        <v>LA CORTE Matias</v>
      </c>
      <c r="D197" s="352" t="e">
        <f>VALO_PERSO!#REF!</f>
        <v>#REF!</v>
      </c>
      <c r="E197" s="352" t="e">
        <f>VALO_PERSO!#REF!</f>
        <v>#REF!</v>
      </c>
      <c r="F197" s="352" t="e">
        <f>VALO_PERSO!#REF!</f>
        <v>#REF!</v>
      </c>
      <c r="H197" s="112" t="s">
        <v>742</v>
      </c>
      <c r="AI197" s="351"/>
      <c r="AJ197" s="351"/>
    </row>
    <row r="198" spans="1:36" s="112" customFormat="1" ht="15.75" thickBot="1" x14ac:dyDescent="0.3">
      <c r="A198" s="112" t="s">
        <v>816</v>
      </c>
      <c r="B198" s="361" t="e">
        <f>VALO_PERSO!#REF!</f>
        <v>#REF!</v>
      </c>
      <c r="C198" s="352" t="str">
        <f t="shared" ref="C198" si="31">CONCATENATE(C88," ",D88)</f>
        <v>LA CORTE Matias</v>
      </c>
      <c r="D198" s="352" t="e">
        <f>VALO_PERSO!#REF!</f>
        <v>#REF!</v>
      </c>
      <c r="E198" s="352" t="e">
        <f>VALO_PERSO!#REF!</f>
        <v>#REF!</v>
      </c>
      <c r="F198" s="352" t="e">
        <f>VALO_PERSO!#REF!</f>
        <v>#REF!</v>
      </c>
      <c r="H198" s="112" t="s">
        <v>742</v>
      </c>
      <c r="AI198" s="351"/>
      <c r="AJ198" s="351"/>
    </row>
    <row r="199" spans="1:36" s="112" customFormat="1" ht="15.75" thickBot="1" x14ac:dyDescent="0.3">
      <c r="A199" s="112" t="s">
        <v>816</v>
      </c>
      <c r="B199" s="361" t="e">
        <f>VALO_PERSO!#REF!</f>
        <v>#REF!</v>
      </c>
      <c r="C199" s="352" t="str">
        <f t="shared" ref="C199" si="32">CONCATENATE(C89," ",D89)</f>
        <v>WIRTH Romain</v>
      </c>
      <c r="D199" s="352" t="e">
        <f>VALO_PERSO!#REF!</f>
        <v>#REF!</v>
      </c>
      <c r="E199" s="352" t="e">
        <f>VALO_PERSO!#REF!</f>
        <v>#REF!</v>
      </c>
      <c r="F199" s="352" t="e">
        <f>VALO_PERSO!#REF!</f>
        <v>#REF!</v>
      </c>
      <c r="H199" s="112" t="s">
        <v>742</v>
      </c>
      <c r="AI199" s="351"/>
      <c r="AJ199" s="351"/>
    </row>
    <row r="200" spans="1:36" s="112" customFormat="1" ht="15.75" thickBot="1" x14ac:dyDescent="0.3">
      <c r="A200" s="112" t="s">
        <v>816</v>
      </c>
      <c r="B200" s="361" t="e">
        <f>VALO_PERSO!#REF!</f>
        <v>#REF!</v>
      </c>
      <c r="C200" s="352" t="str">
        <f t="shared" ref="C200" si="33">CONCATENATE(C87," ",D87)</f>
        <v>GASPERIN Anthony</v>
      </c>
      <c r="D200" s="352" t="e">
        <f>VALO_PERSO!#REF!</f>
        <v>#REF!</v>
      </c>
      <c r="E200" s="352" t="e">
        <f>VALO_PERSO!#REF!</f>
        <v>#REF!</v>
      </c>
      <c r="F200" s="352" t="e">
        <f>VALO_PERSO!#REF!</f>
        <v>#REF!</v>
      </c>
      <c r="H200" s="112" t="s">
        <v>742</v>
      </c>
      <c r="AI200" s="351"/>
      <c r="AJ200" s="351"/>
    </row>
    <row r="201" spans="1:36" s="112" customFormat="1" ht="15.75" thickBot="1" x14ac:dyDescent="0.3">
      <c r="A201" s="112" t="s">
        <v>816</v>
      </c>
      <c r="B201" s="361" t="e">
        <f>VALO_PERSO!#REF!</f>
        <v>#REF!</v>
      </c>
      <c r="C201" s="352" t="str">
        <f t="shared" ref="C201" si="34">CONCATENATE(C88," ",D88)</f>
        <v>LA CORTE Matias</v>
      </c>
      <c r="D201" s="352" t="e">
        <f>VALO_PERSO!#REF!</f>
        <v>#REF!</v>
      </c>
      <c r="E201" s="352" t="e">
        <f>VALO_PERSO!#REF!</f>
        <v>#REF!</v>
      </c>
      <c r="F201" s="352" t="e">
        <f>VALO_PERSO!#REF!</f>
        <v>#REF!</v>
      </c>
      <c r="H201" s="112" t="s">
        <v>742</v>
      </c>
      <c r="AI201" s="351"/>
      <c r="AJ201" s="351"/>
    </row>
    <row r="202" spans="1:36" s="112" customFormat="1" ht="15.75" thickBot="1" x14ac:dyDescent="0.3">
      <c r="A202" s="112" t="s">
        <v>816</v>
      </c>
      <c r="B202" s="361" t="e">
        <f>VALO_PERSO!#REF!</f>
        <v>#REF!</v>
      </c>
      <c r="C202" s="352" t="str">
        <f t="shared" ref="C202" si="35">CONCATENATE(C88," ",D88)</f>
        <v>LA CORTE Matias</v>
      </c>
      <c r="D202" s="352" t="e">
        <f>VALO_PERSO!#REF!</f>
        <v>#REF!</v>
      </c>
      <c r="E202" s="352" t="e">
        <f>VALO_PERSO!#REF!</f>
        <v>#REF!</v>
      </c>
      <c r="F202" s="352" t="e">
        <f>VALO_PERSO!#REF!</f>
        <v>#REF!</v>
      </c>
      <c r="H202" s="112" t="s">
        <v>742</v>
      </c>
      <c r="AI202" s="351"/>
      <c r="AJ202" s="351"/>
    </row>
    <row r="203" spans="1:36" s="112" customFormat="1" ht="15.75" thickBot="1" x14ac:dyDescent="0.3">
      <c r="A203" s="112" t="s">
        <v>816</v>
      </c>
      <c r="B203" s="361" t="e">
        <f>VALO_PERSO!#REF!</f>
        <v>#REF!</v>
      </c>
      <c r="C203" s="352" t="str">
        <f t="shared" ref="C203" si="36">CONCATENATE(C89," ",D89)</f>
        <v>WIRTH Romain</v>
      </c>
      <c r="D203" s="352" t="e">
        <f>VALO_PERSO!#REF!</f>
        <v>#REF!</v>
      </c>
      <c r="E203" s="352" t="e">
        <f>VALO_PERSO!#REF!</f>
        <v>#REF!</v>
      </c>
      <c r="F203" s="352" t="e">
        <f>VALO_PERSO!#REF!</f>
        <v>#REF!</v>
      </c>
      <c r="H203" s="112" t="s">
        <v>742</v>
      </c>
      <c r="AI203" s="351"/>
      <c r="AJ203" s="351"/>
    </row>
    <row r="204" spans="1:36" s="112" customFormat="1" ht="15.75" thickBot="1" x14ac:dyDescent="0.3">
      <c r="A204" s="112" t="s">
        <v>816</v>
      </c>
      <c r="B204" s="361" t="e">
        <f>VALO_PERSO!#REF!</f>
        <v>#REF!</v>
      </c>
      <c r="C204" s="352" t="str">
        <f t="shared" ref="C204" si="37">CONCATENATE(C87," ",D87)</f>
        <v>GASPERIN Anthony</v>
      </c>
      <c r="D204" s="352" t="e">
        <f>VALO_PERSO!#REF!</f>
        <v>#REF!</v>
      </c>
      <c r="E204" s="352" t="e">
        <f>VALO_PERSO!#REF!</f>
        <v>#REF!</v>
      </c>
      <c r="F204" s="352" t="e">
        <f>VALO_PERSO!#REF!</f>
        <v>#REF!</v>
      </c>
      <c r="H204" s="112" t="s">
        <v>742</v>
      </c>
      <c r="AI204" s="351"/>
      <c r="AJ204" s="351"/>
    </row>
    <row r="205" spans="1:36" s="112" customFormat="1" ht="15.75" thickBot="1" x14ac:dyDescent="0.3">
      <c r="A205" s="112" t="s">
        <v>816</v>
      </c>
      <c r="B205" s="361" t="e">
        <f>VALO_PERSO!#REF!</f>
        <v>#REF!</v>
      </c>
      <c r="C205" s="352" t="str">
        <f t="shared" ref="C205" si="38">CONCATENATE(C88," ",D88)</f>
        <v>LA CORTE Matias</v>
      </c>
      <c r="D205" s="352" t="e">
        <f>VALO_PERSO!#REF!</f>
        <v>#REF!</v>
      </c>
      <c r="E205" s="352" t="e">
        <f>VALO_PERSO!#REF!</f>
        <v>#REF!</v>
      </c>
      <c r="F205" s="352" t="e">
        <f>VALO_PERSO!#REF!</f>
        <v>#REF!</v>
      </c>
      <c r="H205" s="112" t="s">
        <v>742</v>
      </c>
      <c r="AI205" s="351"/>
      <c r="AJ205" s="351"/>
    </row>
    <row r="206" spans="1:36" s="112" customFormat="1" ht="15.75" thickBot="1" x14ac:dyDescent="0.3">
      <c r="A206" s="112" t="s">
        <v>816</v>
      </c>
      <c r="B206" s="361" t="e">
        <f>VALO_PERSO!#REF!</f>
        <v>#REF!</v>
      </c>
      <c r="C206" s="352" t="str">
        <f t="shared" ref="C206" si="39">CONCATENATE(C88," ",D88)</f>
        <v>LA CORTE Matias</v>
      </c>
      <c r="D206" s="352" t="e">
        <f>VALO_PERSO!#REF!</f>
        <v>#REF!</v>
      </c>
      <c r="E206" s="352" t="e">
        <f>VALO_PERSO!#REF!</f>
        <v>#REF!</v>
      </c>
      <c r="F206" s="352" t="e">
        <f>VALO_PERSO!#REF!</f>
        <v>#REF!</v>
      </c>
      <c r="H206" s="112" t="s">
        <v>742</v>
      </c>
      <c r="AI206" s="351"/>
      <c r="AJ206" s="351"/>
    </row>
    <row r="207" spans="1:36" s="112" customFormat="1" ht="15.75" thickBot="1" x14ac:dyDescent="0.3">
      <c r="A207" s="112" t="s">
        <v>816</v>
      </c>
      <c r="B207" s="361" t="e">
        <f>VALO_PERSO!#REF!</f>
        <v>#REF!</v>
      </c>
      <c r="C207" s="352" t="str">
        <f t="shared" ref="C207" si="40">CONCATENATE(C89," ",D89)</f>
        <v>WIRTH Romain</v>
      </c>
      <c r="D207" s="352" t="e">
        <f>VALO_PERSO!#REF!</f>
        <v>#REF!</v>
      </c>
      <c r="E207" s="352" t="e">
        <f>VALO_PERSO!#REF!</f>
        <v>#REF!</v>
      </c>
      <c r="F207" s="352" t="e">
        <f>VALO_PERSO!#REF!</f>
        <v>#REF!</v>
      </c>
      <c r="H207" s="112" t="s">
        <v>742</v>
      </c>
      <c r="AI207" s="351"/>
      <c r="AJ207" s="351"/>
    </row>
    <row r="208" spans="1:36" s="112" customFormat="1" ht="15.75" thickBot="1" x14ac:dyDescent="0.3">
      <c r="A208" s="112" t="s">
        <v>816</v>
      </c>
      <c r="B208" s="361" t="e">
        <f>VALO_PERSO!#REF!</f>
        <v>#REF!</v>
      </c>
      <c r="C208" s="352" t="str">
        <f t="shared" ref="C208" si="41">CONCATENATE(C87," ",D87)</f>
        <v>GASPERIN Anthony</v>
      </c>
      <c r="D208" s="352" t="e">
        <f>VALO_PERSO!#REF!</f>
        <v>#REF!</v>
      </c>
      <c r="E208" s="352" t="e">
        <f>VALO_PERSO!#REF!</f>
        <v>#REF!</v>
      </c>
      <c r="F208" s="352" t="e">
        <f>VALO_PERSO!#REF!</f>
        <v>#REF!</v>
      </c>
      <c r="H208" s="112" t="s">
        <v>742</v>
      </c>
      <c r="AI208" s="351"/>
      <c r="AJ208" s="351"/>
    </row>
    <row r="209" spans="1:36" s="112" customFormat="1" ht="15.75" thickBot="1" x14ac:dyDescent="0.3">
      <c r="A209" s="112" t="s">
        <v>816</v>
      </c>
      <c r="B209" s="361" t="e">
        <f>VALO_PERSO!#REF!</f>
        <v>#REF!</v>
      </c>
      <c r="C209" s="352" t="str">
        <f t="shared" ref="C209" si="42">CONCATENATE(C88," ",D88)</f>
        <v>LA CORTE Matias</v>
      </c>
      <c r="D209" s="352" t="e">
        <f>VALO_PERSO!#REF!</f>
        <v>#REF!</v>
      </c>
      <c r="E209" s="352" t="e">
        <f>VALO_PERSO!#REF!</f>
        <v>#REF!</v>
      </c>
      <c r="F209" s="352" t="e">
        <f>VALO_PERSO!#REF!</f>
        <v>#REF!</v>
      </c>
      <c r="H209" s="112" t="s">
        <v>742</v>
      </c>
      <c r="AI209" s="351"/>
      <c r="AJ209" s="351"/>
    </row>
    <row r="210" spans="1:36" s="112" customFormat="1" ht="15.75" thickBot="1" x14ac:dyDescent="0.3">
      <c r="A210" s="112" t="s">
        <v>816</v>
      </c>
      <c r="B210" s="361" t="e">
        <f>VALO_PERSO!#REF!</f>
        <v>#REF!</v>
      </c>
      <c r="C210" s="352" t="str">
        <f t="shared" ref="C210" si="43">CONCATENATE(C88," ",D88)</f>
        <v>LA CORTE Matias</v>
      </c>
      <c r="D210" s="352" t="e">
        <f>VALO_PERSO!#REF!</f>
        <v>#REF!</v>
      </c>
      <c r="E210" s="352" t="e">
        <f>VALO_PERSO!#REF!</f>
        <v>#REF!</v>
      </c>
      <c r="F210" s="352" t="e">
        <f>VALO_PERSO!#REF!</f>
        <v>#REF!</v>
      </c>
      <c r="H210" s="112" t="s">
        <v>742</v>
      </c>
      <c r="AI210" s="351"/>
      <c r="AJ210" s="351"/>
    </row>
    <row r="211" spans="1:36" s="112" customFormat="1" ht="15.75" thickBot="1" x14ac:dyDescent="0.3">
      <c r="A211" s="112" t="s">
        <v>816</v>
      </c>
      <c r="B211" s="361" t="e">
        <f>VALO_PERSO!#REF!</f>
        <v>#REF!</v>
      </c>
      <c r="C211" s="352" t="str">
        <f t="shared" ref="C211" si="44">CONCATENATE(C89," ",D89)</f>
        <v>WIRTH Romain</v>
      </c>
      <c r="D211" s="352" t="e">
        <f>VALO_PERSO!#REF!</f>
        <v>#REF!</v>
      </c>
      <c r="E211" s="352" t="e">
        <f>VALO_PERSO!#REF!</f>
        <v>#REF!</v>
      </c>
      <c r="F211" s="352" t="e">
        <f>VALO_PERSO!#REF!</f>
        <v>#REF!</v>
      </c>
      <c r="H211" s="112" t="s">
        <v>742</v>
      </c>
      <c r="AI211" s="351"/>
      <c r="AJ211" s="351"/>
    </row>
    <row r="212" spans="1:36" s="112" customFormat="1" ht="15.75" thickBot="1" x14ac:dyDescent="0.3">
      <c r="B212" s="361">
        <f>VALO_PERSO!F6</f>
        <v>2</v>
      </c>
      <c r="C212" s="352" t="str">
        <f t="shared" ref="C212:C225" si="45">CONCATENATE(C87," ",D87)</f>
        <v>GASPERIN Anthony</v>
      </c>
      <c r="D212" s="352" t="str">
        <f>VALO_PERSO!I6</f>
        <v>Lead Developer</v>
      </c>
      <c r="E212" s="352">
        <f>VALO_PERSO!Y6</f>
        <v>0</v>
      </c>
      <c r="F212" s="352">
        <f>VALO_PERSO!AN6</f>
        <v>0</v>
      </c>
      <c r="H212" s="112" t="s">
        <v>743</v>
      </c>
      <c r="AI212" s="351"/>
      <c r="AJ212" s="351"/>
    </row>
    <row r="213" spans="1:36" s="112" customFormat="1" ht="15.75" thickBot="1" x14ac:dyDescent="0.3">
      <c r="B213" s="361">
        <f>VALO_PERSO!F7</f>
        <v>5</v>
      </c>
      <c r="C213" s="352" t="str">
        <f t="shared" si="45"/>
        <v>LA CORTE Matias</v>
      </c>
      <c r="D213" s="352" t="str">
        <f>VALO_PERSO!I7</f>
        <v>Apprenti</v>
      </c>
      <c r="E213" s="352">
        <f>VALO_PERSO!Y7</f>
        <v>0</v>
      </c>
      <c r="F213" s="352">
        <f>VALO_PERSO!AN7</f>
        <v>0</v>
      </c>
    </row>
    <row r="214" spans="1:36" s="112" customFormat="1" ht="15.75" thickBot="1" x14ac:dyDescent="0.3">
      <c r="B214" s="361">
        <f>VALO_PERSO!F8</f>
        <v>9</v>
      </c>
      <c r="C214" s="352" t="str">
        <f t="shared" si="45"/>
        <v>WIRTH Romain</v>
      </c>
      <c r="D214" s="352" t="str">
        <f>VALO_PERSO!I8</f>
        <v>Développeur Full Stack</v>
      </c>
      <c r="E214" s="352">
        <f>VALO_PERSO!Y8</f>
        <v>0</v>
      </c>
      <c r="F214" s="352">
        <f>VALO_PERSO!AN8</f>
        <v>0</v>
      </c>
    </row>
    <row r="215" spans="1:36" s="112" customFormat="1" ht="15.75" thickBot="1" x14ac:dyDescent="0.3">
      <c r="B215" s="361">
        <f>VALO_PERSO!F9</f>
        <v>10</v>
      </c>
      <c r="C215" s="352" t="str">
        <f t="shared" si="45"/>
        <v>CILES Grégoire</v>
      </c>
      <c r="D215" s="352" t="str">
        <f>VALO_PERSO!I9</f>
        <v>Développeur Full Stack</v>
      </c>
      <c r="E215" s="352">
        <f>VALO_PERSO!Y9</f>
        <v>0</v>
      </c>
      <c r="F215" s="352">
        <f>VALO_PERSO!AN9</f>
        <v>0</v>
      </c>
    </row>
    <row r="216" spans="1:36" s="112" customFormat="1" ht="15.75" thickBot="1" x14ac:dyDescent="0.3">
      <c r="B216" s="361">
        <f>VALO_PERSO!F10</f>
        <v>12</v>
      </c>
      <c r="C216" s="352" t="str">
        <f t="shared" si="45"/>
        <v>RALANTOARISON Osée</v>
      </c>
      <c r="D216" s="352" t="str">
        <f>VALO_PERSO!I10</f>
        <v>Développeur Full Stack</v>
      </c>
      <c r="E216" s="352">
        <f>VALO_PERSO!Y10</f>
        <v>0</v>
      </c>
      <c r="F216" s="352">
        <f>VALO_PERSO!AN10</f>
        <v>0</v>
      </c>
    </row>
    <row r="217" spans="1:36" s="112" customFormat="1" ht="15.75" thickBot="1" x14ac:dyDescent="0.3">
      <c r="B217" s="361" t="e">
        <f>VALO_PERSO!#REF!</f>
        <v>#REF!</v>
      </c>
      <c r="C217" s="352" t="e">
        <f t="shared" si="45"/>
        <v>#REF!</v>
      </c>
      <c r="D217" s="352" t="e">
        <f>VALO_PERSO!#REF!</f>
        <v>#REF!</v>
      </c>
      <c r="E217" s="352" t="e">
        <f>VALO_PERSO!#REF!</f>
        <v>#REF!</v>
      </c>
      <c r="F217" s="352" t="e">
        <f>VALO_PERSO!#REF!</f>
        <v>#REF!</v>
      </c>
    </row>
    <row r="218" spans="1:36" s="112" customFormat="1" ht="15.75" thickBot="1" x14ac:dyDescent="0.3">
      <c r="B218" s="361" t="e">
        <f>VALO_PERSO!#REF!</f>
        <v>#REF!</v>
      </c>
      <c r="C218" s="352" t="e">
        <f t="shared" si="45"/>
        <v>#REF!</v>
      </c>
      <c r="D218" s="352" t="e">
        <f>VALO_PERSO!#REF!</f>
        <v>#REF!</v>
      </c>
      <c r="E218" s="352" t="e">
        <f>VALO_PERSO!#REF!</f>
        <v>#REF!</v>
      </c>
      <c r="F218" s="352" t="e">
        <f>VALO_PERSO!#REF!</f>
        <v>#REF!</v>
      </c>
    </row>
    <row r="219" spans="1:36" s="112" customFormat="1" ht="15.75" thickBot="1" x14ac:dyDescent="0.3">
      <c r="B219" s="361">
        <f>VALO_PERSO!F11</f>
        <v>24</v>
      </c>
      <c r="C219" s="352" t="str">
        <f t="shared" si="45"/>
        <v>KANDIAH Corrège</v>
      </c>
      <c r="D219" s="352" t="str">
        <f>VALO_PERSO!I11</f>
        <v>Apprenti</v>
      </c>
      <c r="E219" s="352">
        <f>VALO_PERSO!Y11</f>
        <v>0</v>
      </c>
      <c r="F219" s="352">
        <f>VALO_PERSO!AN11</f>
        <v>0</v>
      </c>
    </row>
    <row r="220" spans="1:36" s="112" customFormat="1" ht="15.75" thickBot="1" x14ac:dyDescent="0.3">
      <c r="B220" s="361" t="e">
        <f>VALO_PERSO!#REF!</f>
        <v>#REF!</v>
      </c>
      <c r="C220" s="352" t="e">
        <f t="shared" si="45"/>
        <v>#REF!</v>
      </c>
      <c r="D220" s="352" t="e">
        <f>VALO_PERSO!#REF!</f>
        <v>#REF!</v>
      </c>
      <c r="E220" s="352" t="e">
        <f>VALO_PERSO!#REF!</f>
        <v>#REF!</v>
      </c>
      <c r="F220" s="352" t="e">
        <f>VALO_PERSO!#REF!</f>
        <v>#REF!</v>
      </c>
    </row>
    <row r="221" spans="1:36" s="112" customFormat="1" ht="15.75" thickBot="1" x14ac:dyDescent="0.3">
      <c r="B221" s="361" t="e">
        <f>VALO_PERSO!#REF!</f>
        <v>#REF!</v>
      </c>
      <c r="C221" s="352" t="e">
        <f t="shared" si="45"/>
        <v>#REF!</v>
      </c>
      <c r="D221" s="352" t="e">
        <f>VALO_PERSO!#REF!</f>
        <v>#REF!</v>
      </c>
      <c r="E221" s="352" t="e">
        <f>VALO_PERSO!#REF!</f>
        <v>#REF!</v>
      </c>
      <c r="F221" s="352" t="e">
        <f>VALO_PERSO!#REF!</f>
        <v>#REF!</v>
      </c>
    </row>
    <row r="222" spans="1:36" s="112" customFormat="1" ht="15.75" thickBot="1" x14ac:dyDescent="0.3">
      <c r="B222" s="361" t="e">
        <f>VALO_PERSO!#REF!</f>
        <v>#REF!</v>
      </c>
      <c r="C222" s="352" t="e">
        <f t="shared" si="45"/>
        <v>#REF!</v>
      </c>
      <c r="D222" s="352" t="e">
        <f>VALO_PERSO!#REF!</f>
        <v>#REF!</v>
      </c>
      <c r="E222" s="352" t="e">
        <f>VALO_PERSO!#REF!</f>
        <v>#REF!</v>
      </c>
      <c r="F222" s="352" t="e">
        <f>VALO_PERSO!#REF!</f>
        <v>#REF!</v>
      </c>
    </row>
    <row r="223" spans="1:36" s="112" customFormat="1" ht="15.75" thickBot="1" x14ac:dyDescent="0.3">
      <c r="B223" s="361" t="e">
        <f>VALO_PERSO!#REF!</f>
        <v>#REF!</v>
      </c>
      <c r="C223" s="352" t="e">
        <f t="shared" si="45"/>
        <v>#REF!</v>
      </c>
      <c r="D223" s="352" t="e">
        <f>VALO_PERSO!#REF!</f>
        <v>#REF!</v>
      </c>
      <c r="E223" s="352" t="e">
        <f>VALO_PERSO!#REF!</f>
        <v>#REF!</v>
      </c>
      <c r="F223" s="352" t="e">
        <f>VALO_PERSO!#REF!</f>
        <v>#REF!</v>
      </c>
    </row>
    <row r="224" spans="1:36" s="112" customFormat="1" ht="15.75" thickBot="1" x14ac:dyDescent="0.3">
      <c r="B224" s="361" t="e">
        <f>VALO_PERSO!#REF!</f>
        <v>#REF!</v>
      </c>
      <c r="C224" s="352" t="e">
        <f t="shared" si="45"/>
        <v>#REF!</v>
      </c>
      <c r="D224" s="352" t="e">
        <f>VALO_PERSO!#REF!</f>
        <v>#REF!</v>
      </c>
      <c r="E224" s="352" t="e">
        <f>VALO_PERSO!#REF!</f>
        <v>#REF!</v>
      </c>
      <c r="F224" s="352" t="e">
        <f>VALO_PERSO!#REF!</f>
        <v>#REF!</v>
      </c>
    </row>
    <row r="225" spans="1:45" s="112" customFormat="1" ht="15.75" thickBot="1" x14ac:dyDescent="0.3">
      <c r="B225" s="361" t="e">
        <f>VALO_PERSO!#REF!</f>
        <v>#REF!</v>
      </c>
      <c r="C225" s="352" t="e">
        <f t="shared" si="45"/>
        <v>#REF!</v>
      </c>
      <c r="D225" s="352" t="e">
        <f>VALO_PERSO!#REF!</f>
        <v>#REF!</v>
      </c>
      <c r="E225" s="352" t="e">
        <f>VALO_PERSO!#REF!</f>
        <v>#REF!</v>
      </c>
      <c r="F225" s="352" t="e">
        <f>VALO_PERSO!#REF!</f>
        <v>#REF!</v>
      </c>
    </row>
    <row r="226" spans="1:45" s="112" customFormat="1" ht="15.75" thickBot="1" x14ac:dyDescent="0.3">
      <c r="B226" s="339"/>
      <c r="C226" s="543" t="s">
        <v>449</v>
      </c>
      <c r="D226" s="544"/>
      <c r="E226" s="359" t="e">
        <f>SUM(E168:E225)</f>
        <v>#REF!</v>
      </c>
      <c r="F226" s="359" t="e">
        <f>SUM(F168:F225)</f>
        <v>#REF!</v>
      </c>
    </row>
    <row r="227" spans="1:45" s="112" customFormat="1" x14ac:dyDescent="0.25"/>
    <row r="228" spans="1:45" s="112" customFormat="1" ht="15.75" thickBot="1" x14ac:dyDescent="0.3">
      <c r="AS228" s="308"/>
    </row>
    <row r="229" spans="1:45" s="112" customFormat="1" ht="15.75" thickBot="1" x14ac:dyDescent="0.3">
      <c r="B229" s="383" t="s">
        <v>366</v>
      </c>
      <c r="C229" s="383" t="s">
        <v>719</v>
      </c>
      <c r="D229" s="383" t="s">
        <v>758</v>
      </c>
      <c r="E229" s="383" t="s">
        <v>759</v>
      </c>
      <c r="F229" s="383" t="s">
        <v>479</v>
      </c>
      <c r="G229" s="383" t="s">
        <v>760</v>
      </c>
      <c r="H229" s="383" t="s">
        <v>761</v>
      </c>
      <c r="I229" s="383" t="s">
        <v>760</v>
      </c>
      <c r="J229" s="383" t="s">
        <v>762</v>
      </c>
      <c r="K229" s="383" t="s">
        <v>763</v>
      </c>
      <c r="L229" s="383" t="s">
        <v>764</v>
      </c>
      <c r="M229" s="383" t="s">
        <v>765</v>
      </c>
      <c r="N229" s="383" t="s">
        <v>766</v>
      </c>
      <c r="O229" s="383" t="s">
        <v>767</v>
      </c>
      <c r="P229" s="383" t="s">
        <v>768</v>
      </c>
      <c r="Q229" s="383" t="s">
        <v>769</v>
      </c>
      <c r="R229" s="383" t="s">
        <v>770</v>
      </c>
      <c r="S229" s="383" t="s">
        <v>465</v>
      </c>
      <c r="T229" s="383" t="s">
        <v>722</v>
      </c>
      <c r="AS229" s="416"/>
    </row>
    <row r="230" spans="1:45" s="112" customFormat="1" ht="48.75" thickBot="1" x14ac:dyDescent="0.3">
      <c r="A230" s="112" t="s">
        <v>816</v>
      </c>
      <c r="B230" s="364">
        <f>VALO_PERSO!F5</f>
        <v>1</v>
      </c>
      <c r="C230" s="364" t="str">
        <f t="shared" ref="C230" si="46">CONCATENATE(C43," ",D43)</f>
        <v>PY Elodie</v>
      </c>
      <c r="D230" s="364" t="str">
        <f>VALO_PERSO!I5</f>
        <v>UX DESIGNER</v>
      </c>
      <c r="E230" s="364" t="str">
        <f>VALO_PERSO!J5</f>
        <v>Expert en stratégie digitale - IESA Multimedia - ECAD Consultants</v>
      </c>
      <c r="F230" s="365">
        <f>VALO_PERSO!M5</f>
        <v>45078</v>
      </c>
      <c r="G230" s="365">
        <f t="shared" ref="G230:G270" si="47">IF(F230&lt;DATE(2024,1,1),DATE(2024,1,1),F230)</f>
        <v>45292</v>
      </c>
      <c r="H230" s="365">
        <f>VALO_PERSO!N5</f>
        <v>0</v>
      </c>
      <c r="I230" s="365">
        <f t="shared" ref="I230:I270" si="48">IF(OR(ISBLANK(H230),H230=0),DATE(2024,12,31),H230)</f>
        <v>45657</v>
      </c>
      <c r="J230" s="364">
        <f t="shared" ref="J230:J270" si="49">I230-G230</f>
        <v>365</v>
      </c>
      <c r="K230" s="364">
        <f t="shared" ref="K230:K270" si="50">((J230/365)*12)/12</f>
        <v>1</v>
      </c>
      <c r="L230" s="364"/>
      <c r="M230" s="364">
        <f>VALO_PERSO!W5</f>
        <v>1680</v>
      </c>
      <c r="N230" s="384">
        <f t="shared" ref="N230:N270" si="51">S230/M230</f>
        <v>0.67321428571428577</v>
      </c>
      <c r="O230" s="385">
        <f t="shared" ref="O230:O274" si="52">P230/12</f>
        <v>4822.8733333333339</v>
      </c>
      <c r="P230" s="368">
        <f>VALO_PERSO!P5</f>
        <v>57874.48</v>
      </c>
      <c r="Q230" s="368">
        <f>VALO_PERSO!V5</f>
        <v>82537</v>
      </c>
      <c r="R230" s="368">
        <f>VALO_PERSO!X5</f>
        <v>49.12916666666667</v>
      </c>
      <c r="S230" s="386">
        <f>VALO_PERSO!W5-VALO_PERSO!AZ5</f>
        <v>1131</v>
      </c>
      <c r="T230" s="368">
        <f t="shared" ref="T230:T270" si="53">S230*R230</f>
        <v>55565.087500000001</v>
      </c>
    </row>
    <row r="231" spans="1:45" s="112" customFormat="1" ht="60.75" thickBot="1" x14ac:dyDescent="0.3">
      <c r="A231" s="112" t="s">
        <v>816</v>
      </c>
      <c r="B231" s="364">
        <f>VALO_PERSO!F6</f>
        <v>2</v>
      </c>
      <c r="C231" s="364" t="str">
        <f t="shared" ref="C231" si="54">CONCATENATE(C45," ",D45)</f>
        <v>GASPERIN Anthony</v>
      </c>
      <c r="D231" s="364" t="str">
        <f>VALO_PERSO!I6</f>
        <v>Lead Developer</v>
      </c>
      <c r="E231" s="364" t="str">
        <f>VALO_PERSO!J6</f>
        <v xml:space="preserve">Docteur en Sciences mention informatique - Université de Genève </v>
      </c>
      <c r="F231" s="365">
        <f>VALO_PERSO!M6</f>
        <v>45096</v>
      </c>
      <c r="G231" s="365">
        <f t="shared" ref="G231" si="55">IF(F231&lt;DATE(2024,1,1),DATE(2024,1,1),F231)</f>
        <v>45292</v>
      </c>
      <c r="H231" s="365">
        <f>VALO_PERSO!N6</f>
        <v>0</v>
      </c>
      <c r="I231" s="365">
        <f t="shared" ref="I231" si="56">IF(OR(ISBLANK(H231),H231=0),DATE(2024,12,31),H231)</f>
        <v>45657</v>
      </c>
      <c r="J231" s="364">
        <f t="shared" ref="J231" si="57">I231-G231</f>
        <v>365</v>
      </c>
      <c r="K231" s="364">
        <f t="shared" ref="K231" si="58">((J231/365)*12)/12</f>
        <v>1</v>
      </c>
      <c r="L231" s="364"/>
      <c r="M231" s="364">
        <f>VALO_PERSO!W6</f>
        <v>1728</v>
      </c>
      <c r="N231" s="384">
        <f t="shared" ref="N231" si="59">S231/M231</f>
        <v>0.40104166666666669</v>
      </c>
      <c r="O231" s="385">
        <f t="shared" ref="O231" si="60">P231/12</f>
        <v>5833.3300000000008</v>
      </c>
      <c r="P231" s="368">
        <f>VALO_PERSO!P6</f>
        <v>69999.960000000006</v>
      </c>
      <c r="Q231" s="368">
        <f>VALO_PERSO!V6</f>
        <v>99464.94</v>
      </c>
      <c r="R231" s="368">
        <f>VALO_PERSO!X6</f>
        <v>57.560729166666668</v>
      </c>
      <c r="S231" s="386">
        <f>VALO_PERSO!W6-VALO_PERSO!AZ6</f>
        <v>693</v>
      </c>
      <c r="T231" s="368">
        <f t="shared" ref="T231" si="61">S231*R231</f>
        <v>39889.585312499999</v>
      </c>
    </row>
    <row r="232" spans="1:45" s="112" customFormat="1" ht="60.75" thickBot="1" x14ac:dyDescent="0.3">
      <c r="A232" s="112" t="s">
        <v>816</v>
      </c>
      <c r="B232" s="364">
        <f>VALO_PERSO!F6</f>
        <v>2</v>
      </c>
      <c r="C232" s="364" t="e">
        <f t="shared" ref="C232" si="62">CONCATENATE(C47," ",D47)</f>
        <v>#REF!</v>
      </c>
      <c r="D232" s="364" t="str">
        <f>VALO_PERSO!I6</f>
        <v>Lead Developer</v>
      </c>
      <c r="E232" s="364" t="str">
        <f>VALO_PERSO!J6</f>
        <v xml:space="preserve">Docteur en Sciences mention informatique - Université de Genève </v>
      </c>
      <c r="F232" s="365">
        <f>VALO_PERSO!M6</f>
        <v>45096</v>
      </c>
      <c r="G232" s="365">
        <f t="shared" ref="G232" si="63">IF(F232&lt;DATE(2024,1,1),DATE(2024,1,1),F232)</f>
        <v>45292</v>
      </c>
      <c r="H232" s="365">
        <f>VALO_PERSO!N6</f>
        <v>0</v>
      </c>
      <c r="I232" s="365">
        <f t="shared" ref="I232" si="64">IF(OR(ISBLANK(H232),H232=0),DATE(2024,12,31),H232)</f>
        <v>45657</v>
      </c>
      <c r="J232" s="364">
        <f t="shared" ref="J232" si="65">I232-G232</f>
        <v>365</v>
      </c>
      <c r="K232" s="364">
        <f t="shared" ref="K232" si="66">((J232/365)*12)/12</f>
        <v>1</v>
      </c>
      <c r="L232" s="364"/>
      <c r="M232" s="364">
        <f>VALO_PERSO!W6</f>
        <v>1728</v>
      </c>
      <c r="N232" s="384">
        <f t="shared" ref="N232" si="67">S232/M232</f>
        <v>0.40104166666666669</v>
      </c>
      <c r="O232" s="385">
        <f t="shared" ref="O232" si="68">P232/12</f>
        <v>5833.3300000000008</v>
      </c>
      <c r="P232" s="368">
        <f>VALO_PERSO!P6</f>
        <v>69999.960000000006</v>
      </c>
      <c r="Q232" s="368">
        <f>VALO_PERSO!V6</f>
        <v>99464.94</v>
      </c>
      <c r="R232" s="368">
        <f>VALO_PERSO!X6</f>
        <v>57.560729166666668</v>
      </c>
      <c r="S232" s="386">
        <f>VALO_PERSO!W6-VALO_PERSO!AZ6</f>
        <v>693</v>
      </c>
      <c r="T232" s="368">
        <f t="shared" ref="T232" si="69">S232*R232</f>
        <v>39889.585312499999</v>
      </c>
    </row>
    <row r="233" spans="1:45" s="112" customFormat="1" ht="36.75" thickBot="1" x14ac:dyDescent="0.3">
      <c r="A233" s="112" t="s">
        <v>816</v>
      </c>
      <c r="B233" s="364">
        <f>VALO_PERSO!F7</f>
        <v>5</v>
      </c>
      <c r="C233" s="364" t="e">
        <f t="shared" ref="C233" si="70">CONCATENATE(C49," ",D49)</f>
        <v>#REF!</v>
      </c>
      <c r="D233" s="364" t="str">
        <f>VALO_PERSO!I7</f>
        <v>Apprenti</v>
      </c>
      <c r="E233" s="364" t="str">
        <f>VALO_PERSO!J7</f>
        <v>Baccalauréat Général - Acadmie de Grenoble</v>
      </c>
      <c r="F233" s="365">
        <f>VALO_PERSO!M7</f>
        <v>45215</v>
      </c>
      <c r="G233" s="365">
        <f t="shared" ref="G233" si="71">IF(F233&lt;DATE(2024,1,1),DATE(2024,1,1),F233)</f>
        <v>45292</v>
      </c>
      <c r="H233" s="365">
        <f>VALO_PERSO!N7</f>
        <v>0</v>
      </c>
      <c r="I233" s="365">
        <f t="shared" ref="I233" si="72">IF(OR(ISBLANK(H233),H233=0),DATE(2024,12,31),H233)</f>
        <v>45657</v>
      </c>
      <c r="J233" s="364">
        <f t="shared" ref="J233" si="73">I233-G233</f>
        <v>365</v>
      </c>
      <c r="K233" s="364">
        <f t="shared" ref="K233" si="74">((J233/365)*12)/12</f>
        <v>1</v>
      </c>
      <c r="L233" s="364"/>
      <c r="M233" s="364">
        <f>VALO_PERSO!W7</f>
        <v>1040.69</v>
      </c>
      <c r="N233" s="384">
        <f t="shared" ref="N233" si="75">S233/M233</f>
        <v>0.21235910789956663</v>
      </c>
      <c r="O233" s="385">
        <f t="shared" ref="O233" si="76">P233/12</f>
        <v>965.16833333333341</v>
      </c>
      <c r="P233" s="368">
        <f>VALO_PERSO!P7</f>
        <v>11582.02</v>
      </c>
      <c r="Q233" s="368">
        <f>VALO_PERSO!V7</f>
        <v>12266.77</v>
      </c>
      <c r="R233" s="368">
        <f>VALO_PERSO!X7</f>
        <v>11.787150832620664</v>
      </c>
      <c r="S233" s="386">
        <f>VALO_PERSO!W7-VALO_PERSO!AZ7</f>
        <v>221</v>
      </c>
      <c r="T233" s="368">
        <f t="shared" ref="T233" si="77">S233*R233</f>
        <v>2604.9603340091667</v>
      </c>
    </row>
    <row r="234" spans="1:45" s="112" customFormat="1" ht="15.75" thickBot="1" x14ac:dyDescent="0.3">
      <c r="A234" s="112" t="s">
        <v>816</v>
      </c>
      <c r="B234" s="364" t="e">
        <f>VALO_PERSO!#REF!</f>
        <v>#REF!</v>
      </c>
      <c r="C234" s="364" t="str">
        <f t="shared" ref="C234" si="78">CONCATENATE(C87," ",D87)</f>
        <v>GASPERIN Anthony</v>
      </c>
      <c r="D234" s="364" t="e">
        <f>VALO_PERSO!#REF!</f>
        <v>#REF!</v>
      </c>
      <c r="E234" s="364" t="e">
        <f>VALO_PERSO!#REF!</f>
        <v>#REF!</v>
      </c>
      <c r="F234" s="365" t="e">
        <f>VALO_PERSO!#REF!</f>
        <v>#REF!</v>
      </c>
      <c r="G234" s="365" t="e">
        <f t="shared" si="47"/>
        <v>#REF!</v>
      </c>
      <c r="H234" s="365" t="e">
        <f>VALO_PERSO!#REF!</f>
        <v>#REF!</v>
      </c>
      <c r="I234" s="365" t="e">
        <f t="shared" si="48"/>
        <v>#REF!</v>
      </c>
      <c r="J234" s="364" t="e">
        <f t="shared" si="49"/>
        <v>#REF!</v>
      </c>
      <c r="K234" s="364" t="e">
        <f t="shared" si="50"/>
        <v>#REF!</v>
      </c>
      <c r="L234" s="364"/>
      <c r="M234" s="364" t="e">
        <f>VALO_PERSO!#REF!</f>
        <v>#REF!</v>
      </c>
      <c r="N234" s="384" t="e">
        <f t="shared" si="51"/>
        <v>#REF!</v>
      </c>
      <c r="O234" s="385" t="e">
        <f t="shared" si="52"/>
        <v>#REF!</v>
      </c>
      <c r="P234" s="368" t="e">
        <f>VALO_PERSO!#REF!</f>
        <v>#REF!</v>
      </c>
      <c r="Q234" s="368" t="e">
        <f>VALO_PERSO!#REF!</f>
        <v>#REF!</v>
      </c>
      <c r="R234" s="368" t="e">
        <f>VALO_PERSO!#REF!</f>
        <v>#REF!</v>
      </c>
      <c r="S234" s="386" t="e">
        <f>VALO_PERSO!#REF!-VALO_PERSO!#REF!</f>
        <v>#REF!</v>
      </c>
      <c r="T234" s="368" t="e">
        <f t="shared" si="53"/>
        <v>#REF!</v>
      </c>
    </row>
    <row r="235" spans="1:45" s="112" customFormat="1" ht="15.75" thickBot="1" x14ac:dyDescent="0.3">
      <c r="A235" s="112" t="s">
        <v>816</v>
      </c>
      <c r="B235" s="364" t="e">
        <f>VALO_PERSO!#REF!</f>
        <v>#REF!</v>
      </c>
      <c r="C235" s="364" t="str">
        <f t="shared" ref="C235" si="79">CONCATENATE(C88," ",D88)</f>
        <v>LA CORTE Matias</v>
      </c>
      <c r="D235" s="364" t="e">
        <f>VALO_PERSO!#REF!</f>
        <v>#REF!</v>
      </c>
      <c r="E235" s="364" t="e">
        <f>VALO_PERSO!#REF!</f>
        <v>#REF!</v>
      </c>
      <c r="F235" s="365" t="e">
        <f>VALO_PERSO!#REF!</f>
        <v>#REF!</v>
      </c>
      <c r="G235" s="365" t="e">
        <f t="shared" ref="G235" si="80">IF(F235&lt;DATE(2024,1,1),DATE(2024,1,1),F235)</f>
        <v>#REF!</v>
      </c>
      <c r="H235" s="365" t="e">
        <f>VALO_PERSO!#REF!</f>
        <v>#REF!</v>
      </c>
      <c r="I235" s="365" t="e">
        <f t="shared" ref="I235" si="81">IF(OR(ISBLANK(H235),H235=0),DATE(2024,12,31),H235)</f>
        <v>#REF!</v>
      </c>
      <c r="J235" s="364" t="e">
        <f t="shared" ref="J235" si="82">I235-G235</f>
        <v>#REF!</v>
      </c>
      <c r="K235" s="364" t="e">
        <f t="shared" ref="K235" si="83">((J235/365)*12)/12</f>
        <v>#REF!</v>
      </c>
      <c r="L235" s="364"/>
      <c r="M235" s="364" t="e">
        <f>VALO_PERSO!#REF!</f>
        <v>#REF!</v>
      </c>
      <c r="N235" s="384" t="e">
        <f t="shared" ref="N235" si="84">S235/M235</f>
        <v>#REF!</v>
      </c>
      <c r="O235" s="385" t="e">
        <f t="shared" ref="O235" si="85">P235/12</f>
        <v>#REF!</v>
      </c>
      <c r="P235" s="368" t="e">
        <f>VALO_PERSO!#REF!</f>
        <v>#REF!</v>
      </c>
      <c r="Q235" s="368" t="e">
        <f>VALO_PERSO!#REF!</f>
        <v>#REF!</v>
      </c>
      <c r="R235" s="368" t="e">
        <f>VALO_PERSO!#REF!</f>
        <v>#REF!</v>
      </c>
      <c r="S235" s="386" t="e">
        <f>VALO_PERSO!#REF!-VALO_PERSO!#REF!</f>
        <v>#REF!</v>
      </c>
      <c r="T235" s="368" t="e">
        <f t="shared" ref="T235" si="86">S235*R235</f>
        <v>#REF!</v>
      </c>
    </row>
    <row r="236" spans="1:45" s="112" customFormat="1" ht="15.75" thickBot="1" x14ac:dyDescent="0.3">
      <c r="A236" s="112" t="s">
        <v>816</v>
      </c>
      <c r="B236" s="364" t="e">
        <f>VALO_PERSO!#REF!</f>
        <v>#REF!</v>
      </c>
      <c r="C236" s="364" t="str">
        <f t="shared" ref="C236" si="87">CONCATENATE(C88," ",D88)</f>
        <v>LA CORTE Matias</v>
      </c>
      <c r="D236" s="364" t="e">
        <f>VALO_PERSO!#REF!</f>
        <v>#REF!</v>
      </c>
      <c r="E236" s="364" t="e">
        <f>VALO_PERSO!#REF!</f>
        <v>#REF!</v>
      </c>
      <c r="F236" s="365" t="e">
        <f>VALO_PERSO!#REF!</f>
        <v>#REF!</v>
      </c>
      <c r="G236" s="365" t="e">
        <f t="shared" ref="G236" si="88">IF(F236&lt;DATE(2024,1,1),DATE(2024,1,1),F236)</f>
        <v>#REF!</v>
      </c>
      <c r="H236" s="365" t="e">
        <f>VALO_PERSO!#REF!</f>
        <v>#REF!</v>
      </c>
      <c r="I236" s="365" t="e">
        <f t="shared" ref="I236" si="89">IF(OR(ISBLANK(H236),H236=0),DATE(2024,12,31),H236)</f>
        <v>#REF!</v>
      </c>
      <c r="J236" s="364" t="e">
        <f t="shared" ref="J236" si="90">I236-G236</f>
        <v>#REF!</v>
      </c>
      <c r="K236" s="364" t="e">
        <f t="shared" ref="K236" si="91">((J236/365)*12)/12</f>
        <v>#REF!</v>
      </c>
      <c r="L236" s="364"/>
      <c r="M236" s="364" t="e">
        <f>VALO_PERSO!#REF!</f>
        <v>#REF!</v>
      </c>
      <c r="N236" s="384" t="e">
        <f t="shared" ref="N236" si="92">S236/M236</f>
        <v>#REF!</v>
      </c>
      <c r="O236" s="385" t="e">
        <f t="shared" ref="O236" si="93">P236/12</f>
        <v>#REF!</v>
      </c>
      <c r="P236" s="368" t="e">
        <f>VALO_PERSO!#REF!</f>
        <v>#REF!</v>
      </c>
      <c r="Q236" s="368" t="e">
        <f>VALO_PERSO!#REF!</f>
        <v>#REF!</v>
      </c>
      <c r="R236" s="368" t="e">
        <f>VALO_PERSO!#REF!</f>
        <v>#REF!</v>
      </c>
      <c r="S236" s="386" t="e">
        <f>VALO_PERSO!#REF!-VALO_PERSO!#REF!</f>
        <v>#REF!</v>
      </c>
      <c r="T236" s="368" t="e">
        <f t="shared" ref="T236" si="94">S236*R236</f>
        <v>#REF!</v>
      </c>
    </row>
    <row r="237" spans="1:45" s="112" customFormat="1" ht="15.75" thickBot="1" x14ac:dyDescent="0.3">
      <c r="A237" s="112" t="s">
        <v>816</v>
      </c>
      <c r="B237" s="364" t="e">
        <f>VALO_PERSO!#REF!</f>
        <v>#REF!</v>
      </c>
      <c r="C237" s="364" t="str">
        <f t="shared" ref="C237" si="95">CONCATENATE(C89," ",D89)</f>
        <v>WIRTH Romain</v>
      </c>
      <c r="D237" s="364" t="e">
        <f>VALO_PERSO!#REF!</f>
        <v>#REF!</v>
      </c>
      <c r="E237" s="364" t="e">
        <f>VALO_PERSO!#REF!</f>
        <v>#REF!</v>
      </c>
      <c r="F237" s="365" t="e">
        <f>VALO_PERSO!#REF!</f>
        <v>#REF!</v>
      </c>
      <c r="G237" s="365" t="e">
        <f t="shared" ref="G237" si="96">IF(F237&lt;DATE(2024,1,1),DATE(2024,1,1),F237)</f>
        <v>#REF!</v>
      </c>
      <c r="H237" s="365" t="e">
        <f>VALO_PERSO!#REF!</f>
        <v>#REF!</v>
      </c>
      <c r="I237" s="365" t="e">
        <f t="shared" ref="I237" si="97">IF(OR(ISBLANK(H237),H237=0),DATE(2024,12,31),H237)</f>
        <v>#REF!</v>
      </c>
      <c r="J237" s="364" t="e">
        <f t="shared" ref="J237" si="98">I237-G237</f>
        <v>#REF!</v>
      </c>
      <c r="K237" s="364" t="e">
        <f t="shared" ref="K237" si="99">((J237/365)*12)/12</f>
        <v>#REF!</v>
      </c>
      <c r="L237" s="364"/>
      <c r="M237" s="364" t="e">
        <f>VALO_PERSO!#REF!</f>
        <v>#REF!</v>
      </c>
      <c r="N237" s="384" t="e">
        <f t="shared" ref="N237" si="100">S237/M237</f>
        <v>#REF!</v>
      </c>
      <c r="O237" s="385" t="e">
        <f t="shared" ref="O237" si="101">P237/12</f>
        <v>#REF!</v>
      </c>
      <c r="P237" s="368" t="e">
        <f>VALO_PERSO!#REF!</f>
        <v>#REF!</v>
      </c>
      <c r="Q237" s="368" t="e">
        <f>VALO_PERSO!#REF!</f>
        <v>#REF!</v>
      </c>
      <c r="R237" s="368" t="e">
        <f>VALO_PERSO!#REF!</f>
        <v>#REF!</v>
      </c>
      <c r="S237" s="386" t="e">
        <f>VALO_PERSO!#REF!-VALO_PERSO!#REF!</f>
        <v>#REF!</v>
      </c>
      <c r="T237" s="368" t="e">
        <f t="shared" ref="T237" si="102">S237*R237</f>
        <v>#REF!</v>
      </c>
    </row>
    <row r="238" spans="1:45" s="112" customFormat="1" ht="15.75" thickBot="1" x14ac:dyDescent="0.3">
      <c r="A238" s="112" t="s">
        <v>816</v>
      </c>
      <c r="B238" s="364" t="e">
        <f>VALO_PERSO!#REF!</f>
        <v>#REF!</v>
      </c>
      <c r="C238" s="364" t="str">
        <f t="shared" ref="C238" si="103">CONCATENATE(C87," ",D87)</f>
        <v>GASPERIN Anthony</v>
      </c>
      <c r="D238" s="364" t="e">
        <f>VALO_PERSO!#REF!</f>
        <v>#REF!</v>
      </c>
      <c r="E238" s="364" t="e">
        <f>VALO_PERSO!#REF!</f>
        <v>#REF!</v>
      </c>
      <c r="F238" s="365" t="e">
        <f>VALO_PERSO!#REF!</f>
        <v>#REF!</v>
      </c>
      <c r="G238" s="365" t="e">
        <f t="shared" si="47"/>
        <v>#REF!</v>
      </c>
      <c r="H238" s="365" t="e">
        <f>VALO_PERSO!#REF!</f>
        <v>#REF!</v>
      </c>
      <c r="I238" s="365" t="e">
        <f t="shared" si="48"/>
        <v>#REF!</v>
      </c>
      <c r="J238" s="364" t="e">
        <f t="shared" si="49"/>
        <v>#REF!</v>
      </c>
      <c r="K238" s="364" t="e">
        <f t="shared" si="50"/>
        <v>#REF!</v>
      </c>
      <c r="L238" s="364"/>
      <c r="M238" s="364" t="e">
        <f>VALO_PERSO!#REF!</f>
        <v>#REF!</v>
      </c>
      <c r="N238" s="384" t="e">
        <f t="shared" si="51"/>
        <v>#REF!</v>
      </c>
      <c r="O238" s="385" t="e">
        <f t="shared" si="52"/>
        <v>#REF!</v>
      </c>
      <c r="P238" s="368" t="e">
        <f>VALO_PERSO!#REF!</f>
        <v>#REF!</v>
      </c>
      <c r="Q238" s="368" t="e">
        <f>VALO_PERSO!#REF!</f>
        <v>#REF!</v>
      </c>
      <c r="R238" s="368" t="e">
        <f>VALO_PERSO!#REF!</f>
        <v>#REF!</v>
      </c>
      <c r="S238" s="386" t="e">
        <f>VALO_PERSO!#REF!-VALO_PERSO!#REF!</f>
        <v>#REF!</v>
      </c>
      <c r="T238" s="368" t="e">
        <f t="shared" si="53"/>
        <v>#REF!</v>
      </c>
    </row>
    <row r="239" spans="1:45" s="112" customFormat="1" ht="15.75" thickBot="1" x14ac:dyDescent="0.3">
      <c r="A239" s="112" t="s">
        <v>816</v>
      </c>
      <c r="B239" s="364" t="e">
        <f>VALO_PERSO!#REF!</f>
        <v>#REF!</v>
      </c>
      <c r="C239" s="364" t="str">
        <f t="shared" ref="C239" si="104">CONCATENATE(C88," ",D88)</f>
        <v>LA CORTE Matias</v>
      </c>
      <c r="D239" s="364" t="e">
        <f>VALO_PERSO!#REF!</f>
        <v>#REF!</v>
      </c>
      <c r="E239" s="364" t="e">
        <f>VALO_PERSO!#REF!</f>
        <v>#REF!</v>
      </c>
      <c r="F239" s="365" t="e">
        <f>VALO_PERSO!#REF!</f>
        <v>#REF!</v>
      </c>
      <c r="G239" s="365" t="e">
        <f t="shared" ref="G239" si="105">IF(F239&lt;DATE(2024,1,1),DATE(2024,1,1),F239)</f>
        <v>#REF!</v>
      </c>
      <c r="H239" s="365" t="e">
        <f>VALO_PERSO!#REF!</f>
        <v>#REF!</v>
      </c>
      <c r="I239" s="365" t="e">
        <f t="shared" ref="I239" si="106">IF(OR(ISBLANK(H239),H239=0),DATE(2024,12,31),H239)</f>
        <v>#REF!</v>
      </c>
      <c r="J239" s="364" t="e">
        <f t="shared" ref="J239" si="107">I239-G239</f>
        <v>#REF!</v>
      </c>
      <c r="K239" s="364" t="e">
        <f t="shared" ref="K239" si="108">((J239/365)*12)/12</f>
        <v>#REF!</v>
      </c>
      <c r="L239" s="364"/>
      <c r="M239" s="364" t="e">
        <f>VALO_PERSO!#REF!</f>
        <v>#REF!</v>
      </c>
      <c r="N239" s="384" t="e">
        <f t="shared" ref="N239" si="109">S239/M239</f>
        <v>#REF!</v>
      </c>
      <c r="O239" s="385" t="e">
        <f t="shared" ref="O239" si="110">P239/12</f>
        <v>#REF!</v>
      </c>
      <c r="P239" s="368" t="e">
        <f>VALO_PERSO!#REF!</f>
        <v>#REF!</v>
      </c>
      <c r="Q239" s="368" t="e">
        <f>VALO_PERSO!#REF!</f>
        <v>#REF!</v>
      </c>
      <c r="R239" s="368" t="e">
        <f>VALO_PERSO!#REF!</f>
        <v>#REF!</v>
      </c>
      <c r="S239" s="386" t="e">
        <f>VALO_PERSO!#REF!-VALO_PERSO!#REF!</f>
        <v>#REF!</v>
      </c>
      <c r="T239" s="368" t="e">
        <f t="shared" ref="T239" si="111">S239*R239</f>
        <v>#REF!</v>
      </c>
    </row>
    <row r="240" spans="1:45" s="112" customFormat="1" ht="15.75" thickBot="1" x14ac:dyDescent="0.3">
      <c r="A240" s="112" t="s">
        <v>816</v>
      </c>
      <c r="B240" s="364" t="e">
        <f>VALO_PERSO!#REF!</f>
        <v>#REF!</v>
      </c>
      <c r="C240" s="364" t="str">
        <f t="shared" ref="C240" si="112">CONCATENATE(C88," ",D88)</f>
        <v>LA CORTE Matias</v>
      </c>
      <c r="D240" s="364" t="e">
        <f>VALO_PERSO!#REF!</f>
        <v>#REF!</v>
      </c>
      <c r="E240" s="364" t="e">
        <f>VALO_PERSO!#REF!</f>
        <v>#REF!</v>
      </c>
      <c r="F240" s="365" t="e">
        <f>VALO_PERSO!#REF!</f>
        <v>#REF!</v>
      </c>
      <c r="G240" s="365" t="e">
        <f t="shared" ref="G240" si="113">IF(F240&lt;DATE(2024,1,1),DATE(2024,1,1),F240)</f>
        <v>#REF!</v>
      </c>
      <c r="H240" s="365" t="e">
        <f>VALO_PERSO!#REF!</f>
        <v>#REF!</v>
      </c>
      <c r="I240" s="365" t="e">
        <f t="shared" ref="I240" si="114">IF(OR(ISBLANK(H240),H240=0),DATE(2024,12,31),H240)</f>
        <v>#REF!</v>
      </c>
      <c r="J240" s="364" t="e">
        <f t="shared" ref="J240" si="115">I240-G240</f>
        <v>#REF!</v>
      </c>
      <c r="K240" s="364" t="e">
        <f t="shared" ref="K240" si="116">((J240/365)*12)/12</f>
        <v>#REF!</v>
      </c>
      <c r="L240" s="364"/>
      <c r="M240" s="364" t="e">
        <f>VALO_PERSO!#REF!</f>
        <v>#REF!</v>
      </c>
      <c r="N240" s="384" t="e">
        <f t="shared" ref="N240" si="117">S240/M240</f>
        <v>#REF!</v>
      </c>
      <c r="O240" s="385" t="e">
        <f t="shared" ref="O240" si="118">P240/12</f>
        <v>#REF!</v>
      </c>
      <c r="P240" s="368" t="e">
        <f>VALO_PERSO!#REF!</f>
        <v>#REF!</v>
      </c>
      <c r="Q240" s="368" t="e">
        <f>VALO_PERSO!#REF!</f>
        <v>#REF!</v>
      </c>
      <c r="R240" s="368" t="e">
        <f>VALO_PERSO!#REF!</f>
        <v>#REF!</v>
      </c>
      <c r="S240" s="386" t="e">
        <f>VALO_PERSO!#REF!-VALO_PERSO!#REF!</f>
        <v>#REF!</v>
      </c>
      <c r="T240" s="368" t="e">
        <f t="shared" ref="T240" si="119">S240*R240</f>
        <v>#REF!</v>
      </c>
    </row>
    <row r="241" spans="1:20" s="112" customFormat="1" ht="15.75" thickBot="1" x14ac:dyDescent="0.3">
      <c r="A241" s="112" t="s">
        <v>816</v>
      </c>
      <c r="B241" s="364" t="e">
        <f>VALO_PERSO!#REF!</f>
        <v>#REF!</v>
      </c>
      <c r="C241" s="364" t="str">
        <f t="shared" ref="C241" si="120">CONCATENATE(C89," ",D89)</f>
        <v>WIRTH Romain</v>
      </c>
      <c r="D241" s="364" t="e">
        <f>VALO_PERSO!#REF!</f>
        <v>#REF!</v>
      </c>
      <c r="E241" s="364" t="e">
        <f>VALO_PERSO!#REF!</f>
        <v>#REF!</v>
      </c>
      <c r="F241" s="365" t="e">
        <f>VALO_PERSO!#REF!</f>
        <v>#REF!</v>
      </c>
      <c r="G241" s="365" t="e">
        <f t="shared" ref="G241" si="121">IF(F241&lt;DATE(2024,1,1),DATE(2024,1,1),F241)</f>
        <v>#REF!</v>
      </c>
      <c r="H241" s="365" t="e">
        <f>VALO_PERSO!#REF!</f>
        <v>#REF!</v>
      </c>
      <c r="I241" s="365" t="e">
        <f t="shared" ref="I241" si="122">IF(OR(ISBLANK(H241),H241=0),DATE(2024,12,31),H241)</f>
        <v>#REF!</v>
      </c>
      <c r="J241" s="364" t="e">
        <f t="shared" ref="J241" si="123">I241-G241</f>
        <v>#REF!</v>
      </c>
      <c r="K241" s="364" t="e">
        <f t="shared" ref="K241" si="124">((J241/365)*12)/12</f>
        <v>#REF!</v>
      </c>
      <c r="L241" s="364"/>
      <c r="M241" s="364" t="e">
        <f>VALO_PERSO!#REF!</f>
        <v>#REF!</v>
      </c>
      <c r="N241" s="384" t="e">
        <f t="shared" ref="N241" si="125">S241/M241</f>
        <v>#REF!</v>
      </c>
      <c r="O241" s="385" t="e">
        <f t="shared" ref="O241" si="126">P241/12</f>
        <v>#REF!</v>
      </c>
      <c r="P241" s="368" t="e">
        <f>VALO_PERSO!#REF!</f>
        <v>#REF!</v>
      </c>
      <c r="Q241" s="368" t="e">
        <f>VALO_PERSO!#REF!</f>
        <v>#REF!</v>
      </c>
      <c r="R241" s="368" t="e">
        <f>VALO_PERSO!#REF!</f>
        <v>#REF!</v>
      </c>
      <c r="S241" s="386" t="e">
        <f>VALO_PERSO!#REF!-VALO_PERSO!#REF!</f>
        <v>#REF!</v>
      </c>
      <c r="T241" s="368" t="e">
        <f t="shared" ref="T241" si="127">S241*R241</f>
        <v>#REF!</v>
      </c>
    </row>
    <row r="242" spans="1:20" s="112" customFormat="1" ht="15.75" thickBot="1" x14ac:dyDescent="0.3">
      <c r="A242" s="112" t="s">
        <v>816</v>
      </c>
      <c r="B242" s="364" t="e">
        <f>VALO_PERSO!#REF!</f>
        <v>#REF!</v>
      </c>
      <c r="C242" s="364" t="str">
        <f t="shared" ref="C242" si="128">CONCATENATE(C87," ",D87)</f>
        <v>GASPERIN Anthony</v>
      </c>
      <c r="D242" s="364" t="e">
        <f>VALO_PERSO!#REF!</f>
        <v>#REF!</v>
      </c>
      <c r="E242" s="364" t="e">
        <f>VALO_PERSO!#REF!</f>
        <v>#REF!</v>
      </c>
      <c r="F242" s="365" t="e">
        <f>VALO_PERSO!#REF!</f>
        <v>#REF!</v>
      </c>
      <c r="G242" s="365" t="e">
        <f t="shared" si="47"/>
        <v>#REF!</v>
      </c>
      <c r="H242" s="365" t="e">
        <f>VALO_PERSO!#REF!</f>
        <v>#REF!</v>
      </c>
      <c r="I242" s="365" t="e">
        <f t="shared" si="48"/>
        <v>#REF!</v>
      </c>
      <c r="J242" s="364" t="e">
        <f t="shared" si="49"/>
        <v>#REF!</v>
      </c>
      <c r="K242" s="364" t="e">
        <f t="shared" si="50"/>
        <v>#REF!</v>
      </c>
      <c r="L242" s="364"/>
      <c r="M242" s="364" t="e">
        <f>VALO_PERSO!#REF!</f>
        <v>#REF!</v>
      </c>
      <c r="N242" s="384" t="e">
        <f t="shared" si="51"/>
        <v>#REF!</v>
      </c>
      <c r="O242" s="385" t="e">
        <f t="shared" si="52"/>
        <v>#REF!</v>
      </c>
      <c r="P242" s="368" t="e">
        <f>VALO_PERSO!#REF!</f>
        <v>#REF!</v>
      </c>
      <c r="Q242" s="368" t="e">
        <f>VALO_PERSO!#REF!</f>
        <v>#REF!</v>
      </c>
      <c r="R242" s="368" t="e">
        <f>VALO_PERSO!#REF!</f>
        <v>#REF!</v>
      </c>
      <c r="S242" s="386" t="e">
        <f>VALO_PERSO!#REF!-VALO_PERSO!#REF!</f>
        <v>#REF!</v>
      </c>
      <c r="T242" s="368" t="e">
        <f t="shared" si="53"/>
        <v>#REF!</v>
      </c>
    </row>
    <row r="243" spans="1:20" s="112" customFormat="1" ht="15.75" thickBot="1" x14ac:dyDescent="0.3">
      <c r="A243" s="112" t="s">
        <v>816</v>
      </c>
      <c r="B243" s="364" t="e">
        <f>VALO_PERSO!#REF!</f>
        <v>#REF!</v>
      </c>
      <c r="C243" s="364" t="str">
        <f t="shared" ref="C243" si="129">CONCATENATE(C88," ",D88)</f>
        <v>LA CORTE Matias</v>
      </c>
      <c r="D243" s="364" t="e">
        <f>VALO_PERSO!#REF!</f>
        <v>#REF!</v>
      </c>
      <c r="E243" s="364" t="e">
        <f>VALO_PERSO!#REF!</f>
        <v>#REF!</v>
      </c>
      <c r="F243" s="365" t="e">
        <f>VALO_PERSO!#REF!</f>
        <v>#REF!</v>
      </c>
      <c r="G243" s="365" t="e">
        <f t="shared" ref="G243" si="130">IF(F243&lt;DATE(2024,1,1),DATE(2024,1,1),F243)</f>
        <v>#REF!</v>
      </c>
      <c r="H243" s="365" t="e">
        <f>VALO_PERSO!#REF!</f>
        <v>#REF!</v>
      </c>
      <c r="I243" s="365" t="e">
        <f t="shared" ref="I243" si="131">IF(OR(ISBLANK(H243),H243=0),DATE(2024,12,31),H243)</f>
        <v>#REF!</v>
      </c>
      <c r="J243" s="364" t="e">
        <f t="shared" ref="J243" si="132">I243-G243</f>
        <v>#REF!</v>
      </c>
      <c r="K243" s="364" t="e">
        <f t="shared" ref="K243" si="133">((J243/365)*12)/12</f>
        <v>#REF!</v>
      </c>
      <c r="L243" s="364"/>
      <c r="M243" s="364" t="e">
        <f>VALO_PERSO!#REF!</f>
        <v>#REF!</v>
      </c>
      <c r="N243" s="384" t="e">
        <f t="shared" ref="N243" si="134">S243/M243</f>
        <v>#REF!</v>
      </c>
      <c r="O243" s="385" t="e">
        <f t="shared" ref="O243" si="135">P243/12</f>
        <v>#REF!</v>
      </c>
      <c r="P243" s="368" t="e">
        <f>VALO_PERSO!#REF!</f>
        <v>#REF!</v>
      </c>
      <c r="Q243" s="368" t="e">
        <f>VALO_PERSO!#REF!</f>
        <v>#REF!</v>
      </c>
      <c r="R243" s="368" t="e">
        <f>VALO_PERSO!#REF!</f>
        <v>#REF!</v>
      </c>
      <c r="S243" s="386" t="e">
        <f>VALO_PERSO!#REF!-VALO_PERSO!#REF!</f>
        <v>#REF!</v>
      </c>
      <c r="T243" s="368" t="e">
        <f t="shared" ref="T243" si="136">S243*R243</f>
        <v>#REF!</v>
      </c>
    </row>
    <row r="244" spans="1:20" s="112" customFormat="1" ht="15.75" thickBot="1" x14ac:dyDescent="0.3">
      <c r="A244" s="112" t="s">
        <v>816</v>
      </c>
      <c r="B244" s="364" t="e">
        <f>VALO_PERSO!#REF!</f>
        <v>#REF!</v>
      </c>
      <c r="C244" s="364" t="str">
        <f t="shared" ref="C244" si="137">CONCATENATE(C88," ",D88)</f>
        <v>LA CORTE Matias</v>
      </c>
      <c r="D244" s="364" t="e">
        <f>VALO_PERSO!#REF!</f>
        <v>#REF!</v>
      </c>
      <c r="E244" s="364" t="e">
        <f>VALO_PERSO!#REF!</f>
        <v>#REF!</v>
      </c>
      <c r="F244" s="365" t="e">
        <f>VALO_PERSO!#REF!</f>
        <v>#REF!</v>
      </c>
      <c r="G244" s="365" t="e">
        <f t="shared" ref="G244" si="138">IF(F244&lt;DATE(2024,1,1),DATE(2024,1,1),F244)</f>
        <v>#REF!</v>
      </c>
      <c r="H244" s="365" t="e">
        <f>VALO_PERSO!#REF!</f>
        <v>#REF!</v>
      </c>
      <c r="I244" s="365" t="e">
        <f t="shared" ref="I244" si="139">IF(OR(ISBLANK(H244),H244=0),DATE(2024,12,31),H244)</f>
        <v>#REF!</v>
      </c>
      <c r="J244" s="364" t="e">
        <f t="shared" ref="J244" si="140">I244-G244</f>
        <v>#REF!</v>
      </c>
      <c r="K244" s="364" t="e">
        <f t="shared" ref="K244" si="141">((J244/365)*12)/12</f>
        <v>#REF!</v>
      </c>
      <c r="L244" s="364"/>
      <c r="M244" s="364" t="e">
        <f>VALO_PERSO!#REF!</f>
        <v>#REF!</v>
      </c>
      <c r="N244" s="384" t="e">
        <f t="shared" ref="N244" si="142">S244/M244</f>
        <v>#REF!</v>
      </c>
      <c r="O244" s="385" t="e">
        <f t="shared" ref="O244" si="143">P244/12</f>
        <v>#REF!</v>
      </c>
      <c r="P244" s="368" t="e">
        <f>VALO_PERSO!#REF!</f>
        <v>#REF!</v>
      </c>
      <c r="Q244" s="368" t="e">
        <f>VALO_PERSO!#REF!</f>
        <v>#REF!</v>
      </c>
      <c r="R244" s="368" t="e">
        <f>VALO_PERSO!#REF!</f>
        <v>#REF!</v>
      </c>
      <c r="S244" s="386" t="e">
        <f>VALO_PERSO!#REF!-VALO_PERSO!#REF!</f>
        <v>#REF!</v>
      </c>
      <c r="T244" s="368" t="e">
        <f t="shared" ref="T244" si="144">S244*R244</f>
        <v>#REF!</v>
      </c>
    </row>
    <row r="245" spans="1:20" s="112" customFormat="1" ht="15.75" thickBot="1" x14ac:dyDescent="0.3">
      <c r="A245" s="112" t="s">
        <v>816</v>
      </c>
      <c r="B245" s="364" t="e">
        <f>VALO_PERSO!#REF!</f>
        <v>#REF!</v>
      </c>
      <c r="C245" s="364" t="str">
        <f t="shared" ref="C245" si="145">CONCATENATE(C89," ",D89)</f>
        <v>WIRTH Romain</v>
      </c>
      <c r="D245" s="364" t="e">
        <f>VALO_PERSO!#REF!</f>
        <v>#REF!</v>
      </c>
      <c r="E245" s="364" t="e">
        <f>VALO_PERSO!#REF!</f>
        <v>#REF!</v>
      </c>
      <c r="F245" s="365" t="e">
        <f>VALO_PERSO!#REF!</f>
        <v>#REF!</v>
      </c>
      <c r="G245" s="365" t="e">
        <f t="shared" ref="G245" si="146">IF(F245&lt;DATE(2024,1,1),DATE(2024,1,1),F245)</f>
        <v>#REF!</v>
      </c>
      <c r="H245" s="365" t="e">
        <f>VALO_PERSO!#REF!</f>
        <v>#REF!</v>
      </c>
      <c r="I245" s="365" t="e">
        <f t="shared" ref="I245" si="147">IF(OR(ISBLANK(H245),H245=0),DATE(2024,12,31),H245)</f>
        <v>#REF!</v>
      </c>
      <c r="J245" s="364" t="e">
        <f t="shared" ref="J245" si="148">I245-G245</f>
        <v>#REF!</v>
      </c>
      <c r="K245" s="364" t="e">
        <f t="shared" ref="K245" si="149">((J245/365)*12)/12</f>
        <v>#REF!</v>
      </c>
      <c r="L245" s="364"/>
      <c r="M245" s="364" t="e">
        <f>VALO_PERSO!#REF!</f>
        <v>#REF!</v>
      </c>
      <c r="N245" s="384" t="e">
        <f t="shared" ref="N245" si="150">S245/M245</f>
        <v>#REF!</v>
      </c>
      <c r="O245" s="385" t="e">
        <f t="shared" ref="O245" si="151">P245/12</f>
        <v>#REF!</v>
      </c>
      <c r="P245" s="368" t="e">
        <f>VALO_PERSO!#REF!</f>
        <v>#REF!</v>
      </c>
      <c r="Q245" s="368" t="e">
        <f>VALO_PERSO!#REF!</f>
        <v>#REF!</v>
      </c>
      <c r="R245" s="368" t="e">
        <f>VALO_PERSO!#REF!</f>
        <v>#REF!</v>
      </c>
      <c r="S245" s="386" t="e">
        <f>VALO_PERSO!#REF!-VALO_PERSO!#REF!</f>
        <v>#REF!</v>
      </c>
      <c r="T245" s="368" t="e">
        <f t="shared" ref="T245" si="152">S245*R245</f>
        <v>#REF!</v>
      </c>
    </row>
    <row r="246" spans="1:20" s="112" customFormat="1" ht="15.75" thickBot="1" x14ac:dyDescent="0.3">
      <c r="A246" s="112" t="s">
        <v>816</v>
      </c>
      <c r="B246" s="364" t="e">
        <f>VALO_PERSO!#REF!</f>
        <v>#REF!</v>
      </c>
      <c r="C246" s="364" t="str">
        <f t="shared" ref="C246" si="153">CONCATENATE(C87," ",D87)</f>
        <v>GASPERIN Anthony</v>
      </c>
      <c r="D246" s="364" t="e">
        <f>VALO_PERSO!#REF!</f>
        <v>#REF!</v>
      </c>
      <c r="E246" s="364" t="e">
        <f>VALO_PERSO!#REF!</f>
        <v>#REF!</v>
      </c>
      <c r="F246" s="365" t="e">
        <f>VALO_PERSO!#REF!</f>
        <v>#REF!</v>
      </c>
      <c r="G246" s="365" t="e">
        <f t="shared" si="47"/>
        <v>#REF!</v>
      </c>
      <c r="H246" s="365" t="e">
        <f>VALO_PERSO!#REF!</f>
        <v>#REF!</v>
      </c>
      <c r="I246" s="365" t="e">
        <f t="shared" si="48"/>
        <v>#REF!</v>
      </c>
      <c r="J246" s="364" t="e">
        <f t="shared" si="49"/>
        <v>#REF!</v>
      </c>
      <c r="K246" s="364" t="e">
        <f t="shared" si="50"/>
        <v>#REF!</v>
      </c>
      <c r="L246" s="364"/>
      <c r="M246" s="364" t="e">
        <f>VALO_PERSO!#REF!</f>
        <v>#REF!</v>
      </c>
      <c r="N246" s="384" t="e">
        <f t="shared" si="51"/>
        <v>#REF!</v>
      </c>
      <c r="O246" s="385" t="e">
        <f t="shared" si="52"/>
        <v>#REF!</v>
      </c>
      <c r="P246" s="368" t="e">
        <f>VALO_PERSO!#REF!</f>
        <v>#REF!</v>
      </c>
      <c r="Q246" s="368" t="e">
        <f>VALO_PERSO!#REF!</f>
        <v>#REF!</v>
      </c>
      <c r="R246" s="368" t="e">
        <f>VALO_PERSO!#REF!</f>
        <v>#REF!</v>
      </c>
      <c r="S246" s="386" t="e">
        <f>VALO_PERSO!#REF!-VALO_PERSO!#REF!</f>
        <v>#REF!</v>
      </c>
      <c r="T246" s="368" t="e">
        <f t="shared" si="53"/>
        <v>#REF!</v>
      </c>
    </row>
    <row r="247" spans="1:20" s="112" customFormat="1" ht="15.75" thickBot="1" x14ac:dyDescent="0.3">
      <c r="A247" s="112" t="s">
        <v>816</v>
      </c>
      <c r="B247" s="364" t="e">
        <f>VALO_PERSO!#REF!</f>
        <v>#REF!</v>
      </c>
      <c r="C247" s="364" t="str">
        <f t="shared" ref="C247" si="154">CONCATENATE(C88," ",D88)</f>
        <v>LA CORTE Matias</v>
      </c>
      <c r="D247" s="364" t="e">
        <f>VALO_PERSO!#REF!</f>
        <v>#REF!</v>
      </c>
      <c r="E247" s="364" t="e">
        <f>VALO_PERSO!#REF!</f>
        <v>#REF!</v>
      </c>
      <c r="F247" s="365" t="e">
        <f>VALO_PERSO!#REF!</f>
        <v>#REF!</v>
      </c>
      <c r="G247" s="365" t="e">
        <f t="shared" ref="G247" si="155">IF(F247&lt;DATE(2024,1,1),DATE(2024,1,1),F247)</f>
        <v>#REF!</v>
      </c>
      <c r="H247" s="365" t="e">
        <f>VALO_PERSO!#REF!</f>
        <v>#REF!</v>
      </c>
      <c r="I247" s="365" t="e">
        <f t="shared" ref="I247" si="156">IF(OR(ISBLANK(H247),H247=0),DATE(2024,12,31),H247)</f>
        <v>#REF!</v>
      </c>
      <c r="J247" s="364" t="e">
        <f t="shared" ref="J247" si="157">I247-G247</f>
        <v>#REF!</v>
      </c>
      <c r="K247" s="364" t="e">
        <f t="shared" ref="K247" si="158">((J247/365)*12)/12</f>
        <v>#REF!</v>
      </c>
      <c r="L247" s="364"/>
      <c r="M247" s="364" t="e">
        <f>VALO_PERSO!#REF!</f>
        <v>#REF!</v>
      </c>
      <c r="N247" s="384" t="e">
        <f t="shared" ref="N247" si="159">S247/M247</f>
        <v>#REF!</v>
      </c>
      <c r="O247" s="385" t="e">
        <f t="shared" ref="O247" si="160">P247/12</f>
        <v>#REF!</v>
      </c>
      <c r="P247" s="368" t="e">
        <f>VALO_PERSO!#REF!</f>
        <v>#REF!</v>
      </c>
      <c r="Q247" s="368" t="e">
        <f>VALO_PERSO!#REF!</f>
        <v>#REF!</v>
      </c>
      <c r="R247" s="368" t="e">
        <f>VALO_PERSO!#REF!</f>
        <v>#REF!</v>
      </c>
      <c r="S247" s="386" t="e">
        <f>VALO_PERSO!#REF!-VALO_PERSO!#REF!</f>
        <v>#REF!</v>
      </c>
      <c r="T247" s="368" t="e">
        <f t="shared" ref="T247" si="161">S247*R247</f>
        <v>#REF!</v>
      </c>
    </row>
    <row r="248" spans="1:20" s="112" customFormat="1" ht="15.75" thickBot="1" x14ac:dyDescent="0.3">
      <c r="A248" s="112" t="s">
        <v>816</v>
      </c>
      <c r="B248" s="364" t="e">
        <f>VALO_PERSO!#REF!</f>
        <v>#REF!</v>
      </c>
      <c r="C248" s="364" t="str">
        <f t="shared" ref="C248" si="162">CONCATENATE(C88," ",D88)</f>
        <v>LA CORTE Matias</v>
      </c>
      <c r="D248" s="364" t="e">
        <f>VALO_PERSO!#REF!</f>
        <v>#REF!</v>
      </c>
      <c r="E248" s="364" t="e">
        <f>VALO_PERSO!#REF!</f>
        <v>#REF!</v>
      </c>
      <c r="F248" s="365" t="e">
        <f>VALO_PERSO!#REF!</f>
        <v>#REF!</v>
      </c>
      <c r="G248" s="365" t="e">
        <f t="shared" ref="G248" si="163">IF(F248&lt;DATE(2024,1,1),DATE(2024,1,1),F248)</f>
        <v>#REF!</v>
      </c>
      <c r="H248" s="365" t="e">
        <f>VALO_PERSO!#REF!</f>
        <v>#REF!</v>
      </c>
      <c r="I248" s="365" t="e">
        <f t="shared" ref="I248" si="164">IF(OR(ISBLANK(H248),H248=0),DATE(2024,12,31),H248)</f>
        <v>#REF!</v>
      </c>
      <c r="J248" s="364" t="e">
        <f t="shared" ref="J248" si="165">I248-G248</f>
        <v>#REF!</v>
      </c>
      <c r="K248" s="364" t="e">
        <f t="shared" ref="K248" si="166">((J248/365)*12)/12</f>
        <v>#REF!</v>
      </c>
      <c r="L248" s="364"/>
      <c r="M248" s="364" t="e">
        <f>VALO_PERSO!#REF!</f>
        <v>#REF!</v>
      </c>
      <c r="N248" s="384" t="e">
        <f t="shared" ref="N248" si="167">S248/M248</f>
        <v>#REF!</v>
      </c>
      <c r="O248" s="385" t="e">
        <f t="shared" ref="O248" si="168">P248/12</f>
        <v>#REF!</v>
      </c>
      <c r="P248" s="368" t="e">
        <f>VALO_PERSO!#REF!</f>
        <v>#REF!</v>
      </c>
      <c r="Q248" s="368" t="e">
        <f>VALO_PERSO!#REF!</f>
        <v>#REF!</v>
      </c>
      <c r="R248" s="368" t="e">
        <f>VALO_PERSO!#REF!</f>
        <v>#REF!</v>
      </c>
      <c r="S248" s="386" t="e">
        <f>VALO_PERSO!#REF!-VALO_PERSO!#REF!</f>
        <v>#REF!</v>
      </c>
      <c r="T248" s="368" t="e">
        <f t="shared" ref="T248" si="169">S248*R248</f>
        <v>#REF!</v>
      </c>
    </row>
    <row r="249" spans="1:20" s="112" customFormat="1" ht="15.75" thickBot="1" x14ac:dyDescent="0.3">
      <c r="A249" s="112" t="s">
        <v>816</v>
      </c>
      <c r="B249" s="364" t="e">
        <f>VALO_PERSO!#REF!</f>
        <v>#REF!</v>
      </c>
      <c r="C249" s="364" t="str">
        <f t="shared" ref="C249" si="170">CONCATENATE(C89," ",D89)</f>
        <v>WIRTH Romain</v>
      </c>
      <c r="D249" s="364" t="e">
        <f>VALO_PERSO!#REF!</f>
        <v>#REF!</v>
      </c>
      <c r="E249" s="364" t="e">
        <f>VALO_PERSO!#REF!</f>
        <v>#REF!</v>
      </c>
      <c r="F249" s="365" t="e">
        <f>VALO_PERSO!#REF!</f>
        <v>#REF!</v>
      </c>
      <c r="G249" s="365" t="e">
        <f t="shared" ref="G249" si="171">IF(F249&lt;DATE(2024,1,1),DATE(2024,1,1),F249)</f>
        <v>#REF!</v>
      </c>
      <c r="H249" s="365" t="e">
        <f>VALO_PERSO!#REF!</f>
        <v>#REF!</v>
      </c>
      <c r="I249" s="365" t="e">
        <f t="shared" ref="I249" si="172">IF(OR(ISBLANK(H249),H249=0),DATE(2024,12,31),H249)</f>
        <v>#REF!</v>
      </c>
      <c r="J249" s="364" t="e">
        <f t="shared" ref="J249" si="173">I249-G249</f>
        <v>#REF!</v>
      </c>
      <c r="K249" s="364" t="e">
        <f t="shared" ref="K249" si="174">((J249/365)*12)/12</f>
        <v>#REF!</v>
      </c>
      <c r="L249" s="364"/>
      <c r="M249" s="364" t="e">
        <f>VALO_PERSO!#REF!</f>
        <v>#REF!</v>
      </c>
      <c r="N249" s="384" t="e">
        <f t="shared" ref="N249" si="175">S249/M249</f>
        <v>#REF!</v>
      </c>
      <c r="O249" s="385" t="e">
        <f t="shared" ref="O249" si="176">P249/12</f>
        <v>#REF!</v>
      </c>
      <c r="P249" s="368" t="e">
        <f>VALO_PERSO!#REF!</f>
        <v>#REF!</v>
      </c>
      <c r="Q249" s="368" t="e">
        <f>VALO_PERSO!#REF!</f>
        <v>#REF!</v>
      </c>
      <c r="R249" s="368" t="e">
        <f>VALO_PERSO!#REF!</f>
        <v>#REF!</v>
      </c>
      <c r="S249" s="386" t="e">
        <f>VALO_PERSO!#REF!-VALO_PERSO!#REF!</f>
        <v>#REF!</v>
      </c>
      <c r="T249" s="368" t="e">
        <f t="shared" ref="T249" si="177">S249*R249</f>
        <v>#REF!</v>
      </c>
    </row>
    <row r="250" spans="1:20" s="112" customFormat="1" ht="15.75" thickBot="1" x14ac:dyDescent="0.3">
      <c r="A250" s="112" t="s">
        <v>816</v>
      </c>
      <c r="B250" s="364" t="e">
        <f>VALO_PERSO!#REF!</f>
        <v>#REF!</v>
      </c>
      <c r="C250" s="364" t="str">
        <f t="shared" ref="C250" si="178">CONCATENATE(C87," ",D87)</f>
        <v>GASPERIN Anthony</v>
      </c>
      <c r="D250" s="364" t="e">
        <f>VALO_PERSO!#REF!</f>
        <v>#REF!</v>
      </c>
      <c r="E250" s="364" t="e">
        <f>VALO_PERSO!#REF!</f>
        <v>#REF!</v>
      </c>
      <c r="F250" s="365" t="e">
        <f>VALO_PERSO!#REF!</f>
        <v>#REF!</v>
      </c>
      <c r="G250" s="365" t="e">
        <f t="shared" si="47"/>
        <v>#REF!</v>
      </c>
      <c r="H250" s="365" t="e">
        <f>VALO_PERSO!#REF!</f>
        <v>#REF!</v>
      </c>
      <c r="I250" s="365" t="e">
        <f t="shared" si="48"/>
        <v>#REF!</v>
      </c>
      <c r="J250" s="364" t="e">
        <f t="shared" si="49"/>
        <v>#REF!</v>
      </c>
      <c r="K250" s="364" t="e">
        <f t="shared" si="50"/>
        <v>#REF!</v>
      </c>
      <c r="L250" s="364"/>
      <c r="M250" s="364" t="e">
        <f>VALO_PERSO!#REF!</f>
        <v>#REF!</v>
      </c>
      <c r="N250" s="384" t="e">
        <f t="shared" si="51"/>
        <v>#REF!</v>
      </c>
      <c r="O250" s="385" t="e">
        <f t="shared" si="52"/>
        <v>#REF!</v>
      </c>
      <c r="P250" s="368" t="e">
        <f>VALO_PERSO!#REF!</f>
        <v>#REF!</v>
      </c>
      <c r="Q250" s="368" t="e">
        <f>VALO_PERSO!#REF!</f>
        <v>#REF!</v>
      </c>
      <c r="R250" s="368" t="e">
        <f>VALO_PERSO!#REF!</f>
        <v>#REF!</v>
      </c>
      <c r="S250" s="386" t="e">
        <f>VALO_PERSO!#REF!-VALO_PERSO!#REF!</f>
        <v>#REF!</v>
      </c>
      <c r="T250" s="368" t="e">
        <f t="shared" si="53"/>
        <v>#REF!</v>
      </c>
    </row>
    <row r="251" spans="1:20" s="112" customFormat="1" ht="15.75" thickBot="1" x14ac:dyDescent="0.3">
      <c r="A251" s="112" t="s">
        <v>816</v>
      </c>
      <c r="B251" s="364" t="e">
        <f>VALO_PERSO!#REF!</f>
        <v>#REF!</v>
      </c>
      <c r="C251" s="364" t="str">
        <f t="shared" ref="C251" si="179">CONCATENATE(C88," ",D88)</f>
        <v>LA CORTE Matias</v>
      </c>
      <c r="D251" s="364" t="e">
        <f>VALO_PERSO!#REF!</f>
        <v>#REF!</v>
      </c>
      <c r="E251" s="364" t="e">
        <f>VALO_PERSO!#REF!</f>
        <v>#REF!</v>
      </c>
      <c r="F251" s="365" t="e">
        <f>VALO_PERSO!#REF!</f>
        <v>#REF!</v>
      </c>
      <c r="G251" s="365" t="e">
        <f t="shared" ref="G251" si="180">IF(F251&lt;DATE(2024,1,1),DATE(2024,1,1),F251)</f>
        <v>#REF!</v>
      </c>
      <c r="H251" s="365" t="e">
        <f>VALO_PERSO!#REF!</f>
        <v>#REF!</v>
      </c>
      <c r="I251" s="365" t="e">
        <f t="shared" ref="I251" si="181">IF(OR(ISBLANK(H251),H251=0),DATE(2024,12,31),H251)</f>
        <v>#REF!</v>
      </c>
      <c r="J251" s="364" t="e">
        <f t="shared" ref="J251" si="182">I251-G251</f>
        <v>#REF!</v>
      </c>
      <c r="K251" s="364" t="e">
        <f t="shared" ref="K251" si="183">((J251/365)*12)/12</f>
        <v>#REF!</v>
      </c>
      <c r="L251" s="364"/>
      <c r="M251" s="364" t="e">
        <f>VALO_PERSO!#REF!</f>
        <v>#REF!</v>
      </c>
      <c r="N251" s="384" t="e">
        <f t="shared" ref="N251" si="184">S251/M251</f>
        <v>#REF!</v>
      </c>
      <c r="O251" s="385" t="e">
        <f t="shared" ref="O251" si="185">P251/12</f>
        <v>#REF!</v>
      </c>
      <c r="P251" s="368" t="e">
        <f>VALO_PERSO!#REF!</f>
        <v>#REF!</v>
      </c>
      <c r="Q251" s="368" t="e">
        <f>VALO_PERSO!#REF!</f>
        <v>#REF!</v>
      </c>
      <c r="R251" s="368" t="e">
        <f>VALO_PERSO!#REF!</f>
        <v>#REF!</v>
      </c>
      <c r="S251" s="386" t="e">
        <f>VALO_PERSO!#REF!-VALO_PERSO!#REF!</f>
        <v>#REF!</v>
      </c>
      <c r="T251" s="368" t="e">
        <f t="shared" ref="T251" si="186">S251*R251</f>
        <v>#REF!</v>
      </c>
    </row>
    <row r="252" spans="1:20" s="112" customFormat="1" ht="15.75" thickBot="1" x14ac:dyDescent="0.3">
      <c r="A252" s="112" t="s">
        <v>816</v>
      </c>
      <c r="B252" s="364" t="e">
        <f>VALO_PERSO!#REF!</f>
        <v>#REF!</v>
      </c>
      <c r="C252" s="364" t="str">
        <f t="shared" ref="C252" si="187">CONCATENATE(C88," ",D88)</f>
        <v>LA CORTE Matias</v>
      </c>
      <c r="D252" s="364" t="e">
        <f>VALO_PERSO!#REF!</f>
        <v>#REF!</v>
      </c>
      <c r="E252" s="364" t="e">
        <f>VALO_PERSO!#REF!</f>
        <v>#REF!</v>
      </c>
      <c r="F252" s="365" t="e">
        <f>VALO_PERSO!#REF!</f>
        <v>#REF!</v>
      </c>
      <c r="G252" s="365" t="e">
        <f t="shared" ref="G252" si="188">IF(F252&lt;DATE(2024,1,1),DATE(2024,1,1),F252)</f>
        <v>#REF!</v>
      </c>
      <c r="H252" s="365" t="e">
        <f>VALO_PERSO!#REF!</f>
        <v>#REF!</v>
      </c>
      <c r="I252" s="365" t="e">
        <f t="shared" ref="I252" si="189">IF(OR(ISBLANK(H252),H252=0),DATE(2024,12,31),H252)</f>
        <v>#REF!</v>
      </c>
      <c r="J252" s="364" t="e">
        <f t="shared" ref="J252" si="190">I252-G252</f>
        <v>#REF!</v>
      </c>
      <c r="K252" s="364" t="e">
        <f t="shared" ref="K252" si="191">((J252/365)*12)/12</f>
        <v>#REF!</v>
      </c>
      <c r="L252" s="364"/>
      <c r="M252" s="364" t="e">
        <f>VALO_PERSO!#REF!</f>
        <v>#REF!</v>
      </c>
      <c r="N252" s="384" t="e">
        <f t="shared" ref="N252" si="192">S252/M252</f>
        <v>#REF!</v>
      </c>
      <c r="O252" s="385" t="e">
        <f t="shared" ref="O252" si="193">P252/12</f>
        <v>#REF!</v>
      </c>
      <c r="P252" s="368" t="e">
        <f>VALO_PERSO!#REF!</f>
        <v>#REF!</v>
      </c>
      <c r="Q252" s="368" t="e">
        <f>VALO_PERSO!#REF!</f>
        <v>#REF!</v>
      </c>
      <c r="R252" s="368" t="e">
        <f>VALO_PERSO!#REF!</f>
        <v>#REF!</v>
      </c>
      <c r="S252" s="386" t="e">
        <f>VALO_PERSO!#REF!-VALO_PERSO!#REF!</f>
        <v>#REF!</v>
      </c>
      <c r="T252" s="368" t="e">
        <f t="shared" ref="T252" si="194">S252*R252</f>
        <v>#REF!</v>
      </c>
    </row>
    <row r="253" spans="1:20" s="112" customFormat="1" ht="15.75" thickBot="1" x14ac:dyDescent="0.3">
      <c r="A253" s="112" t="s">
        <v>816</v>
      </c>
      <c r="B253" s="364" t="e">
        <f>VALO_PERSO!#REF!</f>
        <v>#REF!</v>
      </c>
      <c r="C253" s="364" t="str">
        <f t="shared" ref="C253" si="195">CONCATENATE(C89," ",D89)</f>
        <v>WIRTH Romain</v>
      </c>
      <c r="D253" s="364" t="e">
        <f>VALO_PERSO!#REF!</f>
        <v>#REF!</v>
      </c>
      <c r="E253" s="364" t="e">
        <f>VALO_PERSO!#REF!</f>
        <v>#REF!</v>
      </c>
      <c r="F253" s="365" t="e">
        <f>VALO_PERSO!#REF!</f>
        <v>#REF!</v>
      </c>
      <c r="G253" s="365" t="e">
        <f t="shared" ref="G253" si="196">IF(F253&lt;DATE(2024,1,1),DATE(2024,1,1),F253)</f>
        <v>#REF!</v>
      </c>
      <c r="H253" s="365" t="e">
        <f>VALO_PERSO!#REF!</f>
        <v>#REF!</v>
      </c>
      <c r="I253" s="365" t="e">
        <f t="shared" ref="I253" si="197">IF(OR(ISBLANK(H253),H253=0),DATE(2024,12,31),H253)</f>
        <v>#REF!</v>
      </c>
      <c r="J253" s="364" t="e">
        <f t="shared" ref="J253" si="198">I253-G253</f>
        <v>#REF!</v>
      </c>
      <c r="K253" s="364" t="e">
        <f t="shared" ref="K253" si="199">((J253/365)*12)/12</f>
        <v>#REF!</v>
      </c>
      <c r="L253" s="364"/>
      <c r="M253" s="364" t="e">
        <f>VALO_PERSO!#REF!</f>
        <v>#REF!</v>
      </c>
      <c r="N253" s="384" t="e">
        <f t="shared" ref="N253" si="200">S253/M253</f>
        <v>#REF!</v>
      </c>
      <c r="O253" s="385" t="e">
        <f t="shared" ref="O253" si="201">P253/12</f>
        <v>#REF!</v>
      </c>
      <c r="P253" s="368" t="e">
        <f>VALO_PERSO!#REF!</f>
        <v>#REF!</v>
      </c>
      <c r="Q253" s="368" t="e">
        <f>VALO_PERSO!#REF!</f>
        <v>#REF!</v>
      </c>
      <c r="R253" s="368" t="e">
        <f>VALO_PERSO!#REF!</f>
        <v>#REF!</v>
      </c>
      <c r="S253" s="386" t="e">
        <f>VALO_PERSO!#REF!-VALO_PERSO!#REF!</f>
        <v>#REF!</v>
      </c>
      <c r="T253" s="368" t="e">
        <f t="shared" ref="T253" si="202">S253*R253</f>
        <v>#REF!</v>
      </c>
    </row>
    <row r="254" spans="1:20" s="112" customFormat="1" ht="15.75" thickBot="1" x14ac:dyDescent="0.3">
      <c r="A254" s="112" t="s">
        <v>816</v>
      </c>
      <c r="B254" s="364" t="e">
        <f>VALO_PERSO!#REF!</f>
        <v>#REF!</v>
      </c>
      <c r="C254" s="364" t="str">
        <f t="shared" ref="C254" si="203">CONCATENATE(C87," ",D87)</f>
        <v>GASPERIN Anthony</v>
      </c>
      <c r="D254" s="364" t="e">
        <f>VALO_PERSO!#REF!</f>
        <v>#REF!</v>
      </c>
      <c r="E254" s="364" t="e">
        <f>VALO_PERSO!#REF!</f>
        <v>#REF!</v>
      </c>
      <c r="F254" s="365" t="e">
        <f>VALO_PERSO!#REF!</f>
        <v>#REF!</v>
      </c>
      <c r="G254" s="365" t="e">
        <f t="shared" si="47"/>
        <v>#REF!</v>
      </c>
      <c r="H254" s="365" t="e">
        <f>VALO_PERSO!#REF!</f>
        <v>#REF!</v>
      </c>
      <c r="I254" s="365" t="e">
        <f t="shared" si="48"/>
        <v>#REF!</v>
      </c>
      <c r="J254" s="364" t="e">
        <f t="shared" si="49"/>
        <v>#REF!</v>
      </c>
      <c r="K254" s="364" t="e">
        <f t="shared" si="50"/>
        <v>#REF!</v>
      </c>
      <c r="L254" s="364"/>
      <c r="M254" s="364" t="e">
        <f>VALO_PERSO!#REF!</f>
        <v>#REF!</v>
      </c>
      <c r="N254" s="384" t="e">
        <f t="shared" si="51"/>
        <v>#REF!</v>
      </c>
      <c r="O254" s="385" t="e">
        <f t="shared" si="52"/>
        <v>#REF!</v>
      </c>
      <c r="P254" s="368" t="e">
        <f>VALO_PERSO!#REF!</f>
        <v>#REF!</v>
      </c>
      <c r="Q254" s="368" t="e">
        <f>VALO_PERSO!#REF!</f>
        <v>#REF!</v>
      </c>
      <c r="R254" s="368" t="e">
        <f>VALO_PERSO!#REF!</f>
        <v>#REF!</v>
      </c>
      <c r="S254" s="386" t="e">
        <f>VALO_PERSO!#REF!-VALO_PERSO!#REF!</f>
        <v>#REF!</v>
      </c>
      <c r="T254" s="368" t="e">
        <f t="shared" si="53"/>
        <v>#REF!</v>
      </c>
    </row>
    <row r="255" spans="1:20" s="112" customFormat="1" ht="15.75" thickBot="1" x14ac:dyDescent="0.3">
      <c r="A255" s="112" t="s">
        <v>816</v>
      </c>
      <c r="B255" s="364" t="e">
        <f>VALO_PERSO!#REF!</f>
        <v>#REF!</v>
      </c>
      <c r="C255" s="364" t="str">
        <f t="shared" ref="C255" si="204">CONCATENATE(C88," ",D88)</f>
        <v>LA CORTE Matias</v>
      </c>
      <c r="D255" s="364" t="e">
        <f>VALO_PERSO!#REF!</f>
        <v>#REF!</v>
      </c>
      <c r="E255" s="364" t="e">
        <f>VALO_PERSO!#REF!</f>
        <v>#REF!</v>
      </c>
      <c r="F255" s="365" t="e">
        <f>VALO_PERSO!#REF!</f>
        <v>#REF!</v>
      </c>
      <c r="G255" s="365" t="e">
        <f t="shared" ref="G255" si="205">IF(F255&lt;DATE(2024,1,1),DATE(2024,1,1),F255)</f>
        <v>#REF!</v>
      </c>
      <c r="H255" s="365" t="e">
        <f>VALO_PERSO!#REF!</f>
        <v>#REF!</v>
      </c>
      <c r="I255" s="365" t="e">
        <f t="shared" ref="I255" si="206">IF(OR(ISBLANK(H255),H255=0),DATE(2024,12,31),H255)</f>
        <v>#REF!</v>
      </c>
      <c r="J255" s="364" t="e">
        <f t="shared" ref="J255" si="207">I255-G255</f>
        <v>#REF!</v>
      </c>
      <c r="K255" s="364" t="e">
        <f t="shared" ref="K255" si="208">((J255/365)*12)/12</f>
        <v>#REF!</v>
      </c>
      <c r="L255" s="364"/>
      <c r="M255" s="364" t="e">
        <f>VALO_PERSO!#REF!</f>
        <v>#REF!</v>
      </c>
      <c r="N255" s="384" t="e">
        <f t="shared" ref="N255" si="209">S255/M255</f>
        <v>#REF!</v>
      </c>
      <c r="O255" s="385" t="e">
        <f t="shared" ref="O255" si="210">P255/12</f>
        <v>#REF!</v>
      </c>
      <c r="P255" s="368" t="e">
        <f>VALO_PERSO!#REF!</f>
        <v>#REF!</v>
      </c>
      <c r="Q255" s="368" t="e">
        <f>VALO_PERSO!#REF!</f>
        <v>#REF!</v>
      </c>
      <c r="R255" s="368" t="e">
        <f>VALO_PERSO!#REF!</f>
        <v>#REF!</v>
      </c>
      <c r="S255" s="386" t="e">
        <f>VALO_PERSO!#REF!-VALO_PERSO!#REF!</f>
        <v>#REF!</v>
      </c>
      <c r="T255" s="368" t="e">
        <f t="shared" ref="T255" si="211">S255*R255</f>
        <v>#REF!</v>
      </c>
    </row>
    <row r="256" spans="1:20" s="112" customFormat="1" ht="15.75" thickBot="1" x14ac:dyDescent="0.3">
      <c r="A256" s="112" t="s">
        <v>816</v>
      </c>
      <c r="B256" s="364" t="e">
        <f>VALO_PERSO!#REF!</f>
        <v>#REF!</v>
      </c>
      <c r="C256" s="364" t="str">
        <f t="shared" ref="C256" si="212">CONCATENATE(C88," ",D88)</f>
        <v>LA CORTE Matias</v>
      </c>
      <c r="D256" s="364" t="e">
        <f>VALO_PERSO!#REF!</f>
        <v>#REF!</v>
      </c>
      <c r="E256" s="364" t="e">
        <f>VALO_PERSO!#REF!</f>
        <v>#REF!</v>
      </c>
      <c r="F256" s="365" t="e">
        <f>VALO_PERSO!#REF!</f>
        <v>#REF!</v>
      </c>
      <c r="G256" s="365" t="e">
        <f t="shared" ref="G256" si="213">IF(F256&lt;DATE(2024,1,1),DATE(2024,1,1),F256)</f>
        <v>#REF!</v>
      </c>
      <c r="H256" s="365" t="e">
        <f>VALO_PERSO!#REF!</f>
        <v>#REF!</v>
      </c>
      <c r="I256" s="365" t="e">
        <f t="shared" ref="I256" si="214">IF(OR(ISBLANK(H256),H256=0),DATE(2024,12,31),H256)</f>
        <v>#REF!</v>
      </c>
      <c r="J256" s="364" t="e">
        <f t="shared" ref="J256" si="215">I256-G256</f>
        <v>#REF!</v>
      </c>
      <c r="K256" s="364" t="e">
        <f t="shared" ref="K256" si="216">((J256/365)*12)/12</f>
        <v>#REF!</v>
      </c>
      <c r="L256" s="364"/>
      <c r="M256" s="364" t="e">
        <f>VALO_PERSO!#REF!</f>
        <v>#REF!</v>
      </c>
      <c r="N256" s="384" t="e">
        <f t="shared" ref="N256" si="217">S256/M256</f>
        <v>#REF!</v>
      </c>
      <c r="O256" s="385" t="e">
        <f t="shared" ref="O256" si="218">P256/12</f>
        <v>#REF!</v>
      </c>
      <c r="P256" s="368" t="e">
        <f>VALO_PERSO!#REF!</f>
        <v>#REF!</v>
      </c>
      <c r="Q256" s="368" t="e">
        <f>VALO_PERSO!#REF!</f>
        <v>#REF!</v>
      </c>
      <c r="R256" s="368" t="e">
        <f>VALO_PERSO!#REF!</f>
        <v>#REF!</v>
      </c>
      <c r="S256" s="386" t="e">
        <f>VALO_PERSO!#REF!-VALO_PERSO!#REF!</f>
        <v>#REF!</v>
      </c>
      <c r="T256" s="368" t="e">
        <f t="shared" ref="T256" si="219">S256*R256</f>
        <v>#REF!</v>
      </c>
    </row>
    <row r="257" spans="1:20" s="112" customFormat="1" ht="15.75" thickBot="1" x14ac:dyDescent="0.3">
      <c r="A257" s="112" t="s">
        <v>816</v>
      </c>
      <c r="B257" s="364" t="e">
        <f>VALO_PERSO!#REF!</f>
        <v>#REF!</v>
      </c>
      <c r="C257" s="364" t="str">
        <f t="shared" ref="C257" si="220">CONCATENATE(C89," ",D89)</f>
        <v>WIRTH Romain</v>
      </c>
      <c r="D257" s="364" t="e">
        <f>VALO_PERSO!#REF!</f>
        <v>#REF!</v>
      </c>
      <c r="E257" s="364" t="e">
        <f>VALO_PERSO!#REF!</f>
        <v>#REF!</v>
      </c>
      <c r="F257" s="365" t="e">
        <f>VALO_PERSO!#REF!</f>
        <v>#REF!</v>
      </c>
      <c r="G257" s="365" t="e">
        <f t="shared" ref="G257" si="221">IF(F257&lt;DATE(2024,1,1),DATE(2024,1,1),F257)</f>
        <v>#REF!</v>
      </c>
      <c r="H257" s="365" t="e">
        <f>VALO_PERSO!#REF!</f>
        <v>#REF!</v>
      </c>
      <c r="I257" s="365" t="e">
        <f t="shared" ref="I257" si="222">IF(OR(ISBLANK(H257),H257=0),DATE(2024,12,31),H257)</f>
        <v>#REF!</v>
      </c>
      <c r="J257" s="364" t="e">
        <f t="shared" ref="J257" si="223">I257-G257</f>
        <v>#REF!</v>
      </c>
      <c r="K257" s="364" t="e">
        <f t="shared" ref="K257" si="224">((J257/365)*12)/12</f>
        <v>#REF!</v>
      </c>
      <c r="L257" s="364"/>
      <c r="M257" s="364" t="e">
        <f>VALO_PERSO!#REF!</f>
        <v>#REF!</v>
      </c>
      <c r="N257" s="384" t="e">
        <f t="shared" ref="N257" si="225">S257/M257</f>
        <v>#REF!</v>
      </c>
      <c r="O257" s="385" t="e">
        <f t="shared" ref="O257" si="226">P257/12</f>
        <v>#REF!</v>
      </c>
      <c r="P257" s="368" t="e">
        <f>VALO_PERSO!#REF!</f>
        <v>#REF!</v>
      </c>
      <c r="Q257" s="368" t="e">
        <f>VALO_PERSO!#REF!</f>
        <v>#REF!</v>
      </c>
      <c r="R257" s="368" t="e">
        <f>VALO_PERSO!#REF!</f>
        <v>#REF!</v>
      </c>
      <c r="S257" s="386" t="e">
        <f>VALO_PERSO!#REF!-VALO_PERSO!#REF!</f>
        <v>#REF!</v>
      </c>
      <c r="T257" s="368" t="e">
        <f t="shared" ref="T257" si="227">S257*R257</f>
        <v>#REF!</v>
      </c>
    </row>
    <row r="258" spans="1:20" s="112" customFormat="1" ht="15.75" thickBot="1" x14ac:dyDescent="0.3">
      <c r="A258" s="112" t="s">
        <v>816</v>
      </c>
      <c r="B258" s="364" t="e">
        <f>VALO_PERSO!#REF!</f>
        <v>#REF!</v>
      </c>
      <c r="C258" s="364" t="str">
        <f t="shared" ref="C258" si="228">CONCATENATE(C87," ",D87)</f>
        <v>GASPERIN Anthony</v>
      </c>
      <c r="D258" s="364" t="e">
        <f>VALO_PERSO!#REF!</f>
        <v>#REF!</v>
      </c>
      <c r="E258" s="364" t="e">
        <f>VALO_PERSO!#REF!</f>
        <v>#REF!</v>
      </c>
      <c r="F258" s="365" t="e">
        <f>VALO_PERSO!#REF!</f>
        <v>#REF!</v>
      </c>
      <c r="G258" s="365" t="e">
        <f t="shared" si="47"/>
        <v>#REF!</v>
      </c>
      <c r="H258" s="365" t="e">
        <f>VALO_PERSO!#REF!</f>
        <v>#REF!</v>
      </c>
      <c r="I258" s="365" t="e">
        <f t="shared" si="48"/>
        <v>#REF!</v>
      </c>
      <c r="J258" s="364" t="e">
        <f t="shared" si="49"/>
        <v>#REF!</v>
      </c>
      <c r="K258" s="364" t="e">
        <f t="shared" si="50"/>
        <v>#REF!</v>
      </c>
      <c r="L258" s="364"/>
      <c r="M258" s="364" t="e">
        <f>VALO_PERSO!#REF!</f>
        <v>#REF!</v>
      </c>
      <c r="N258" s="384" t="e">
        <f t="shared" si="51"/>
        <v>#REF!</v>
      </c>
      <c r="O258" s="385" t="e">
        <f t="shared" si="52"/>
        <v>#REF!</v>
      </c>
      <c r="P258" s="368" t="e">
        <f>VALO_PERSO!#REF!</f>
        <v>#REF!</v>
      </c>
      <c r="Q258" s="368" t="e">
        <f>VALO_PERSO!#REF!</f>
        <v>#REF!</v>
      </c>
      <c r="R258" s="368" t="e">
        <f>VALO_PERSO!#REF!</f>
        <v>#REF!</v>
      </c>
      <c r="S258" s="386" t="e">
        <f>VALO_PERSO!#REF!-VALO_PERSO!#REF!</f>
        <v>#REF!</v>
      </c>
      <c r="T258" s="368" t="e">
        <f t="shared" si="53"/>
        <v>#REF!</v>
      </c>
    </row>
    <row r="259" spans="1:20" s="112" customFormat="1" ht="15.75" thickBot="1" x14ac:dyDescent="0.3">
      <c r="A259" s="112" t="s">
        <v>816</v>
      </c>
      <c r="B259" s="364" t="e">
        <f>VALO_PERSO!#REF!</f>
        <v>#REF!</v>
      </c>
      <c r="C259" s="364" t="str">
        <f t="shared" ref="C259" si="229">CONCATENATE(C88," ",D88)</f>
        <v>LA CORTE Matias</v>
      </c>
      <c r="D259" s="364" t="e">
        <f>VALO_PERSO!#REF!</f>
        <v>#REF!</v>
      </c>
      <c r="E259" s="364" t="e">
        <f>VALO_PERSO!#REF!</f>
        <v>#REF!</v>
      </c>
      <c r="F259" s="365" t="e">
        <f>VALO_PERSO!#REF!</f>
        <v>#REF!</v>
      </c>
      <c r="G259" s="365" t="e">
        <f t="shared" ref="G259" si="230">IF(F259&lt;DATE(2024,1,1),DATE(2024,1,1),F259)</f>
        <v>#REF!</v>
      </c>
      <c r="H259" s="365" t="e">
        <f>VALO_PERSO!#REF!</f>
        <v>#REF!</v>
      </c>
      <c r="I259" s="365" t="e">
        <f t="shared" ref="I259" si="231">IF(OR(ISBLANK(H259),H259=0),DATE(2024,12,31),H259)</f>
        <v>#REF!</v>
      </c>
      <c r="J259" s="364" t="e">
        <f t="shared" ref="J259" si="232">I259-G259</f>
        <v>#REF!</v>
      </c>
      <c r="K259" s="364" t="e">
        <f t="shared" ref="K259" si="233">((J259/365)*12)/12</f>
        <v>#REF!</v>
      </c>
      <c r="L259" s="364"/>
      <c r="M259" s="364" t="e">
        <f>VALO_PERSO!#REF!</f>
        <v>#REF!</v>
      </c>
      <c r="N259" s="384" t="e">
        <f t="shared" ref="N259" si="234">S259/M259</f>
        <v>#REF!</v>
      </c>
      <c r="O259" s="385" t="e">
        <f t="shared" ref="O259" si="235">P259/12</f>
        <v>#REF!</v>
      </c>
      <c r="P259" s="368" t="e">
        <f>VALO_PERSO!#REF!</f>
        <v>#REF!</v>
      </c>
      <c r="Q259" s="368" t="e">
        <f>VALO_PERSO!#REF!</f>
        <v>#REF!</v>
      </c>
      <c r="R259" s="368" t="e">
        <f>VALO_PERSO!#REF!</f>
        <v>#REF!</v>
      </c>
      <c r="S259" s="386" t="e">
        <f>VALO_PERSO!#REF!-VALO_PERSO!#REF!</f>
        <v>#REF!</v>
      </c>
      <c r="T259" s="368" t="e">
        <f t="shared" ref="T259" si="236">S259*R259</f>
        <v>#REF!</v>
      </c>
    </row>
    <row r="260" spans="1:20" s="112" customFormat="1" ht="15.75" thickBot="1" x14ac:dyDescent="0.3">
      <c r="A260" s="112" t="s">
        <v>816</v>
      </c>
      <c r="B260" s="364" t="e">
        <f>VALO_PERSO!#REF!</f>
        <v>#REF!</v>
      </c>
      <c r="C260" s="364" t="str">
        <f t="shared" ref="C260" si="237">CONCATENATE(C88," ",D88)</f>
        <v>LA CORTE Matias</v>
      </c>
      <c r="D260" s="364" t="e">
        <f>VALO_PERSO!#REF!</f>
        <v>#REF!</v>
      </c>
      <c r="E260" s="364" t="e">
        <f>VALO_PERSO!#REF!</f>
        <v>#REF!</v>
      </c>
      <c r="F260" s="365" t="e">
        <f>VALO_PERSO!#REF!</f>
        <v>#REF!</v>
      </c>
      <c r="G260" s="365" t="e">
        <f t="shared" ref="G260" si="238">IF(F260&lt;DATE(2024,1,1),DATE(2024,1,1),F260)</f>
        <v>#REF!</v>
      </c>
      <c r="H260" s="365" t="e">
        <f>VALO_PERSO!#REF!</f>
        <v>#REF!</v>
      </c>
      <c r="I260" s="365" t="e">
        <f t="shared" ref="I260" si="239">IF(OR(ISBLANK(H260),H260=0),DATE(2024,12,31),H260)</f>
        <v>#REF!</v>
      </c>
      <c r="J260" s="364" t="e">
        <f t="shared" ref="J260" si="240">I260-G260</f>
        <v>#REF!</v>
      </c>
      <c r="K260" s="364" t="e">
        <f t="shared" ref="K260" si="241">((J260/365)*12)/12</f>
        <v>#REF!</v>
      </c>
      <c r="L260" s="364"/>
      <c r="M260" s="364" t="e">
        <f>VALO_PERSO!#REF!</f>
        <v>#REF!</v>
      </c>
      <c r="N260" s="384" t="e">
        <f t="shared" ref="N260" si="242">S260/M260</f>
        <v>#REF!</v>
      </c>
      <c r="O260" s="385" t="e">
        <f t="shared" ref="O260" si="243">P260/12</f>
        <v>#REF!</v>
      </c>
      <c r="P260" s="368" t="e">
        <f>VALO_PERSO!#REF!</f>
        <v>#REF!</v>
      </c>
      <c r="Q260" s="368" t="e">
        <f>VALO_PERSO!#REF!</f>
        <v>#REF!</v>
      </c>
      <c r="R260" s="368" t="e">
        <f>VALO_PERSO!#REF!</f>
        <v>#REF!</v>
      </c>
      <c r="S260" s="386" t="e">
        <f>VALO_PERSO!#REF!-VALO_PERSO!#REF!</f>
        <v>#REF!</v>
      </c>
      <c r="T260" s="368" t="e">
        <f t="shared" ref="T260" si="244">S260*R260</f>
        <v>#REF!</v>
      </c>
    </row>
    <row r="261" spans="1:20" s="112" customFormat="1" ht="15.75" thickBot="1" x14ac:dyDescent="0.3">
      <c r="A261" s="112" t="s">
        <v>816</v>
      </c>
      <c r="B261" s="364" t="e">
        <f>VALO_PERSO!#REF!</f>
        <v>#REF!</v>
      </c>
      <c r="C261" s="364" t="str">
        <f t="shared" ref="C261" si="245">CONCATENATE(C89," ",D89)</f>
        <v>WIRTH Romain</v>
      </c>
      <c r="D261" s="364" t="e">
        <f>VALO_PERSO!#REF!</f>
        <v>#REF!</v>
      </c>
      <c r="E261" s="364" t="e">
        <f>VALO_PERSO!#REF!</f>
        <v>#REF!</v>
      </c>
      <c r="F261" s="365" t="e">
        <f>VALO_PERSO!#REF!</f>
        <v>#REF!</v>
      </c>
      <c r="G261" s="365" t="e">
        <f t="shared" ref="G261" si="246">IF(F261&lt;DATE(2024,1,1),DATE(2024,1,1),F261)</f>
        <v>#REF!</v>
      </c>
      <c r="H261" s="365" t="e">
        <f>VALO_PERSO!#REF!</f>
        <v>#REF!</v>
      </c>
      <c r="I261" s="365" t="e">
        <f t="shared" ref="I261" si="247">IF(OR(ISBLANK(H261),H261=0),DATE(2024,12,31),H261)</f>
        <v>#REF!</v>
      </c>
      <c r="J261" s="364" t="e">
        <f t="shared" ref="J261" si="248">I261-G261</f>
        <v>#REF!</v>
      </c>
      <c r="K261" s="364" t="e">
        <f t="shared" ref="K261" si="249">((J261/365)*12)/12</f>
        <v>#REF!</v>
      </c>
      <c r="L261" s="364"/>
      <c r="M261" s="364" t="e">
        <f>VALO_PERSO!#REF!</f>
        <v>#REF!</v>
      </c>
      <c r="N261" s="384" t="e">
        <f t="shared" ref="N261" si="250">S261/M261</f>
        <v>#REF!</v>
      </c>
      <c r="O261" s="385" t="e">
        <f t="shared" ref="O261" si="251">P261/12</f>
        <v>#REF!</v>
      </c>
      <c r="P261" s="368" t="e">
        <f>VALO_PERSO!#REF!</f>
        <v>#REF!</v>
      </c>
      <c r="Q261" s="368" t="e">
        <f>VALO_PERSO!#REF!</f>
        <v>#REF!</v>
      </c>
      <c r="R261" s="368" t="e">
        <f>VALO_PERSO!#REF!</f>
        <v>#REF!</v>
      </c>
      <c r="S261" s="386" t="e">
        <f>VALO_PERSO!#REF!-VALO_PERSO!#REF!</f>
        <v>#REF!</v>
      </c>
      <c r="T261" s="368" t="e">
        <f t="shared" ref="T261" si="252">S261*R261</f>
        <v>#REF!</v>
      </c>
    </row>
    <row r="262" spans="1:20" s="112" customFormat="1" ht="15.75" thickBot="1" x14ac:dyDescent="0.3">
      <c r="A262" s="112" t="s">
        <v>816</v>
      </c>
      <c r="B262" s="364" t="e">
        <f>VALO_PERSO!#REF!</f>
        <v>#REF!</v>
      </c>
      <c r="C262" s="364" t="str">
        <f t="shared" ref="C262" si="253">CONCATENATE(C87," ",D87)</f>
        <v>GASPERIN Anthony</v>
      </c>
      <c r="D262" s="364" t="e">
        <f>VALO_PERSO!#REF!</f>
        <v>#REF!</v>
      </c>
      <c r="E262" s="364" t="e">
        <f>VALO_PERSO!#REF!</f>
        <v>#REF!</v>
      </c>
      <c r="F262" s="365" t="e">
        <f>VALO_PERSO!#REF!</f>
        <v>#REF!</v>
      </c>
      <c r="G262" s="365" t="e">
        <f t="shared" si="47"/>
        <v>#REF!</v>
      </c>
      <c r="H262" s="365" t="e">
        <f>VALO_PERSO!#REF!</f>
        <v>#REF!</v>
      </c>
      <c r="I262" s="365" t="e">
        <f t="shared" si="48"/>
        <v>#REF!</v>
      </c>
      <c r="J262" s="364" t="e">
        <f t="shared" si="49"/>
        <v>#REF!</v>
      </c>
      <c r="K262" s="364" t="e">
        <f t="shared" si="50"/>
        <v>#REF!</v>
      </c>
      <c r="L262" s="364"/>
      <c r="M262" s="364" t="e">
        <f>VALO_PERSO!#REF!</f>
        <v>#REF!</v>
      </c>
      <c r="N262" s="384" t="e">
        <f t="shared" si="51"/>
        <v>#REF!</v>
      </c>
      <c r="O262" s="385" t="e">
        <f t="shared" si="52"/>
        <v>#REF!</v>
      </c>
      <c r="P262" s="368" t="e">
        <f>VALO_PERSO!#REF!</f>
        <v>#REF!</v>
      </c>
      <c r="Q262" s="368" t="e">
        <f>VALO_PERSO!#REF!</f>
        <v>#REF!</v>
      </c>
      <c r="R262" s="368" t="e">
        <f>VALO_PERSO!#REF!</f>
        <v>#REF!</v>
      </c>
      <c r="S262" s="386" t="e">
        <f>VALO_PERSO!#REF!-VALO_PERSO!#REF!</f>
        <v>#REF!</v>
      </c>
      <c r="T262" s="368" t="e">
        <f t="shared" si="53"/>
        <v>#REF!</v>
      </c>
    </row>
    <row r="263" spans="1:20" s="112" customFormat="1" ht="15.75" thickBot="1" x14ac:dyDescent="0.3">
      <c r="A263" s="112" t="s">
        <v>816</v>
      </c>
      <c r="B263" s="364" t="e">
        <f>VALO_PERSO!#REF!</f>
        <v>#REF!</v>
      </c>
      <c r="C263" s="364" t="str">
        <f t="shared" ref="C263" si="254">CONCATENATE(C88," ",D88)</f>
        <v>LA CORTE Matias</v>
      </c>
      <c r="D263" s="364" t="e">
        <f>VALO_PERSO!#REF!</f>
        <v>#REF!</v>
      </c>
      <c r="E263" s="364" t="e">
        <f>VALO_PERSO!#REF!</f>
        <v>#REF!</v>
      </c>
      <c r="F263" s="365" t="e">
        <f>VALO_PERSO!#REF!</f>
        <v>#REF!</v>
      </c>
      <c r="G263" s="365" t="e">
        <f t="shared" ref="G263" si="255">IF(F263&lt;DATE(2024,1,1),DATE(2024,1,1),F263)</f>
        <v>#REF!</v>
      </c>
      <c r="H263" s="365" t="e">
        <f>VALO_PERSO!#REF!</f>
        <v>#REF!</v>
      </c>
      <c r="I263" s="365" t="e">
        <f t="shared" ref="I263" si="256">IF(OR(ISBLANK(H263),H263=0),DATE(2024,12,31),H263)</f>
        <v>#REF!</v>
      </c>
      <c r="J263" s="364" t="e">
        <f t="shared" ref="J263" si="257">I263-G263</f>
        <v>#REF!</v>
      </c>
      <c r="K263" s="364" t="e">
        <f t="shared" ref="K263" si="258">((J263/365)*12)/12</f>
        <v>#REF!</v>
      </c>
      <c r="L263" s="364"/>
      <c r="M263" s="364" t="e">
        <f>VALO_PERSO!#REF!</f>
        <v>#REF!</v>
      </c>
      <c r="N263" s="384" t="e">
        <f t="shared" ref="N263" si="259">S263/M263</f>
        <v>#REF!</v>
      </c>
      <c r="O263" s="385" t="e">
        <f t="shared" ref="O263" si="260">P263/12</f>
        <v>#REF!</v>
      </c>
      <c r="P263" s="368" t="e">
        <f>VALO_PERSO!#REF!</f>
        <v>#REF!</v>
      </c>
      <c r="Q263" s="368" t="e">
        <f>VALO_PERSO!#REF!</f>
        <v>#REF!</v>
      </c>
      <c r="R263" s="368" t="e">
        <f>VALO_PERSO!#REF!</f>
        <v>#REF!</v>
      </c>
      <c r="S263" s="386" t="e">
        <f>VALO_PERSO!#REF!-VALO_PERSO!#REF!</f>
        <v>#REF!</v>
      </c>
      <c r="T263" s="368" t="e">
        <f t="shared" ref="T263" si="261">S263*R263</f>
        <v>#REF!</v>
      </c>
    </row>
    <row r="264" spans="1:20" s="112" customFormat="1" ht="15.75" thickBot="1" x14ac:dyDescent="0.3">
      <c r="A264" s="112" t="s">
        <v>816</v>
      </c>
      <c r="B264" s="364" t="e">
        <f>VALO_PERSO!#REF!</f>
        <v>#REF!</v>
      </c>
      <c r="C264" s="364" t="str">
        <f t="shared" ref="C264" si="262">CONCATENATE(C88," ",D88)</f>
        <v>LA CORTE Matias</v>
      </c>
      <c r="D264" s="364" t="e">
        <f>VALO_PERSO!#REF!</f>
        <v>#REF!</v>
      </c>
      <c r="E264" s="364" t="e">
        <f>VALO_PERSO!#REF!</f>
        <v>#REF!</v>
      </c>
      <c r="F264" s="365" t="e">
        <f>VALO_PERSO!#REF!</f>
        <v>#REF!</v>
      </c>
      <c r="G264" s="365" t="e">
        <f t="shared" ref="G264" si="263">IF(F264&lt;DATE(2024,1,1),DATE(2024,1,1),F264)</f>
        <v>#REF!</v>
      </c>
      <c r="H264" s="365" t="e">
        <f>VALO_PERSO!#REF!</f>
        <v>#REF!</v>
      </c>
      <c r="I264" s="365" t="e">
        <f t="shared" ref="I264" si="264">IF(OR(ISBLANK(H264),H264=0),DATE(2024,12,31),H264)</f>
        <v>#REF!</v>
      </c>
      <c r="J264" s="364" t="e">
        <f t="shared" ref="J264" si="265">I264-G264</f>
        <v>#REF!</v>
      </c>
      <c r="K264" s="364" t="e">
        <f t="shared" ref="K264" si="266">((J264/365)*12)/12</f>
        <v>#REF!</v>
      </c>
      <c r="L264" s="364"/>
      <c r="M264" s="364" t="e">
        <f>VALO_PERSO!#REF!</f>
        <v>#REF!</v>
      </c>
      <c r="N264" s="384" t="e">
        <f t="shared" ref="N264" si="267">S264/M264</f>
        <v>#REF!</v>
      </c>
      <c r="O264" s="385" t="e">
        <f t="shared" ref="O264" si="268">P264/12</f>
        <v>#REF!</v>
      </c>
      <c r="P264" s="368" t="e">
        <f>VALO_PERSO!#REF!</f>
        <v>#REF!</v>
      </c>
      <c r="Q264" s="368" t="e">
        <f>VALO_PERSO!#REF!</f>
        <v>#REF!</v>
      </c>
      <c r="R264" s="368" t="e">
        <f>VALO_PERSO!#REF!</f>
        <v>#REF!</v>
      </c>
      <c r="S264" s="386" t="e">
        <f>VALO_PERSO!#REF!-VALO_PERSO!#REF!</f>
        <v>#REF!</v>
      </c>
      <c r="T264" s="368" t="e">
        <f t="shared" ref="T264" si="269">S264*R264</f>
        <v>#REF!</v>
      </c>
    </row>
    <row r="265" spans="1:20" s="112" customFormat="1" ht="15.75" thickBot="1" x14ac:dyDescent="0.3">
      <c r="A265" s="112" t="s">
        <v>816</v>
      </c>
      <c r="B265" s="364" t="e">
        <f>VALO_PERSO!#REF!</f>
        <v>#REF!</v>
      </c>
      <c r="C265" s="364" t="str">
        <f t="shared" ref="C265" si="270">CONCATENATE(C89," ",D89)</f>
        <v>WIRTH Romain</v>
      </c>
      <c r="D265" s="364" t="e">
        <f>VALO_PERSO!#REF!</f>
        <v>#REF!</v>
      </c>
      <c r="E265" s="364" t="e">
        <f>VALO_PERSO!#REF!</f>
        <v>#REF!</v>
      </c>
      <c r="F265" s="365" t="e">
        <f>VALO_PERSO!#REF!</f>
        <v>#REF!</v>
      </c>
      <c r="G265" s="365" t="e">
        <f t="shared" ref="G265" si="271">IF(F265&lt;DATE(2024,1,1),DATE(2024,1,1),F265)</f>
        <v>#REF!</v>
      </c>
      <c r="H265" s="365" t="e">
        <f>VALO_PERSO!#REF!</f>
        <v>#REF!</v>
      </c>
      <c r="I265" s="365" t="e">
        <f t="shared" ref="I265" si="272">IF(OR(ISBLANK(H265),H265=0),DATE(2024,12,31),H265)</f>
        <v>#REF!</v>
      </c>
      <c r="J265" s="364" t="e">
        <f t="shared" ref="J265" si="273">I265-G265</f>
        <v>#REF!</v>
      </c>
      <c r="K265" s="364" t="e">
        <f t="shared" ref="K265" si="274">((J265/365)*12)/12</f>
        <v>#REF!</v>
      </c>
      <c r="L265" s="364"/>
      <c r="M265" s="364" t="e">
        <f>VALO_PERSO!#REF!</f>
        <v>#REF!</v>
      </c>
      <c r="N265" s="384" t="e">
        <f t="shared" ref="N265" si="275">S265/M265</f>
        <v>#REF!</v>
      </c>
      <c r="O265" s="385" t="e">
        <f t="shared" ref="O265" si="276">P265/12</f>
        <v>#REF!</v>
      </c>
      <c r="P265" s="368" t="e">
        <f>VALO_PERSO!#REF!</f>
        <v>#REF!</v>
      </c>
      <c r="Q265" s="368" t="e">
        <f>VALO_PERSO!#REF!</f>
        <v>#REF!</v>
      </c>
      <c r="R265" s="368" t="e">
        <f>VALO_PERSO!#REF!</f>
        <v>#REF!</v>
      </c>
      <c r="S265" s="386" t="e">
        <f>VALO_PERSO!#REF!-VALO_PERSO!#REF!</f>
        <v>#REF!</v>
      </c>
      <c r="T265" s="368" t="e">
        <f t="shared" ref="T265" si="277">S265*R265</f>
        <v>#REF!</v>
      </c>
    </row>
    <row r="266" spans="1:20" s="112" customFormat="1" ht="15.75" thickBot="1" x14ac:dyDescent="0.3">
      <c r="A266" s="112" t="s">
        <v>816</v>
      </c>
      <c r="B266" s="364" t="e">
        <f>VALO_PERSO!#REF!</f>
        <v>#REF!</v>
      </c>
      <c r="C266" s="364" t="str">
        <f t="shared" ref="C266" si="278">CONCATENATE(C87," ",D87)</f>
        <v>GASPERIN Anthony</v>
      </c>
      <c r="D266" s="364" t="e">
        <f>VALO_PERSO!#REF!</f>
        <v>#REF!</v>
      </c>
      <c r="E266" s="364" t="e">
        <f>VALO_PERSO!#REF!</f>
        <v>#REF!</v>
      </c>
      <c r="F266" s="365" t="e">
        <f>VALO_PERSO!#REF!</f>
        <v>#REF!</v>
      </c>
      <c r="G266" s="365" t="e">
        <f t="shared" si="47"/>
        <v>#REF!</v>
      </c>
      <c r="H266" s="365" t="e">
        <f>VALO_PERSO!#REF!</f>
        <v>#REF!</v>
      </c>
      <c r="I266" s="365" t="e">
        <f t="shared" si="48"/>
        <v>#REF!</v>
      </c>
      <c r="J266" s="364" t="e">
        <f t="shared" si="49"/>
        <v>#REF!</v>
      </c>
      <c r="K266" s="364" t="e">
        <f t="shared" si="50"/>
        <v>#REF!</v>
      </c>
      <c r="L266" s="364"/>
      <c r="M266" s="364" t="e">
        <f>VALO_PERSO!#REF!</f>
        <v>#REF!</v>
      </c>
      <c r="N266" s="384" t="e">
        <f t="shared" si="51"/>
        <v>#REF!</v>
      </c>
      <c r="O266" s="385" t="e">
        <f t="shared" si="52"/>
        <v>#REF!</v>
      </c>
      <c r="P266" s="368" t="e">
        <f>VALO_PERSO!#REF!</f>
        <v>#REF!</v>
      </c>
      <c r="Q266" s="368" t="e">
        <f>VALO_PERSO!#REF!</f>
        <v>#REF!</v>
      </c>
      <c r="R266" s="368" t="e">
        <f>VALO_PERSO!#REF!</f>
        <v>#REF!</v>
      </c>
      <c r="S266" s="386" t="e">
        <f>VALO_PERSO!#REF!-VALO_PERSO!#REF!</f>
        <v>#REF!</v>
      </c>
      <c r="T266" s="368" t="e">
        <f t="shared" si="53"/>
        <v>#REF!</v>
      </c>
    </row>
    <row r="267" spans="1:20" s="112" customFormat="1" ht="15.75" thickBot="1" x14ac:dyDescent="0.3">
      <c r="A267" s="112" t="s">
        <v>816</v>
      </c>
      <c r="B267" s="364" t="e">
        <f>VALO_PERSO!#REF!</f>
        <v>#REF!</v>
      </c>
      <c r="C267" s="364" t="str">
        <f t="shared" ref="C267" si="279">CONCATENATE(C88," ",D88)</f>
        <v>LA CORTE Matias</v>
      </c>
      <c r="D267" s="364" t="e">
        <f>VALO_PERSO!#REF!</f>
        <v>#REF!</v>
      </c>
      <c r="E267" s="364" t="e">
        <f>VALO_PERSO!#REF!</f>
        <v>#REF!</v>
      </c>
      <c r="F267" s="365" t="e">
        <f>VALO_PERSO!#REF!</f>
        <v>#REF!</v>
      </c>
      <c r="G267" s="365" t="e">
        <f t="shared" ref="G267" si="280">IF(F267&lt;DATE(2024,1,1),DATE(2024,1,1),F267)</f>
        <v>#REF!</v>
      </c>
      <c r="H267" s="365" t="e">
        <f>VALO_PERSO!#REF!</f>
        <v>#REF!</v>
      </c>
      <c r="I267" s="365" t="e">
        <f t="shared" ref="I267" si="281">IF(OR(ISBLANK(H267),H267=0),DATE(2024,12,31),H267)</f>
        <v>#REF!</v>
      </c>
      <c r="J267" s="364" t="e">
        <f t="shared" ref="J267" si="282">I267-G267</f>
        <v>#REF!</v>
      </c>
      <c r="K267" s="364" t="e">
        <f t="shared" ref="K267" si="283">((J267/365)*12)/12</f>
        <v>#REF!</v>
      </c>
      <c r="L267" s="364"/>
      <c r="M267" s="364" t="e">
        <f>VALO_PERSO!#REF!</f>
        <v>#REF!</v>
      </c>
      <c r="N267" s="384" t="e">
        <f t="shared" ref="N267" si="284">S267/M267</f>
        <v>#REF!</v>
      </c>
      <c r="O267" s="385" t="e">
        <f t="shared" ref="O267" si="285">P267/12</f>
        <v>#REF!</v>
      </c>
      <c r="P267" s="368" t="e">
        <f>VALO_PERSO!#REF!</f>
        <v>#REF!</v>
      </c>
      <c r="Q267" s="368" t="e">
        <f>VALO_PERSO!#REF!</f>
        <v>#REF!</v>
      </c>
      <c r="R267" s="368" t="e">
        <f>VALO_PERSO!#REF!</f>
        <v>#REF!</v>
      </c>
      <c r="S267" s="386" t="e">
        <f>VALO_PERSO!#REF!-VALO_PERSO!#REF!</f>
        <v>#REF!</v>
      </c>
      <c r="T267" s="368" t="e">
        <f t="shared" ref="T267" si="286">S267*R267</f>
        <v>#REF!</v>
      </c>
    </row>
    <row r="268" spans="1:20" s="112" customFormat="1" ht="15.75" thickBot="1" x14ac:dyDescent="0.3">
      <c r="A268" s="112" t="s">
        <v>816</v>
      </c>
      <c r="B268" s="364" t="e">
        <f>VALO_PERSO!#REF!</f>
        <v>#REF!</v>
      </c>
      <c r="C268" s="364" t="str">
        <f t="shared" ref="C268" si="287">CONCATENATE(C88," ",D88)</f>
        <v>LA CORTE Matias</v>
      </c>
      <c r="D268" s="364" t="e">
        <f>VALO_PERSO!#REF!</f>
        <v>#REF!</v>
      </c>
      <c r="E268" s="364" t="e">
        <f>VALO_PERSO!#REF!</f>
        <v>#REF!</v>
      </c>
      <c r="F268" s="365" t="e">
        <f>VALO_PERSO!#REF!</f>
        <v>#REF!</v>
      </c>
      <c r="G268" s="365" t="e">
        <f t="shared" ref="G268" si="288">IF(F268&lt;DATE(2024,1,1),DATE(2024,1,1),F268)</f>
        <v>#REF!</v>
      </c>
      <c r="H268" s="365" t="e">
        <f>VALO_PERSO!#REF!</f>
        <v>#REF!</v>
      </c>
      <c r="I268" s="365" t="e">
        <f t="shared" ref="I268" si="289">IF(OR(ISBLANK(H268),H268=0),DATE(2024,12,31),H268)</f>
        <v>#REF!</v>
      </c>
      <c r="J268" s="364" t="e">
        <f t="shared" ref="J268" si="290">I268-G268</f>
        <v>#REF!</v>
      </c>
      <c r="K268" s="364" t="e">
        <f t="shared" ref="K268" si="291">((J268/365)*12)/12</f>
        <v>#REF!</v>
      </c>
      <c r="L268" s="364"/>
      <c r="M268" s="364" t="e">
        <f>VALO_PERSO!#REF!</f>
        <v>#REF!</v>
      </c>
      <c r="N268" s="384" t="e">
        <f t="shared" ref="N268" si="292">S268/M268</f>
        <v>#REF!</v>
      </c>
      <c r="O268" s="385" t="e">
        <f t="shared" ref="O268" si="293">P268/12</f>
        <v>#REF!</v>
      </c>
      <c r="P268" s="368" t="e">
        <f>VALO_PERSO!#REF!</f>
        <v>#REF!</v>
      </c>
      <c r="Q268" s="368" t="e">
        <f>VALO_PERSO!#REF!</f>
        <v>#REF!</v>
      </c>
      <c r="R268" s="368" t="e">
        <f>VALO_PERSO!#REF!</f>
        <v>#REF!</v>
      </c>
      <c r="S268" s="386" t="e">
        <f>VALO_PERSO!#REF!-VALO_PERSO!#REF!</f>
        <v>#REF!</v>
      </c>
      <c r="T268" s="368" t="e">
        <f t="shared" ref="T268" si="294">S268*R268</f>
        <v>#REF!</v>
      </c>
    </row>
    <row r="269" spans="1:20" s="112" customFormat="1" ht="15.75" thickBot="1" x14ac:dyDescent="0.3">
      <c r="A269" s="112" t="s">
        <v>816</v>
      </c>
      <c r="B269" s="364" t="e">
        <f>VALO_PERSO!#REF!</f>
        <v>#REF!</v>
      </c>
      <c r="C269" s="364" t="str">
        <f t="shared" ref="C269" si="295">CONCATENATE(C89," ",D89)</f>
        <v>WIRTH Romain</v>
      </c>
      <c r="D269" s="364" t="e">
        <f>VALO_PERSO!#REF!</f>
        <v>#REF!</v>
      </c>
      <c r="E269" s="364" t="e">
        <f>VALO_PERSO!#REF!</f>
        <v>#REF!</v>
      </c>
      <c r="F269" s="365" t="e">
        <f>VALO_PERSO!#REF!</f>
        <v>#REF!</v>
      </c>
      <c r="G269" s="365" t="e">
        <f t="shared" ref="G269" si="296">IF(F269&lt;DATE(2024,1,1),DATE(2024,1,1),F269)</f>
        <v>#REF!</v>
      </c>
      <c r="H269" s="365" t="e">
        <f>VALO_PERSO!#REF!</f>
        <v>#REF!</v>
      </c>
      <c r="I269" s="365" t="e">
        <f t="shared" ref="I269" si="297">IF(OR(ISBLANK(H269),H269=0),DATE(2024,12,31),H269)</f>
        <v>#REF!</v>
      </c>
      <c r="J269" s="364" t="e">
        <f t="shared" ref="J269" si="298">I269-G269</f>
        <v>#REF!</v>
      </c>
      <c r="K269" s="364" t="e">
        <f t="shared" ref="K269" si="299">((J269/365)*12)/12</f>
        <v>#REF!</v>
      </c>
      <c r="L269" s="364"/>
      <c r="M269" s="364" t="e">
        <f>VALO_PERSO!#REF!</f>
        <v>#REF!</v>
      </c>
      <c r="N269" s="384" t="e">
        <f t="shared" ref="N269" si="300">S269/M269</f>
        <v>#REF!</v>
      </c>
      <c r="O269" s="385" t="e">
        <f t="shared" ref="O269" si="301">P269/12</f>
        <v>#REF!</v>
      </c>
      <c r="P269" s="368" t="e">
        <f>VALO_PERSO!#REF!</f>
        <v>#REF!</v>
      </c>
      <c r="Q269" s="368" t="e">
        <f>VALO_PERSO!#REF!</f>
        <v>#REF!</v>
      </c>
      <c r="R269" s="368" t="e">
        <f>VALO_PERSO!#REF!</f>
        <v>#REF!</v>
      </c>
      <c r="S269" s="386" t="e">
        <f>VALO_PERSO!#REF!-VALO_PERSO!#REF!</f>
        <v>#REF!</v>
      </c>
      <c r="T269" s="368" t="e">
        <f t="shared" ref="T269" si="302">S269*R269</f>
        <v>#REF!</v>
      </c>
    </row>
    <row r="270" spans="1:20" s="112" customFormat="1" ht="15.75" thickBot="1" x14ac:dyDescent="0.3">
      <c r="A270" s="112" t="s">
        <v>816</v>
      </c>
      <c r="B270" s="364" t="e">
        <f>VALO_PERSO!#REF!</f>
        <v>#REF!</v>
      </c>
      <c r="C270" s="364" t="str">
        <f t="shared" ref="C270" si="303">CONCATENATE(C87," ",D87)</f>
        <v>GASPERIN Anthony</v>
      </c>
      <c r="D270" s="364" t="e">
        <f>VALO_PERSO!#REF!</f>
        <v>#REF!</v>
      </c>
      <c r="E270" s="364" t="e">
        <f>VALO_PERSO!#REF!</f>
        <v>#REF!</v>
      </c>
      <c r="F270" s="365" t="e">
        <f>VALO_PERSO!#REF!</f>
        <v>#REF!</v>
      </c>
      <c r="G270" s="365" t="e">
        <f t="shared" si="47"/>
        <v>#REF!</v>
      </c>
      <c r="H270" s="365" t="e">
        <f>VALO_PERSO!#REF!</f>
        <v>#REF!</v>
      </c>
      <c r="I270" s="365" t="e">
        <f t="shared" si="48"/>
        <v>#REF!</v>
      </c>
      <c r="J270" s="364" t="e">
        <f t="shared" si="49"/>
        <v>#REF!</v>
      </c>
      <c r="K270" s="364" t="e">
        <f t="shared" si="50"/>
        <v>#REF!</v>
      </c>
      <c r="L270" s="364"/>
      <c r="M270" s="364" t="e">
        <f>VALO_PERSO!#REF!</f>
        <v>#REF!</v>
      </c>
      <c r="N270" s="384" t="e">
        <f t="shared" si="51"/>
        <v>#REF!</v>
      </c>
      <c r="O270" s="385" t="e">
        <f t="shared" si="52"/>
        <v>#REF!</v>
      </c>
      <c r="P270" s="368" t="e">
        <f>VALO_PERSO!#REF!</f>
        <v>#REF!</v>
      </c>
      <c r="Q270" s="368" t="e">
        <f>VALO_PERSO!#REF!</f>
        <v>#REF!</v>
      </c>
      <c r="R270" s="368" t="e">
        <f>VALO_PERSO!#REF!</f>
        <v>#REF!</v>
      </c>
      <c r="S270" s="386" t="e">
        <f>VALO_PERSO!#REF!-VALO_PERSO!#REF!</f>
        <v>#REF!</v>
      </c>
      <c r="T270" s="368" t="e">
        <f t="shared" si="53"/>
        <v>#REF!</v>
      </c>
    </row>
    <row r="271" spans="1:20" s="112" customFormat="1" ht="15.75" thickBot="1" x14ac:dyDescent="0.3">
      <c r="A271" s="112" t="s">
        <v>816</v>
      </c>
      <c r="B271" s="364" t="e">
        <f>VALO_PERSO!#REF!</f>
        <v>#REF!</v>
      </c>
      <c r="C271" s="364" t="str">
        <f t="shared" ref="C271" si="304">CONCATENATE(C88," ",D88)</f>
        <v>LA CORTE Matias</v>
      </c>
      <c r="D271" s="364" t="e">
        <f>VALO_PERSO!#REF!</f>
        <v>#REF!</v>
      </c>
      <c r="E271" s="364" t="e">
        <f>VALO_PERSO!#REF!</f>
        <v>#REF!</v>
      </c>
      <c r="F271" s="365" t="e">
        <f>VALO_PERSO!#REF!</f>
        <v>#REF!</v>
      </c>
      <c r="G271" s="365" t="e">
        <f t="shared" ref="G271" si="305">IF(F271&lt;DATE(2024,1,1),DATE(2024,1,1),F271)</f>
        <v>#REF!</v>
      </c>
      <c r="H271" s="365" t="e">
        <f>VALO_PERSO!#REF!</f>
        <v>#REF!</v>
      </c>
      <c r="I271" s="365" t="e">
        <f t="shared" ref="I271" si="306">IF(OR(ISBLANK(H271),H271=0),DATE(2024,12,31),H271)</f>
        <v>#REF!</v>
      </c>
      <c r="J271" s="364" t="e">
        <f t="shared" ref="J271" si="307">I271-G271</f>
        <v>#REF!</v>
      </c>
      <c r="K271" s="364" t="e">
        <f t="shared" ref="K271" si="308">((J271/365)*12)/12</f>
        <v>#REF!</v>
      </c>
      <c r="L271" s="364"/>
      <c r="M271" s="364" t="e">
        <f>VALO_PERSO!#REF!</f>
        <v>#REF!</v>
      </c>
      <c r="N271" s="384" t="e">
        <f t="shared" ref="N271" si="309">S271/M271</f>
        <v>#REF!</v>
      </c>
      <c r="O271" s="385" t="e">
        <f t="shared" ref="O271" si="310">P271/12</f>
        <v>#REF!</v>
      </c>
      <c r="P271" s="368" t="e">
        <f>VALO_PERSO!#REF!</f>
        <v>#REF!</v>
      </c>
      <c r="Q271" s="368" t="e">
        <f>VALO_PERSO!#REF!</f>
        <v>#REF!</v>
      </c>
      <c r="R271" s="368" t="e">
        <f>VALO_PERSO!#REF!</f>
        <v>#REF!</v>
      </c>
      <c r="S271" s="386" t="e">
        <f>VALO_PERSO!#REF!-VALO_PERSO!#REF!</f>
        <v>#REF!</v>
      </c>
      <c r="T271" s="368" t="e">
        <f t="shared" ref="T271" si="311">S271*R271</f>
        <v>#REF!</v>
      </c>
    </row>
    <row r="272" spans="1:20" s="112" customFormat="1" ht="15.75" thickBot="1" x14ac:dyDescent="0.3">
      <c r="A272" s="112" t="s">
        <v>816</v>
      </c>
      <c r="B272" s="364" t="e">
        <f>VALO_PERSO!#REF!</f>
        <v>#REF!</v>
      </c>
      <c r="C272" s="364" t="str">
        <f t="shared" ref="C272" si="312">CONCATENATE(C88," ",D88)</f>
        <v>LA CORTE Matias</v>
      </c>
      <c r="D272" s="364" t="e">
        <f>VALO_PERSO!#REF!</f>
        <v>#REF!</v>
      </c>
      <c r="E272" s="364" t="e">
        <f>VALO_PERSO!#REF!</f>
        <v>#REF!</v>
      </c>
      <c r="F272" s="365" t="e">
        <f>VALO_PERSO!#REF!</f>
        <v>#REF!</v>
      </c>
      <c r="G272" s="365" t="e">
        <f t="shared" ref="G272" si="313">IF(F272&lt;DATE(2024,1,1),DATE(2024,1,1),F272)</f>
        <v>#REF!</v>
      </c>
      <c r="H272" s="365" t="e">
        <f>VALO_PERSO!#REF!</f>
        <v>#REF!</v>
      </c>
      <c r="I272" s="365" t="e">
        <f t="shared" ref="I272" si="314">IF(OR(ISBLANK(H272),H272=0),DATE(2024,12,31),H272)</f>
        <v>#REF!</v>
      </c>
      <c r="J272" s="364" t="e">
        <f t="shared" ref="J272" si="315">I272-G272</f>
        <v>#REF!</v>
      </c>
      <c r="K272" s="364" t="e">
        <f t="shared" ref="K272" si="316">((J272/365)*12)/12</f>
        <v>#REF!</v>
      </c>
      <c r="L272" s="364"/>
      <c r="M272" s="364" t="e">
        <f>VALO_PERSO!#REF!</f>
        <v>#REF!</v>
      </c>
      <c r="N272" s="384" t="e">
        <f t="shared" ref="N272" si="317">S272/M272</f>
        <v>#REF!</v>
      </c>
      <c r="O272" s="385" t="e">
        <f t="shared" ref="O272" si="318">P272/12</f>
        <v>#REF!</v>
      </c>
      <c r="P272" s="368" t="e">
        <f>VALO_PERSO!#REF!</f>
        <v>#REF!</v>
      </c>
      <c r="Q272" s="368" t="e">
        <f>VALO_PERSO!#REF!</f>
        <v>#REF!</v>
      </c>
      <c r="R272" s="368" t="e">
        <f>VALO_PERSO!#REF!</f>
        <v>#REF!</v>
      </c>
      <c r="S272" s="386" t="e">
        <f>VALO_PERSO!#REF!-VALO_PERSO!#REF!</f>
        <v>#REF!</v>
      </c>
      <c r="T272" s="368" t="e">
        <f t="shared" ref="T272" si="319">S272*R272</f>
        <v>#REF!</v>
      </c>
    </row>
    <row r="273" spans="1:20" s="112" customFormat="1" ht="15.75" thickBot="1" x14ac:dyDescent="0.3">
      <c r="A273" s="112" t="s">
        <v>816</v>
      </c>
      <c r="B273" s="364" t="e">
        <f>VALO_PERSO!#REF!</f>
        <v>#REF!</v>
      </c>
      <c r="C273" s="364" t="str">
        <f t="shared" ref="C273" si="320">CONCATENATE(C89," ",D89)</f>
        <v>WIRTH Romain</v>
      </c>
      <c r="D273" s="364" t="e">
        <f>VALO_PERSO!#REF!</f>
        <v>#REF!</v>
      </c>
      <c r="E273" s="364" t="e">
        <f>VALO_PERSO!#REF!</f>
        <v>#REF!</v>
      </c>
      <c r="F273" s="365" t="e">
        <f>VALO_PERSO!#REF!</f>
        <v>#REF!</v>
      </c>
      <c r="G273" s="365" t="e">
        <f t="shared" ref="G273" si="321">IF(F273&lt;DATE(2024,1,1),DATE(2024,1,1),F273)</f>
        <v>#REF!</v>
      </c>
      <c r="H273" s="365" t="e">
        <f>VALO_PERSO!#REF!</f>
        <v>#REF!</v>
      </c>
      <c r="I273" s="365" t="e">
        <f t="shared" ref="I273" si="322">IF(OR(ISBLANK(H273),H273=0),DATE(2024,12,31),H273)</f>
        <v>#REF!</v>
      </c>
      <c r="J273" s="364" t="e">
        <f t="shared" ref="J273" si="323">I273-G273</f>
        <v>#REF!</v>
      </c>
      <c r="K273" s="364" t="e">
        <f t="shared" ref="K273" si="324">((J273/365)*12)/12</f>
        <v>#REF!</v>
      </c>
      <c r="L273" s="364"/>
      <c r="M273" s="364" t="e">
        <f>VALO_PERSO!#REF!</f>
        <v>#REF!</v>
      </c>
      <c r="N273" s="384" t="e">
        <f t="shared" ref="N273" si="325">S273/M273</f>
        <v>#REF!</v>
      </c>
      <c r="O273" s="385" t="e">
        <f t="shared" ref="O273" si="326">P273/12</f>
        <v>#REF!</v>
      </c>
      <c r="P273" s="368" t="e">
        <f>VALO_PERSO!#REF!</f>
        <v>#REF!</v>
      </c>
      <c r="Q273" s="368" t="e">
        <f>VALO_PERSO!#REF!</f>
        <v>#REF!</v>
      </c>
      <c r="R273" s="368" t="e">
        <f>VALO_PERSO!#REF!</f>
        <v>#REF!</v>
      </c>
      <c r="S273" s="386" t="e">
        <f>VALO_PERSO!#REF!-VALO_PERSO!#REF!</f>
        <v>#REF!</v>
      </c>
      <c r="T273" s="368" t="e">
        <f t="shared" ref="T273" si="327">S273*R273</f>
        <v>#REF!</v>
      </c>
    </row>
    <row r="274" spans="1:20" s="112" customFormat="1" ht="60.75" thickBot="1" x14ac:dyDescent="0.3">
      <c r="B274" s="364">
        <f>VALO_PERSO!F6</f>
        <v>2</v>
      </c>
      <c r="C274" s="364" t="str">
        <f t="shared" ref="C274:C281" si="328">CONCATENATE(C87," ",D87)</f>
        <v>GASPERIN Anthony</v>
      </c>
      <c r="D274" s="364" t="str">
        <f>VALO_PERSO!I6</f>
        <v>Lead Developer</v>
      </c>
      <c r="E274" s="364" t="str">
        <f>VALO_PERSO!J6</f>
        <v xml:space="preserve">Docteur en Sciences mention informatique - Université de Genève </v>
      </c>
      <c r="F274" s="365">
        <f>VALO_PERSO!M6</f>
        <v>45096</v>
      </c>
      <c r="G274" s="365">
        <f t="shared" ref="G274:G281" si="329">IF(F274&lt;DATE(2024,1,1),DATE(2024,1,1),F274)</f>
        <v>45292</v>
      </c>
      <c r="H274" s="365">
        <f>VALO_PERSO!N6</f>
        <v>0</v>
      </c>
      <c r="I274" s="365">
        <f t="shared" ref="I274:I281" si="330">IF(OR(ISBLANK(H274),H274=0),DATE(2024,12,31),H274)</f>
        <v>45657</v>
      </c>
      <c r="J274" s="364">
        <f t="shared" ref="J274:J281" si="331">I274-G274</f>
        <v>365</v>
      </c>
      <c r="K274" s="364">
        <f t="shared" ref="K274:K281" si="332">((J274/365)*12)/12</f>
        <v>1</v>
      </c>
      <c r="L274" s="364"/>
      <c r="M274" s="364">
        <f>VALO_PERSO!W6</f>
        <v>1728</v>
      </c>
      <c r="N274" s="384">
        <f t="shared" ref="N274:N281" si="333">S274/M274</f>
        <v>0.40104166666666669</v>
      </c>
      <c r="O274" s="385">
        <f t="shared" si="52"/>
        <v>5833.3300000000008</v>
      </c>
      <c r="P274" s="368">
        <f>VALO_PERSO!P6</f>
        <v>69999.960000000006</v>
      </c>
      <c r="Q274" s="368">
        <f>VALO_PERSO!V6</f>
        <v>99464.94</v>
      </c>
      <c r="R274" s="368">
        <f>VALO_PERSO!X6</f>
        <v>57.560729166666668</v>
      </c>
      <c r="S274" s="386">
        <f>VALO_PERSO!W6-VALO_PERSO!AZ6</f>
        <v>693</v>
      </c>
      <c r="T274" s="368">
        <f t="shared" ref="T274:T281" si="334">S274*R274</f>
        <v>39889.585312499999</v>
      </c>
    </row>
    <row r="275" spans="1:20" s="112" customFormat="1" ht="36.75" thickBot="1" x14ac:dyDescent="0.3">
      <c r="B275" s="364">
        <f>VALO_PERSO!F7</f>
        <v>5</v>
      </c>
      <c r="C275" s="364" t="str">
        <f t="shared" si="328"/>
        <v>LA CORTE Matias</v>
      </c>
      <c r="D275" s="364" t="str">
        <f>VALO_PERSO!I7</f>
        <v>Apprenti</v>
      </c>
      <c r="E275" s="364" t="str">
        <f>VALO_PERSO!J7</f>
        <v>Baccalauréat Général - Acadmie de Grenoble</v>
      </c>
      <c r="F275" s="365">
        <f>VALO_PERSO!M7</f>
        <v>45215</v>
      </c>
      <c r="G275" s="365">
        <f t="shared" si="329"/>
        <v>45292</v>
      </c>
      <c r="H275" s="365">
        <f>VALO_PERSO!N7</f>
        <v>0</v>
      </c>
      <c r="I275" s="365">
        <f t="shared" si="330"/>
        <v>45657</v>
      </c>
      <c r="J275" s="364">
        <f t="shared" si="331"/>
        <v>365</v>
      </c>
      <c r="K275" s="364">
        <f t="shared" si="332"/>
        <v>1</v>
      </c>
      <c r="L275" s="364"/>
      <c r="M275" s="364">
        <f>VALO_PERSO!W7</f>
        <v>1040.69</v>
      </c>
      <c r="N275" s="384">
        <f t="shared" si="333"/>
        <v>0.21235910789956663</v>
      </c>
      <c r="O275" s="385">
        <f t="shared" ref="O275:O281" si="335">P275/12</f>
        <v>965.16833333333341</v>
      </c>
      <c r="P275" s="368">
        <f>VALO_PERSO!P7</f>
        <v>11582.02</v>
      </c>
      <c r="Q275" s="368">
        <f>VALO_PERSO!V7</f>
        <v>12266.77</v>
      </c>
      <c r="R275" s="368">
        <f>VALO_PERSO!X7</f>
        <v>11.787150832620664</v>
      </c>
      <c r="S275" s="386">
        <f>VALO_PERSO!W7-VALO_PERSO!AZ7</f>
        <v>221</v>
      </c>
      <c r="T275" s="368">
        <f t="shared" si="334"/>
        <v>2604.9603340091667</v>
      </c>
    </row>
    <row r="276" spans="1:20" s="112" customFormat="1" ht="36.75" thickBot="1" x14ac:dyDescent="0.3">
      <c r="B276" s="364">
        <f>VALO_PERSO!F8</f>
        <v>9</v>
      </c>
      <c r="C276" s="364" t="str">
        <f t="shared" si="328"/>
        <v>WIRTH Romain</v>
      </c>
      <c r="D276" s="364" t="str">
        <f>VALO_PERSO!I8</f>
        <v>Développeur Full Stack</v>
      </c>
      <c r="E276" s="364" t="str">
        <f>VALO_PERSO!J8</f>
        <v xml:space="preserve">Bachelor of science - Ecole Hôtelière de Lausanne </v>
      </c>
      <c r="F276" s="365">
        <f>VALO_PERSO!M8</f>
        <v>45631</v>
      </c>
      <c r="G276" s="365">
        <f t="shared" si="329"/>
        <v>45631</v>
      </c>
      <c r="H276" s="365">
        <f>VALO_PERSO!N8</f>
        <v>0</v>
      </c>
      <c r="I276" s="365">
        <f t="shared" si="330"/>
        <v>45657</v>
      </c>
      <c r="J276" s="364">
        <f t="shared" si="331"/>
        <v>26</v>
      </c>
      <c r="K276" s="364">
        <f t="shared" si="332"/>
        <v>7.1232876712328766E-2</v>
      </c>
      <c r="L276" s="364"/>
      <c r="M276" s="364">
        <f>VALO_PERSO!W8</f>
        <v>1704</v>
      </c>
      <c r="N276" s="384">
        <f t="shared" si="333"/>
        <v>0.50058685446009388</v>
      </c>
      <c r="O276" s="385">
        <f>P276/12</f>
        <v>2996.4375</v>
      </c>
      <c r="P276" s="368">
        <f>VALO_PERSO!P8</f>
        <v>35957.25</v>
      </c>
      <c r="Q276" s="368">
        <f>VALO_PERSO!V8</f>
        <v>49844.800000000003</v>
      </c>
      <c r="R276" s="368">
        <f>VALO_PERSO!X8</f>
        <v>29.251643192488263</v>
      </c>
      <c r="S276" s="386">
        <f>VALO_PERSO!W8-VALO_PERSO!AZ8</f>
        <v>853</v>
      </c>
      <c r="T276" s="368">
        <f t="shared" si="334"/>
        <v>24951.65164319249</v>
      </c>
    </row>
    <row r="277" spans="1:20" s="112" customFormat="1" ht="60.75" thickBot="1" x14ac:dyDescent="0.3">
      <c r="B277" s="364">
        <f>VALO_PERSO!F9</f>
        <v>10</v>
      </c>
      <c r="C277" s="364" t="str">
        <f t="shared" si="328"/>
        <v>CILES Grégoire</v>
      </c>
      <c r="D277" s="364" t="str">
        <f>VALO_PERSO!I9</f>
        <v>Développeur Full Stack</v>
      </c>
      <c r="E277" s="364" t="str">
        <f>VALO_PERSO!J9</f>
        <v>RNCP Niveau 5 (Bac +2) - Developpeur web et web mobile - Simplon.co</v>
      </c>
      <c r="F277" s="365">
        <f>VALO_PERSO!M9</f>
        <v>45287</v>
      </c>
      <c r="G277" s="365">
        <f t="shared" si="329"/>
        <v>45292</v>
      </c>
      <c r="H277" s="365">
        <f>VALO_PERSO!N9</f>
        <v>0</v>
      </c>
      <c r="I277" s="365">
        <f t="shared" si="330"/>
        <v>45657</v>
      </c>
      <c r="J277" s="364">
        <f t="shared" si="331"/>
        <v>365</v>
      </c>
      <c r="K277" s="364">
        <f t="shared" si="332"/>
        <v>1</v>
      </c>
      <c r="L277" s="364"/>
      <c r="M277" s="364">
        <f>VALO_PERSO!W9</f>
        <v>1824</v>
      </c>
      <c r="N277" s="384">
        <f t="shared" si="333"/>
        <v>0.47587719298245612</v>
      </c>
      <c r="O277" s="385">
        <f t="shared" si="335"/>
        <v>3333.33</v>
      </c>
      <c r="P277" s="368">
        <f>VALO_PERSO!P9</f>
        <v>39999.96</v>
      </c>
      <c r="Q277" s="368">
        <f>VALO_PERSO!V9</f>
        <v>55828.92</v>
      </c>
      <c r="R277" s="368">
        <f>VALO_PERSO!X9</f>
        <v>30.607960526315789</v>
      </c>
      <c r="S277" s="386">
        <f>VALO_PERSO!W9-VALO_PERSO!AZ9</f>
        <v>868</v>
      </c>
      <c r="T277" s="368">
        <f t="shared" si="334"/>
        <v>26567.709736842105</v>
      </c>
    </row>
    <row r="278" spans="1:20" s="112" customFormat="1" ht="48.75" thickBot="1" x14ac:dyDescent="0.3">
      <c r="B278" s="364">
        <f>VALO_PERSO!F10</f>
        <v>12</v>
      </c>
      <c r="C278" s="364" t="str">
        <f t="shared" si="328"/>
        <v>RALANTOARISON Osée</v>
      </c>
      <c r="D278" s="364" t="str">
        <f>VALO_PERSO!I10</f>
        <v>Développeur Full Stack</v>
      </c>
      <c r="E278" s="364" t="str">
        <f>VALO_PERSO!J10</f>
        <v>Attestation de suivi Développeur Web et Web Mobile - Oclock</v>
      </c>
      <c r="F278" s="365">
        <f>VALO_PERSO!M10</f>
        <v>45295</v>
      </c>
      <c r="G278" s="365">
        <f t="shared" si="329"/>
        <v>45295</v>
      </c>
      <c r="H278" s="365">
        <f>VALO_PERSO!N10</f>
        <v>0</v>
      </c>
      <c r="I278" s="365">
        <f t="shared" si="330"/>
        <v>45657</v>
      </c>
      <c r="J278" s="364">
        <f t="shared" si="331"/>
        <v>362</v>
      </c>
      <c r="K278" s="364">
        <f t="shared" si="332"/>
        <v>0.99178082191780825</v>
      </c>
      <c r="L278" s="364"/>
      <c r="M278" s="364">
        <f>VALO_PERSO!W10</f>
        <v>1776</v>
      </c>
      <c r="N278" s="384">
        <f t="shared" si="333"/>
        <v>8.1644144144144143E-2</v>
      </c>
      <c r="O278" s="385">
        <f t="shared" si="335"/>
        <v>3333.33</v>
      </c>
      <c r="P278" s="368">
        <f>VALO_PERSO!P10</f>
        <v>39999.96</v>
      </c>
      <c r="Q278" s="368">
        <f>VALO_PERSO!V10</f>
        <v>55396.57</v>
      </c>
      <c r="R278" s="368">
        <f>VALO_PERSO!X10</f>
        <v>31.191762387387389</v>
      </c>
      <c r="S278" s="386">
        <f>VALO_PERSO!W10-VALO_PERSO!AZ10</f>
        <v>145</v>
      </c>
      <c r="T278" s="368">
        <f t="shared" si="334"/>
        <v>4522.805546171171</v>
      </c>
    </row>
    <row r="279" spans="1:20" s="112" customFormat="1" ht="15.75" thickBot="1" x14ac:dyDescent="0.3">
      <c r="B279" s="364" t="e">
        <f>VALO_PERSO!#REF!</f>
        <v>#REF!</v>
      </c>
      <c r="C279" s="364" t="e">
        <f t="shared" si="328"/>
        <v>#REF!</v>
      </c>
      <c r="D279" s="364" t="e">
        <f>VALO_PERSO!#REF!</f>
        <v>#REF!</v>
      </c>
      <c r="E279" s="364" t="e">
        <f>VALO_PERSO!#REF!</f>
        <v>#REF!</v>
      </c>
      <c r="F279" s="365" t="e">
        <f>VALO_PERSO!#REF!</f>
        <v>#REF!</v>
      </c>
      <c r="G279" s="365" t="e">
        <f t="shared" si="329"/>
        <v>#REF!</v>
      </c>
      <c r="H279" s="365" t="e">
        <f>VALO_PERSO!#REF!</f>
        <v>#REF!</v>
      </c>
      <c r="I279" s="365" t="e">
        <f t="shared" si="330"/>
        <v>#REF!</v>
      </c>
      <c r="J279" s="364" t="e">
        <f t="shared" si="331"/>
        <v>#REF!</v>
      </c>
      <c r="K279" s="364" t="e">
        <f t="shared" si="332"/>
        <v>#REF!</v>
      </c>
      <c r="L279" s="364"/>
      <c r="M279" s="364" t="e">
        <f>VALO_PERSO!#REF!</f>
        <v>#REF!</v>
      </c>
      <c r="N279" s="384" t="e">
        <f t="shared" si="333"/>
        <v>#REF!</v>
      </c>
      <c r="O279" s="385" t="e">
        <f t="shared" si="335"/>
        <v>#REF!</v>
      </c>
      <c r="P279" s="368" t="e">
        <f>VALO_PERSO!#REF!</f>
        <v>#REF!</v>
      </c>
      <c r="Q279" s="368" t="e">
        <f>VALO_PERSO!#REF!</f>
        <v>#REF!</v>
      </c>
      <c r="R279" s="368" t="e">
        <f>VALO_PERSO!#REF!</f>
        <v>#REF!</v>
      </c>
      <c r="S279" s="386" t="e">
        <f>VALO_PERSO!#REF!-VALO_PERSO!#REF!</f>
        <v>#REF!</v>
      </c>
      <c r="T279" s="368" t="e">
        <f t="shared" si="334"/>
        <v>#REF!</v>
      </c>
    </row>
    <row r="280" spans="1:20" s="112" customFormat="1" ht="15.75" thickBot="1" x14ac:dyDescent="0.3">
      <c r="B280" s="364" t="e">
        <f>VALO_PERSO!#REF!</f>
        <v>#REF!</v>
      </c>
      <c r="C280" s="364" t="e">
        <f t="shared" si="328"/>
        <v>#REF!</v>
      </c>
      <c r="D280" s="364" t="e">
        <f>VALO_PERSO!#REF!</f>
        <v>#REF!</v>
      </c>
      <c r="E280" s="364" t="e">
        <f>VALO_PERSO!#REF!</f>
        <v>#REF!</v>
      </c>
      <c r="F280" s="365" t="e">
        <f>VALO_PERSO!#REF!</f>
        <v>#REF!</v>
      </c>
      <c r="G280" s="365" t="e">
        <f t="shared" si="329"/>
        <v>#REF!</v>
      </c>
      <c r="H280" s="365" t="e">
        <f>VALO_PERSO!#REF!</f>
        <v>#REF!</v>
      </c>
      <c r="I280" s="365" t="e">
        <f t="shared" si="330"/>
        <v>#REF!</v>
      </c>
      <c r="J280" s="364" t="e">
        <f t="shared" si="331"/>
        <v>#REF!</v>
      </c>
      <c r="K280" s="364" t="e">
        <f t="shared" si="332"/>
        <v>#REF!</v>
      </c>
      <c r="L280" s="364"/>
      <c r="M280" s="364" t="e">
        <f>VALO_PERSO!#REF!</f>
        <v>#REF!</v>
      </c>
      <c r="N280" s="384" t="e">
        <f t="shared" si="333"/>
        <v>#REF!</v>
      </c>
      <c r="O280" s="385" t="e">
        <f t="shared" si="335"/>
        <v>#REF!</v>
      </c>
      <c r="P280" s="368" t="e">
        <f>VALO_PERSO!#REF!</f>
        <v>#REF!</v>
      </c>
      <c r="Q280" s="368" t="e">
        <f>VALO_PERSO!#REF!</f>
        <v>#REF!</v>
      </c>
      <c r="R280" s="368" t="e">
        <f>VALO_PERSO!#REF!</f>
        <v>#REF!</v>
      </c>
      <c r="S280" s="386" t="e">
        <f>VALO_PERSO!#REF!-VALO_PERSO!#REF!</f>
        <v>#REF!</v>
      </c>
      <c r="T280" s="368" t="e">
        <f t="shared" si="334"/>
        <v>#REF!</v>
      </c>
    </row>
    <row r="281" spans="1:20" s="112" customFormat="1" ht="15.75" thickBot="1" x14ac:dyDescent="0.3">
      <c r="B281" s="364">
        <f>VALO_PERSO!F11</f>
        <v>24</v>
      </c>
      <c r="C281" s="364" t="str">
        <f t="shared" si="328"/>
        <v>KANDIAH Corrège</v>
      </c>
      <c r="D281" s="364" t="str">
        <f>VALO_PERSO!I11</f>
        <v>Apprenti</v>
      </c>
      <c r="E281" s="364">
        <f>VALO_PERSO!J11</f>
        <v>0</v>
      </c>
      <c r="F281" s="365">
        <f>VALO_PERSO!M11</f>
        <v>45908</v>
      </c>
      <c r="G281" s="365">
        <f t="shared" si="329"/>
        <v>45908</v>
      </c>
      <c r="H281" s="365">
        <f>VALO_PERSO!N11</f>
        <v>0</v>
      </c>
      <c r="I281" s="365">
        <f t="shared" si="330"/>
        <v>45657</v>
      </c>
      <c r="J281" s="364">
        <f t="shared" si="331"/>
        <v>-251</v>
      </c>
      <c r="K281" s="364">
        <f t="shared" si="332"/>
        <v>-0.68767123287671217</v>
      </c>
      <c r="L281" s="364"/>
      <c r="M281" s="364">
        <f>VALO_PERSO!W11</f>
        <v>546.01</v>
      </c>
      <c r="N281" s="384">
        <f t="shared" si="333"/>
        <v>0.79485723704694056</v>
      </c>
      <c r="O281" s="385">
        <f t="shared" si="335"/>
        <v>289.81833333333333</v>
      </c>
      <c r="P281" s="368">
        <f>VALO_PERSO!P11</f>
        <v>3477.82</v>
      </c>
      <c r="Q281" s="368">
        <f>VALO_PERSO!V11</f>
        <v>3810.58</v>
      </c>
      <c r="R281" s="368">
        <f>VALO_PERSO!X11</f>
        <v>6.9789564293694255</v>
      </c>
      <c r="S281" s="386">
        <f>VALO_PERSO!W11-VALO_PERSO!AZ11</f>
        <v>434</v>
      </c>
      <c r="T281" s="368">
        <f t="shared" si="334"/>
        <v>3028.8670903463308</v>
      </c>
    </row>
    <row r="282" spans="1:20" s="112" customFormat="1" ht="15.75" thickBot="1" x14ac:dyDescent="0.3">
      <c r="B282" s="387" t="s">
        <v>771</v>
      </c>
      <c r="C282" s="392"/>
      <c r="D282" s="392"/>
      <c r="E282" s="392"/>
      <c r="F282" s="393"/>
      <c r="G282" s="393"/>
      <c r="H282" s="392"/>
      <c r="I282" s="393"/>
      <c r="J282" s="392"/>
      <c r="K282" s="392"/>
      <c r="L282" s="392"/>
      <c r="M282" s="392"/>
      <c r="N282" s="394"/>
      <c r="O282" s="395"/>
      <c r="P282" s="395"/>
      <c r="Q282" s="395"/>
      <c r="R282" s="395"/>
      <c r="S282" s="396"/>
      <c r="T282" s="395"/>
    </row>
    <row r="283" spans="1:20" s="112" customFormat="1" ht="15.75" thickBot="1" x14ac:dyDescent="0.3">
      <c r="B283" s="397"/>
      <c r="C283" s="397"/>
      <c r="D283" s="397"/>
      <c r="E283" s="397"/>
      <c r="F283" s="398"/>
      <c r="G283" s="398"/>
      <c r="H283" s="397"/>
      <c r="I283" s="398"/>
      <c r="J283" s="397"/>
      <c r="K283" s="397"/>
      <c r="L283" s="397"/>
      <c r="M283" s="397"/>
      <c r="N283" s="397"/>
      <c r="O283" s="399"/>
      <c r="P283" s="399"/>
      <c r="Q283" s="399"/>
      <c r="R283" s="399"/>
      <c r="S283" s="400"/>
      <c r="T283" s="399"/>
    </row>
    <row r="284" spans="1:20" s="112" customFormat="1" ht="15.75" thickBot="1" x14ac:dyDescent="0.3">
      <c r="B284" s="397"/>
      <c r="C284" s="397"/>
      <c r="D284" s="397"/>
      <c r="E284" s="397"/>
      <c r="F284" s="398"/>
      <c r="G284" s="398"/>
      <c r="H284" s="397"/>
      <c r="I284" s="398"/>
      <c r="J284" s="397"/>
      <c r="K284" s="397"/>
      <c r="L284" s="397"/>
      <c r="M284" s="397"/>
      <c r="N284" s="397"/>
      <c r="O284" s="399"/>
      <c r="P284" s="399"/>
      <c r="Q284" s="399"/>
      <c r="R284" s="399"/>
      <c r="S284" s="400"/>
      <c r="T284" s="399"/>
    </row>
    <row r="285" spans="1:20" s="112" customFormat="1" ht="15.75" thickBot="1" x14ac:dyDescent="0.3">
      <c r="B285" s="397"/>
      <c r="C285" s="397"/>
      <c r="D285" s="397"/>
      <c r="E285" s="397"/>
      <c r="F285" s="398"/>
      <c r="G285" s="398"/>
      <c r="H285" s="397"/>
      <c r="I285" s="398"/>
      <c r="J285" s="397"/>
      <c r="K285" s="397"/>
      <c r="L285" s="397"/>
      <c r="M285" s="397"/>
      <c r="N285" s="397"/>
      <c r="O285" s="399"/>
      <c r="P285" s="399"/>
      <c r="Q285" s="399"/>
      <c r="R285" s="399"/>
      <c r="S285" s="400"/>
      <c r="T285" s="399"/>
    </row>
    <row r="286" spans="1:20" s="112" customFormat="1" ht="15.75" thickBot="1" x14ac:dyDescent="0.3">
      <c r="B286" s="397"/>
      <c r="C286" s="397"/>
      <c r="D286" s="397"/>
      <c r="E286" s="397"/>
      <c r="F286" s="398"/>
      <c r="G286" s="398"/>
      <c r="H286" s="397"/>
      <c r="I286" s="398"/>
      <c r="J286" s="397"/>
      <c r="K286" s="397"/>
      <c r="L286" s="397"/>
      <c r="M286" s="397"/>
      <c r="N286" s="397"/>
      <c r="O286" s="399"/>
      <c r="P286" s="399"/>
      <c r="Q286" s="399"/>
      <c r="R286" s="399"/>
      <c r="S286" s="400"/>
      <c r="T286" s="399"/>
    </row>
    <row r="287" spans="1:20" s="112" customFormat="1" ht="15.75" thickBot="1" x14ac:dyDescent="0.3">
      <c r="B287" s="397"/>
      <c r="C287" s="397"/>
      <c r="D287" s="397"/>
      <c r="E287" s="397"/>
      <c r="F287" s="398"/>
      <c r="G287" s="398"/>
      <c r="H287" s="397"/>
      <c r="I287" s="398"/>
      <c r="J287" s="397"/>
      <c r="K287" s="397"/>
      <c r="L287" s="397"/>
      <c r="M287" s="397"/>
      <c r="N287" s="397"/>
      <c r="O287" s="399"/>
      <c r="P287" s="399"/>
      <c r="Q287" s="399"/>
      <c r="R287" s="399"/>
      <c r="S287" s="400"/>
      <c r="T287" s="399"/>
    </row>
    <row r="288" spans="1:20" s="112" customFormat="1" ht="15.75" thickBot="1" x14ac:dyDescent="0.3">
      <c r="B288" s="397"/>
      <c r="C288" s="397"/>
      <c r="D288" s="397"/>
      <c r="E288" s="397"/>
      <c r="F288" s="398"/>
      <c r="G288" s="398"/>
      <c r="H288" s="397"/>
      <c r="I288" s="398"/>
      <c r="J288" s="397"/>
      <c r="K288" s="397"/>
      <c r="L288" s="397"/>
      <c r="M288" s="397"/>
      <c r="N288" s="397"/>
      <c r="O288" s="399"/>
      <c r="P288" s="399"/>
      <c r="Q288" s="399"/>
      <c r="R288" s="399"/>
      <c r="S288" s="400"/>
      <c r="T288" s="399"/>
    </row>
    <row r="289" spans="1:20" s="112" customFormat="1" ht="15.75" thickBot="1" x14ac:dyDescent="0.3">
      <c r="B289" s="545" t="s">
        <v>449</v>
      </c>
      <c r="C289" s="546"/>
      <c r="D289" s="546"/>
      <c r="E289" s="546"/>
      <c r="F289" s="546"/>
      <c r="G289" s="546"/>
      <c r="H289" s="546"/>
      <c r="I289" s="546"/>
      <c r="J289" s="547"/>
      <c r="K289" s="388" t="e">
        <f>SUM(K230:K288)</f>
        <v>#REF!</v>
      </c>
      <c r="L289" s="388"/>
      <c r="M289" s="388" t="e">
        <f>SUM(M230:M288)</f>
        <v>#REF!</v>
      </c>
      <c r="N289" s="388"/>
      <c r="O289" s="389" t="e">
        <f t="shared" ref="O289:T289" si="336">SUM(O230:O288)</f>
        <v>#REF!</v>
      </c>
      <c r="P289" s="389" t="e">
        <f t="shared" si="336"/>
        <v>#REF!</v>
      </c>
      <c r="Q289" s="389" t="e">
        <f t="shared" si="336"/>
        <v>#REF!</v>
      </c>
      <c r="R289" s="389" t="e">
        <f t="shared" si="336"/>
        <v>#REF!</v>
      </c>
      <c r="S289" s="390" t="e">
        <f t="shared" si="336"/>
        <v>#REF!</v>
      </c>
      <c r="T289" s="389" t="e">
        <f t="shared" si="336"/>
        <v>#REF!</v>
      </c>
    </row>
    <row r="290" spans="1:20" s="112" customFormat="1" x14ac:dyDescent="0.25">
      <c r="B290" s="351"/>
      <c r="C290" s="351"/>
      <c r="D290" s="351"/>
      <c r="E290" s="351"/>
      <c r="F290" s="351"/>
      <c r="G290" s="351"/>
      <c r="H290" s="351"/>
      <c r="I290" s="351"/>
      <c r="J290" s="351"/>
      <c r="K290" s="351"/>
      <c r="L290" s="351"/>
      <c r="M290" s="351"/>
      <c r="N290" s="351"/>
      <c r="O290" s="351"/>
      <c r="P290" s="351"/>
      <c r="Q290" s="351"/>
      <c r="R290" s="351"/>
      <c r="S290" s="351"/>
      <c r="T290" s="351"/>
    </row>
    <row r="291" spans="1:20" s="112" customFormat="1" ht="15.75" thickBot="1" x14ac:dyDescent="0.3">
      <c r="B291" s="351"/>
      <c r="C291" s="351"/>
      <c r="D291" s="351"/>
      <c r="E291" s="351"/>
      <c r="F291" s="351"/>
      <c r="G291" s="351"/>
      <c r="H291" s="351"/>
      <c r="I291" s="351"/>
      <c r="J291" s="351"/>
      <c r="K291" s="351"/>
      <c r="L291" s="351"/>
      <c r="M291" s="351"/>
      <c r="N291" s="351"/>
      <c r="O291" s="351"/>
      <c r="P291" s="351"/>
      <c r="Q291" s="351"/>
      <c r="R291" s="351"/>
      <c r="S291" s="351"/>
      <c r="T291" s="351"/>
    </row>
    <row r="292" spans="1:20" s="112" customFormat="1" ht="24.75" thickBot="1" x14ac:dyDescent="0.3">
      <c r="B292" s="383" t="s">
        <v>366</v>
      </c>
      <c r="C292" s="403" t="s">
        <v>808</v>
      </c>
      <c r="D292" s="403" t="s">
        <v>809</v>
      </c>
      <c r="E292" s="403" t="s">
        <v>810</v>
      </c>
      <c r="F292" s="403" t="s">
        <v>722</v>
      </c>
      <c r="G292" s="415"/>
      <c r="H292" s="405" t="s">
        <v>367</v>
      </c>
      <c r="I292" s="403" t="s">
        <v>368</v>
      </c>
      <c r="J292" s="403" t="s">
        <v>805</v>
      </c>
      <c r="K292" s="403" t="s">
        <v>811</v>
      </c>
      <c r="L292" s="351"/>
      <c r="M292" s="351"/>
      <c r="N292" s="351"/>
      <c r="O292" s="351" t="s">
        <v>772</v>
      </c>
      <c r="P292" s="351"/>
      <c r="Q292" s="351"/>
      <c r="R292" s="351"/>
      <c r="S292" s="351"/>
      <c r="T292" s="351"/>
    </row>
    <row r="293" spans="1:20" s="112" customFormat="1" ht="24.75" thickBot="1" x14ac:dyDescent="0.3">
      <c r="A293" s="112" t="s">
        <v>816</v>
      </c>
      <c r="B293" s="364">
        <f>B230</f>
        <v>1</v>
      </c>
      <c r="C293" s="406" t="str">
        <f>C230</f>
        <v>PY Elodie</v>
      </c>
      <c r="D293" s="407">
        <f>R230</f>
        <v>49.12916666666667</v>
      </c>
      <c r="E293" s="408">
        <f>S230</f>
        <v>1131</v>
      </c>
      <c r="F293" s="407">
        <f>T230</f>
        <v>55565.087500000001</v>
      </c>
      <c r="G293" s="415"/>
      <c r="H293" s="406" t="str">
        <f t="shared" ref="H293" si="337">C43</f>
        <v>PY</v>
      </c>
      <c r="I293" s="409" t="str">
        <f t="shared" ref="I293" si="338">D43</f>
        <v>Elodie</v>
      </c>
      <c r="J293" s="409" t="str">
        <f>E230</f>
        <v>Expert en stratégie digitale - IESA Multimedia - ECAD Consultants</v>
      </c>
      <c r="K293" s="409" t="str">
        <f>D230</f>
        <v>UX DESIGNER</v>
      </c>
      <c r="L293" s="351"/>
      <c r="M293" s="351"/>
      <c r="N293" s="351"/>
      <c r="O293" s="351" t="s">
        <v>773</v>
      </c>
      <c r="P293" s="351"/>
      <c r="Q293" s="351"/>
      <c r="R293" s="351"/>
      <c r="S293" s="351"/>
      <c r="T293" s="351"/>
    </row>
    <row r="294" spans="1:20" s="112" customFormat="1" ht="24.75" thickBot="1" x14ac:dyDescent="0.3">
      <c r="A294" s="112" t="s">
        <v>816</v>
      </c>
      <c r="B294" s="364">
        <f>B232</f>
        <v>2</v>
      </c>
      <c r="C294" s="406" t="e">
        <f>C232</f>
        <v>#REF!</v>
      </c>
      <c r="D294" s="407">
        <f>R232</f>
        <v>57.560729166666668</v>
      </c>
      <c r="E294" s="408">
        <f>S232</f>
        <v>693</v>
      </c>
      <c r="F294" s="407">
        <f>T232</f>
        <v>39889.585312499999</v>
      </c>
      <c r="G294" s="415"/>
      <c r="H294" s="406" t="str">
        <f t="shared" ref="H294" si="339">C45</f>
        <v>GASPERIN</v>
      </c>
      <c r="I294" s="409" t="str">
        <f t="shared" ref="I294" si="340">D45</f>
        <v>Anthony</v>
      </c>
      <c r="J294" s="409" t="str">
        <f>E232</f>
        <v xml:space="preserve">Docteur en Sciences mention informatique - Université de Genève </v>
      </c>
      <c r="K294" s="409" t="str">
        <f>D232</f>
        <v>Lead Developer</v>
      </c>
      <c r="L294" s="351"/>
      <c r="M294" s="351"/>
      <c r="N294" s="351"/>
      <c r="O294" s="351" t="s">
        <v>773</v>
      </c>
      <c r="P294" s="351"/>
      <c r="Q294" s="351"/>
      <c r="R294" s="351"/>
      <c r="S294" s="351"/>
      <c r="T294" s="351"/>
    </row>
    <row r="295" spans="1:20" s="112" customFormat="1" ht="15.75" thickBot="1" x14ac:dyDescent="0.3">
      <c r="A295" s="112" t="s">
        <v>816</v>
      </c>
      <c r="B295" s="364" t="e">
        <f>B234</f>
        <v>#REF!</v>
      </c>
      <c r="C295" s="406" t="str">
        <f>C234</f>
        <v>GASPERIN Anthony</v>
      </c>
      <c r="D295" s="407" t="e">
        <f>R234</f>
        <v>#REF!</v>
      </c>
      <c r="E295" s="408" t="e">
        <f>S234</f>
        <v>#REF!</v>
      </c>
      <c r="F295" s="407" t="e">
        <f>T234</f>
        <v>#REF!</v>
      </c>
      <c r="G295" s="415"/>
      <c r="H295" s="406" t="e">
        <f t="shared" ref="H295" si="341">C47</f>
        <v>#REF!</v>
      </c>
      <c r="I295" s="409" t="e">
        <f t="shared" ref="I295" si="342">D47</f>
        <v>#REF!</v>
      </c>
      <c r="J295" s="409" t="e">
        <f>E234</f>
        <v>#REF!</v>
      </c>
      <c r="K295" s="409" t="e">
        <f>D234</f>
        <v>#REF!</v>
      </c>
      <c r="L295" s="351"/>
      <c r="M295" s="351"/>
      <c r="N295" s="351"/>
      <c r="O295" s="351" t="s">
        <v>773</v>
      </c>
      <c r="P295" s="351"/>
      <c r="Q295" s="351"/>
      <c r="R295" s="351"/>
      <c r="S295" s="351"/>
      <c r="T295" s="351"/>
    </row>
    <row r="296" spans="1:20" s="112" customFormat="1" ht="15.75" thickBot="1" x14ac:dyDescent="0.3">
      <c r="A296" s="112" t="s">
        <v>816</v>
      </c>
      <c r="B296" s="364" t="e">
        <f>B236</f>
        <v>#REF!</v>
      </c>
      <c r="C296" s="406" t="str">
        <f>C236</f>
        <v>LA CORTE Matias</v>
      </c>
      <c r="D296" s="407" t="e">
        <f>R236</f>
        <v>#REF!</v>
      </c>
      <c r="E296" s="408" t="e">
        <f>S236</f>
        <v>#REF!</v>
      </c>
      <c r="F296" s="407" t="e">
        <f>T236</f>
        <v>#REF!</v>
      </c>
      <c r="G296" s="415"/>
      <c r="H296" s="406" t="e">
        <f t="shared" ref="H296" si="343">C49</f>
        <v>#REF!</v>
      </c>
      <c r="I296" s="409" t="e">
        <f t="shared" ref="I296" si="344">D49</f>
        <v>#REF!</v>
      </c>
      <c r="J296" s="409" t="e">
        <f>E236</f>
        <v>#REF!</v>
      </c>
      <c r="K296" s="409" t="e">
        <f>D236</f>
        <v>#REF!</v>
      </c>
      <c r="L296" s="351"/>
      <c r="M296" s="351"/>
      <c r="N296" s="351"/>
      <c r="O296" s="351" t="s">
        <v>773</v>
      </c>
      <c r="P296" s="351"/>
      <c r="Q296" s="351"/>
      <c r="R296" s="351"/>
      <c r="S296" s="351"/>
      <c r="T296" s="351"/>
    </row>
    <row r="297" spans="1:20" s="112" customFormat="1" ht="24.75" thickBot="1" x14ac:dyDescent="0.3">
      <c r="A297" s="112" t="s">
        <v>816</v>
      </c>
      <c r="B297" s="364">
        <f>B274</f>
        <v>2</v>
      </c>
      <c r="C297" s="406" t="str">
        <f>C274</f>
        <v>GASPERIN Anthony</v>
      </c>
      <c r="D297" s="407">
        <f t="shared" ref="D297:F298" si="345">R274</f>
        <v>57.560729166666668</v>
      </c>
      <c r="E297" s="408">
        <f t="shared" si="345"/>
        <v>693</v>
      </c>
      <c r="F297" s="407">
        <f t="shared" si="345"/>
        <v>39889.585312499999</v>
      </c>
      <c r="G297" s="415"/>
      <c r="H297" s="406" t="str">
        <f t="shared" ref="H297" si="346">C87</f>
        <v>GASPERIN</v>
      </c>
      <c r="I297" s="409" t="str">
        <f t="shared" ref="I297" si="347">D87</f>
        <v>Anthony</v>
      </c>
      <c r="J297" s="409" t="str">
        <f>E274</f>
        <v xml:space="preserve">Docteur en Sciences mention informatique - Université de Genève </v>
      </c>
      <c r="K297" s="409" t="str">
        <f>D274</f>
        <v>Lead Developer</v>
      </c>
      <c r="L297" s="351"/>
      <c r="M297" s="351"/>
      <c r="N297" s="351"/>
      <c r="O297" s="351" t="s">
        <v>773</v>
      </c>
      <c r="P297" s="351"/>
      <c r="Q297" s="351"/>
      <c r="R297" s="351"/>
      <c r="S297" s="351"/>
      <c r="T297" s="351"/>
    </row>
    <row r="298" spans="1:20" s="112" customFormat="1" ht="24.75" thickBot="1" x14ac:dyDescent="0.3">
      <c r="A298" s="112" t="s">
        <v>816</v>
      </c>
      <c r="B298" s="364">
        <f>B275</f>
        <v>5</v>
      </c>
      <c r="C298" s="406" t="str">
        <f>C275</f>
        <v>LA CORTE Matias</v>
      </c>
      <c r="D298" s="407">
        <f t="shared" si="345"/>
        <v>11.787150832620664</v>
      </c>
      <c r="E298" s="408">
        <f t="shared" si="345"/>
        <v>221</v>
      </c>
      <c r="F298" s="407">
        <f t="shared" si="345"/>
        <v>2604.9603340091667</v>
      </c>
      <c r="G298" s="415"/>
      <c r="H298" s="406" t="str">
        <f t="shared" ref="H298" si="348">C88</f>
        <v>LA CORTE</v>
      </c>
      <c r="I298" s="409" t="str">
        <f t="shared" ref="I298" si="349">D88</f>
        <v>Matias</v>
      </c>
      <c r="J298" s="409" t="str">
        <f>E275</f>
        <v>Baccalauréat Général - Acadmie de Grenoble</v>
      </c>
      <c r="K298" s="409" t="str">
        <f>D275</f>
        <v>Apprenti</v>
      </c>
      <c r="L298" s="351"/>
      <c r="M298" s="351"/>
      <c r="N298" s="351"/>
      <c r="O298" s="351" t="s">
        <v>773</v>
      </c>
      <c r="P298" s="351"/>
      <c r="Q298" s="351"/>
      <c r="R298" s="351"/>
      <c r="S298" s="351"/>
      <c r="T298" s="351"/>
    </row>
    <row r="299" spans="1:20" s="112" customFormat="1" ht="24.75" thickBot="1" x14ac:dyDescent="0.3">
      <c r="A299" s="112" t="s">
        <v>816</v>
      </c>
      <c r="B299" s="364">
        <f>B275</f>
        <v>5</v>
      </c>
      <c r="C299" s="406" t="str">
        <f>C275</f>
        <v>LA CORTE Matias</v>
      </c>
      <c r="D299" s="407">
        <f t="shared" ref="D299:F300" si="350">R275</f>
        <v>11.787150832620664</v>
      </c>
      <c r="E299" s="408">
        <f t="shared" si="350"/>
        <v>221</v>
      </c>
      <c r="F299" s="407">
        <f t="shared" si="350"/>
        <v>2604.9603340091667</v>
      </c>
      <c r="G299" s="415"/>
      <c r="H299" s="406" t="str">
        <f t="shared" ref="H299" si="351">C88</f>
        <v>LA CORTE</v>
      </c>
      <c r="I299" s="409" t="str">
        <f t="shared" ref="I299" si="352">D88</f>
        <v>Matias</v>
      </c>
      <c r="J299" s="409" t="str">
        <f>E275</f>
        <v>Baccalauréat Général - Acadmie de Grenoble</v>
      </c>
      <c r="K299" s="409" t="str">
        <f>D275</f>
        <v>Apprenti</v>
      </c>
      <c r="L299" s="351"/>
      <c r="M299" s="351"/>
      <c r="N299" s="351"/>
      <c r="O299" s="351" t="s">
        <v>773</v>
      </c>
      <c r="P299" s="351"/>
      <c r="Q299" s="351"/>
      <c r="R299" s="351"/>
      <c r="S299" s="351"/>
      <c r="T299" s="351"/>
    </row>
    <row r="300" spans="1:20" s="112" customFormat="1" ht="24.75" thickBot="1" x14ac:dyDescent="0.3">
      <c r="A300" s="112" t="s">
        <v>816</v>
      </c>
      <c r="B300" s="364">
        <f>B276</f>
        <v>9</v>
      </c>
      <c r="C300" s="406" t="str">
        <f>C276</f>
        <v>WIRTH Romain</v>
      </c>
      <c r="D300" s="407">
        <f t="shared" si="350"/>
        <v>29.251643192488263</v>
      </c>
      <c r="E300" s="408">
        <f t="shared" si="350"/>
        <v>853</v>
      </c>
      <c r="F300" s="407">
        <f t="shared" si="350"/>
        <v>24951.65164319249</v>
      </c>
      <c r="G300" s="415"/>
      <c r="H300" s="406" t="str">
        <f t="shared" ref="H300" si="353">C89</f>
        <v>WIRTH</v>
      </c>
      <c r="I300" s="409" t="str">
        <f t="shared" ref="I300" si="354">D89</f>
        <v>Romain</v>
      </c>
      <c r="J300" s="409" t="str">
        <f>E276</f>
        <v xml:space="preserve">Bachelor of science - Ecole Hôtelière de Lausanne </v>
      </c>
      <c r="K300" s="409" t="str">
        <f>D276</f>
        <v>Développeur Full Stack</v>
      </c>
      <c r="L300" s="351"/>
      <c r="M300" s="351"/>
      <c r="N300" s="351"/>
      <c r="O300" s="351" t="s">
        <v>773</v>
      </c>
      <c r="P300" s="351"/>
      <c r="Q300" s="351"/>
      <c r="R300" s="351"/>
      <c r="S300" s="351"/>
      <c r="T300" s="351"/>
    </row>
    <row r="301" spans="1:20" s="112" customFormat="1" ht="24.75" thickBot="1" x14ac:dyDescent="0.3">
      <c r="A301" s="112" t="s">
        <v>816</v>
      </c>
      <c r="B301" s="364">
        <f>B274</f>
        <v>2</v>
      </c>
      <c r="C301" s="406" t="str">
        <f>C274</f>
        <v>GASPERIN Anthony</v>
      </c>
      <c r="D301" s="407">
        <f t="shared" ref="D301:F302" si="355">R274</f>
        <v>57.560729166666668</v>
      </c>
      <c r="E301" s="408">
        <f t="shared" si="355"/>
        <v>693</v>
      </c>
      <c r="F301" s="407">
        <f t="shared" si="355"/>
        <v>39889.585312499999</v>
      </c>
      <c r="G301" s="415"/>
      <c r="H301" s="406" t="str">
        <f t="shared" ref="H301" si="356">C87</f>
        <v>GASPERIN</v>
      </c>
      <c r="I301" s="409" t="str">
        <f t="shared" ref="I301" si="357">D87</f>
        <v>Anthony</v>
      </c>
      <c r="J301" s="409" t="str">
        <f>E274</f>
        <v xml:space="preserve">Docteur en Sciences mention informatique - Université de Genève </v>
      </c>
      <c r="K301" s="409" t="str">
        <f>D274</f>
        <v>Lead Developer</v>
      </c>
      <c r="L301" s="351"/>
      <c r="M301" s="351"/>
      <c r="N301" s="351"/>
      <c r="O301" s="351" t="s">
        <v>773</v>
      </c>
      <c r="P301" s="351"/>
      <c r="Q301" s="351"/>
      <c r="R301" s="351"/>
      <c r="S301" s="351"/>
      <c r="T301" s="351"/>
    </row>
    <row r="302" spans="1:20" s="112" customFormat="1" ht="24.75" thickBot="1" x14ac:dyDescent="0.3">
      <c r="A302" s="112" t="s">
        <v>816</v>
      </c>
      <c r="B302" s="364">
        <f>B275</f>
        <v>5</v>
      </c>
      <c r="C302" s="406" t="str">
        <f>C275</f>
        <v>LA CORTE Matias</v>
      </c>
      <c r="D302" s="407">
        <f t="shared" si="355"/>
        <v>11.787150832620664</v>
      </c>
      <c r="E302" s="408">
        <f t="shared" si="355"/>
        <v>221</v>
      </c>
      <c r="F302" s="407">
        <f t="shared" si="355"/>
        <v>2604.9603340091667</v>
      </c>
      <c r="G302" s="415"/>
      <c r="H302" s="406" t="str">
        <f t="shared" ref="H302" si="358">C88</f>
        <v>LA CORTE</v>
      </c>
      <c r="I302" s="409" t="str">
        <f t="shared" ref="I302" si="359">D88</f>
        <v>Matias</v>
      </c>
      <c r="J302" s="409" t="str">
        <f>E275</f>
        <v>Baccalauréat Général - Acadmie de Grenoble</v>
      </c>
      <c r="K302" s="409" t="str">
        <f>D275</f>
        <v>Apprenti</v>
      </c>
      <c r="L302" s="351"/>
      <c r="M302" s="351"/>
      <c r="N302" s="351"/>
      <c r="O302" s="351" t="s">
        <v>773</v>
      </c>
      <c r="P302" s="351"/>
      <c r="Q302" s="351"/>
      <c r="R302" s="351"/>
      <c r="S302" s="351"/>
      <c r="T302" s="351"/>
    </row>
    <row r="303" spans="1:20" s="112" customFormat="1" ht="24.75" thickBot="1" x14ac:dyDescent="0.3">
      <c r="A303" s="112" t="s">
        <v>816</v>
      </c>
      <c r="B303" s="364">
        <f>B275</f>
        <v>5</v>
      </c>
      <c r="C303" s="406" t="str">
        <f>C275</f>
        <v>LA CORTE Matias</v>
      </c>
      <c r="D303" s="407">
        <f t="shared" ref="D303:F304" si="360">R275</f>
        <v>11.787150832620664</v>
      </c>
      <c r="E303" s="408">
        <f t="shared" si="360"/>
        <v>221</v>
      </c>
      <c r="F303" s="407">
        <f t="shared" si="360"/>
        <v>2604.9603340091667</v>
      </c>
      <c r="G303" s="415"/>
      <c r="H303" s="406" t="str">
        <f t="shared" ref="H303" si="361">C88</f>
        <v>LA CORTE</v>
      </c>
      <c r="I303" s="409" t="str">
        <f t="shared" ref="I303" si="362">D88</f>
        <v>Matias</v>
      </c>
      <c r="J303" s="409" t="str">
        <f>E275</f>
        <v>Baccalauréat Général - Acadmie de Grenoble</v>
      </c>
      <c r="K303" s="409" t="str">
        <f>D275</f>
        <v>Apprenti</v>
      </c>
      <c r="L303" s="351"/>
      <c r="M303" s="351"/>
      <c r="N303" s="351"/>
      <c r="O303" s="351" t="s">
        <v>773</v>
      </c>
      <c r="P303" s="351"/>
      <c r="Q303" s="351"/>
      <c r="R303" s="351"/>
      <c r="S303" s="351"/>
      <c r="T303" s="351"/>
    </row>
    <row r="304" spans="1:20" s="112" customFormat="1" ht="24.75" thickBot="1" x14ac:dyDescent="0.3">
      <c r="A304" s="112" t="s">
        <v>816</v>
      </c>
      <c r="B304" s="364">
        <f>B276</f>
        <v>9</v>
      </c>
      <c r="C304" s="406" t="str">
        <f>C276</f>
        <v>WIRTH Romain</v>
      </c>
      <c r="D304" s="407">
        <f t="shared" si="360"/>
        <v>29.251643192488263</v>
      </c>
      <c r="E304" s="408">
        <f t="shared" si="360"/>
        <v>853</v>
      </c>
      <c r="F304" s="407">
        <f t="shared" si="360"/>
        <v>24951.65164319249</v>
      </c>
      <c r="G304" s="415"/>
      <c r="H304" s="406" t="str">
        <f t="shared" ref="H304" si="363">C89</f>
        <v>WIRTH</v>
      </c>
      <c r="I304" s="409" t="str">
        <f t="shared" ref="I304" si="364">D89</f>
        <v>Romain</v>
      </c>
      <c r="J304" s="409" t="str">
        <f>E276</f>
        <v xml:space="preserve">Bachelor of science - Ecole Hôtelière de Lausanne </v>
      </c>
      <c r="K304" s="409" t="str">
        <f>D276</f>
        <v>Développeur Full Stack</v>
      </c>
      <c r="L304" s="351"/>
      <c r="M304" s="351"/>
      <c r="N304" s="351"/>
      <c r="O304" s="351" t="s">
        <v>773</v>
      </c>
      <c r="P304" s="351"/>
      <c r="Q304" s="351"/>
      <c r="R304" s="351"/>
      <c r="S304" s="351"/>
      <c r="T304" s="351"/>
    </row>
    <row r="305" spans="1:20" s="112" customFormat="1" ht="24.75" thickBot="1" x14ac:dyDescent="0.3">
      <c r="A305" s="112" t="s">
        <v>816</v>
      </c>
      <c r="B305" s="364">
        <f>B274</f>
        <v>2</v>
      </c>
      <c r="C305" s="406" t="str">
        <f>C274</f>
        <v>GASPERIN Anthony</v>
      </c>
      <c r="D305" s="407">
        <f t="shared" ref="D305:F306" si="365">R274</f>
        <v>57.560729166666668</v>
      </c>
      <c r="E305" s="408">
        <f t="shared" si="365"/>
        <v>693</v>
      </c>
      <c r="F305" s="407">
        <f t="shared" si="365"/>
        <v>39889.585312499999</v>
      </c>
      <c r="G305" s="415"/>
      <c r="H305" s="406" t="str">
        <f t="shared" ref="H305" si="366">C87</f>
        <v>GASPERIN</v>
      </c>
      <c r="I305" s="409" t="str">
        <f t="shared" ref="I305" si="367">D87</f>
        <v>Anthony</v>
      </c>
      <c r="J305" s="409" t="str">
        <f>E274</f>
        <v xml:space="preserve">Docteur en Sciences mention informatique - Université de Genève </v>
      </c>
      <c r="K305" s="409" t="str">
        <f>D274</f>
        <v>Lead Developer</v>
      </c>
      <c r="L305" s="351"/>
      <c r="M305" s="351"/>
      <c r="N305" s="351"/>
      <c r="O305" s="351" t="s">
        <v>773</v>
      </c>
      <c r="P305" s="351"/>
      <c r="Q305" s="351"/>
      <c r="R305" s="351"/>
      <c r="S305" s="351"/>
      <c r="T305" s="351"/>
    </row>
    <row r="306" spans="1:20" s="112" customFormat="1" ht="24.75" thickBot="1" x14ac:dyDescent="0.3">
      <c r="A306" s="112" t="s">
        <v>816</v>
      </c>
      <c r="B306" s="364">
        <f>B275</f>
        <v>5</v>
      </c>
      <c r="C306" s="406" t="str">
        <f>C275</f>
        <v>LA CORTE Matias</v>
      </c>
      <c r="D306" s="407">
        <f t="shared" si="365"/>
        <v>11.787150832620664</v>
      </c>
      <c r="E306" s="408">
        <f t="shared" si="365"/>
        <v>221</v>
      </c>
      <c r="F306" s="407">
        <f t="shared" si="365"/>
        <v>2604.9603340091667</v>
      </c>
      <c r="G306" s="415"/>
      <c r="H306" s="406" t="str">
        <f t="shared" ref="H306" si="368">C88</f>
        <v>LA CORTE</v>
      </c>
      <c r="I306" s="409" t="str">
        <f t="shared" ref="I306" si="369">D88</f>
        <v>Matias</v>
      </c>
      <c r="J306" s="409" t="str">
        <f>E275</f>
        <v>Baccalauréat Général - Acadmie de Grenoble</v>
      </c>
      <c r="K306" s="409" t="str">
        <f>D275</f>
        <v>Apprenti</v>
      </c>
      <c r="L306" s="351"/>
      <c r="M306" s="351"/>
      <c r="N306" s="351"/>
      <c r="O306" s="351" t="s">
        <v>773</v>
      </c>
      <c r="P306" s="351"/>
      <c r="Q306" s="351"/>
      <c r="R306" s="351"/>
      <c r="S306" s="351"/>
      <c r="T306" s="351"/>
    </row>
    <row r="307" spans="1:20" s="112" customFormat="1" ht="24.75" thickBot="1" x14ac:dyDescent="0.3">
      <c r="A307" s="112" t="s">
        <v>816</v>
      </c>
      <c r="B307" s="364">
        <f>B275</f>
        <v>5</v>
      </c>
      <c r="C307" s="406" t="str">
        <f>C275</f>
        <v>LA CORTE Matias</v>
      </c>
      <c r="D307" s="407">
        <f t="shared" ref="D307:F308" si="370">R275</f>
        <v>11.787150832620664</v>
      </c>
      <c r="E307" s="408">
        <f t="shared" si="370"/>
        <v>221</v>
      </c>
      <c r="F307" s="407">
        <f t="shared" si="370"/>
        <v>2604.9603340091667</v>
      </c>
      <c r="G307" s="415"/>
      <c r="H307" s="406" t="str">
        <f t="shared" ref="H307" si="371">C88</f>
        <v>LA CORTE</v>
      </c>
      <c r="I307" s="409" t="str">
        <f t="shared" ref="I307" si="372">D88</f>
        <v>Matias</v>
      </c>
      <c r="J307" s="409" t="str">
        <f>E275</f>
        <v>Baccalauréat Général - Acadmie de Grenoble</v>
      </c>
      <c r="K307" s="409" t="str">
        <f>D275</f>
        <v>Apprenti</v>
      </c>
      <c r="L307" s="351"/>
      <c r="M307" s="351"/>
      <c r="N307" s="351"/>
      <c r="O307" s="351" t="s">
        <v>773</v>
      </c>
      <c r="P307" s="351"/>
      <c r="Q307" s="351"/>
      <c r="R307" s="351"/>
      <c r="S307" s="351"/>
      <c r="T307" s="351"/>
    </row>
    <row r="308" spans="1:20" s="112" customFormat="1" ht="24.75" thickBot="1" x14ac:dyDescent="0.3">
      <c r="A308" s="112" t="s">
        <v>816</v>
      </c>
      <c r="B308" s="364">
        <f>B276</f>
        <v>9</v>
      </c>
      <c r="C308" s="406" t="str">
        <f>C276</f>
        <v>WIRTH Romain</v>
      </c>
      <c r="D308" s="407">
        <f t="shared" si="370"/>
        <v>29.251643192488263</v>
      </c>
      <c r="E308" s="408">
        <f t="shared" si="370"/>
        <v>853</v>
      </c>
      <c r="F308" s="407">
        <f t="shared" si="370"/>
        <v>24951.65164319249</v>
      </c>
      <c r="G308" s="415"/>
      <c r="H308" s="406" t="str">
        <f t="shared" ref="H308" si="373">C89</f>
        <v>WIRTH</v>
      </c>
      <c r="I308" s="409" t="str">
        <f t="shared" ref="I308" si="374">D89</f>
        <v>Romain</v>
      </c>
      <c r="J308" s="409" t="str">
        <f>E276</f>
        <v xml:space="preserve">Bachelor of science - Ecole Hôtelière de Lausanne </v>
      </c>
      <c r="K308" s="409" t="str">
        <f>D276</f>
        <v>Développeur Full Stack</v>
      </c>
      <c r="L308" s="351"/>
      <c r="M308" s="351"/>
      <c r="N308" s="351"/>
      <c r="O308" s="351" t="s">
        <v>773</v>
      </c>
      <c r="P308" s="351"/>
      <c r="Q308" s="351"/>
      <c r="R308" s="351"/>
      <c r="S308" s="351"/>
      <c r="T308" s="351"/>
    </row>
    <row r="309" spans="1:20" s="112" customFormat="1" ht="24.75" thickBot="1" x14ac:dyDescent="0.3">
      <c r="A309" s="112" t="s">
        <v>816</v>
      </c>
      <c r="B309" s="364">
        <f>B274</f>
        <v>2</v>
      </c>
      <c r="C309" s="406" t="str">
        <f>C274</f>
        <v>GASPERIN Anthony</v>
      </c>
      <c r="D309" s="407">
        <f t="shared" ref="D309:F310" si="375">R274</f>
        <v>57.560729166666668</v>
      </c>
      <c r="E309" s="408">
        <f t="shared" si="375"/>
        <v>693</v>
      </c>
      <c r="F309" s="407">
        <f t="shared" si="375"/>
        <v>39889.585312499999</v>
      </c>
      <c r="G309" s="415"/>
      <c r="H309" s="406" t="str">
        <f t="shared" ref="H309" si="376">C87</f>
        <v>GASPERIN</v>
      </c>
      <c r="I309" s="409" t="str">
        <f t="shared" ref="I309" si="377">D87</f>
        <v>Anthony</v>
      </c>
      <c r="J309" s="409" t="str">
        <f>E274</f>
        <v xml:space="preserve">Docteur en Sciences mention informatique - Université de Genève </v>
      </c>
      <c r="K309" s="409" t="str">
        <f>D274</f>
        <v>Lead Developer</v>
      </c>
      <c r="L309" s="351"/>
      <c r="M309" s="351"/>
      <c r="N309" s="351"/>
      <c r="O309" s="351" t="s">
        <v>773</v>
      </c>
      <c r="P309" s="351"/>
      <c r="Q309" s="351"/>
      <c r="R309" s="351"/>
      <c r="S309" s="351"/>
      <c r="T309" s="351"/>
    </row>
    <row r="310" spans="1:20" s="112" customFormat="1" ht="24.75" thickBot="1" x14ac:dyDescent="0.3">
      <c r="A310" s="112" t="s">
        <v>816</v>
      </c>
      <c r="B310" s="364">
        <f>B275</f>
        <v>5</v>
      </c>
      <c r="C310" s="406" t="str">
        <f>C275</f>
        <v>LA CORTE Matias</v>
      </c>
      <c r="D310" s="407">
        <f t="shared" si="375"/>
        <v>11.787150832620664</v>
      </c>
      <c r="E310" s="408">
        <f t="shared" si="375"/>
        <v>221</v>
      </c>
      <c r="F310" s="407">
        <f t="shared" si="375"/>
        <v>2604.9603340091667</v>
      </c>
      <c r="G310" s="415"/>
      <c r="H310" s="406" t="str">
        <f t="shared" ref="H310" si="378">C88</f>
        <v>LA CORTE</v>
      </c>
      <c r="I310" s="409" t="str">
        <f t="shared" ref="I310" si="379">D88</f>
        <v>Matias</v>
      </c>
      <c r="J310" s="409" t="str">
        <f>E275</f>
        <v>Baccalauréat Général - Acadmie de Grenoble</v>
      </c>
      <c r="K310" s="409" t="str">
        <f>D275</f>
        <v>Apprenti</v>
      </c>
      <c r="L310" s="351"/>
      <c r="M310" s="351"/>
      <c r="N310" s="351"/>
      <c r="O310" s="351" t="s">
        <v>773</v>
      </c>
      <c r="P310" s="351"/>
      <c r="Q310" s="351"/>
      <c r="R310" s="351"/>
      <c r="S310" s="351"/>
      <c r="T310" s="351"/>
    </row>
    <row r="311" spans="1:20" s="112" customFormat="1" ht="24.75" thickBot="1" x14ac:dyDescent="0.3">
      <c r="A311" s="112" t="s">
        <v>816</v>
      </c>
      <c r="B311" s="364">
        <f>B275</f>
        <v>5</v>
      </c>
      <c r="C311" s="406" t="str">
        <f>C275</f>
        <v>LA CORTE Matias</v>
      </c>
      <c r="D311" s="407">
        <f t="shared" ref="D311:F312" si="380">R275</f>
        <v>11.787150832620664</v>
      </c>
      <c r="E311" s="408">
        <f t="shared" si="380"/>
        <v>221</v>
      </c>
      <c r="F311" s="407">
        <f t="shared" si="380"/>
        <v>2604.9603340091667</v>
      </c>
      <c r="G311" s="415"/>
      <c r="H311" s="406" t="str">
        <f t="shared" ref="H311" si="381">C88</f>
        <v>LA CORTE</v>
      </c>
      <c r="I311" s="409" t="str">
        <f t="shared" ref="I311" si="382">D88</f>
        <v>Matias</v>
      </c>
      <c r="J311" s="409" t="str">
        <f>E275</f>
        <v>Baccalauréat Général - Acadmie de Grenoble</v>
      </c>
      <c r="K311" s="409" t="str">
        <f>D275</f>
        <v>Apprenti</v>
      </c>
      <c r="L311" s="351"/>
      <c r="M311" s="351"/>
      <c r="N311" s="351"/>
      <c r="O311" s="351" t="s">
        <v>773</v>
      </c>
      <c r="P311" s="351"/>
      <c r="Q311" s="351"/>
      <c r="R311" s="351"/>
      <c r="S311" s="351"/>
      <c r="T311" s="351"/>
    </row>
    <row r="312" spans="1:20" s="112" customFormat="1" ht="24.75" thickBot="1" x14ac:dyDescent="0.3">
      <c r="A312" s="112" t="s">
        <v>816</v>
      </c>
      <c r="B312" s="364">
        <f>B276</f>
        <v>9</v>
      </c>
      <c r="C312" s="406" t="str">
        <f>C276</f>
        <v>WIRTH Romain</v>
      </c>
      <c r="D312" s="407">
        <f t="shared" si="380"/>
        <v>29.251643192488263</v>
      </c>
      <c r="E312" s="408">
        <f t="shared" si="380"/>
        <v>853</v>
      </c>
      <c r="F312" s="407">
        <f t="shared" si="380"/>
        <v>24951.65164319249</v>
      </c>
      <c r="G312" s="415"/>
      <c r="H312" s="406" t="str">
        <f t="shared" ref="H312" si="383">C89</f>
        <v>WIRTH</v>
      </c>
      <c r="I312" s="409" t="str">
        <f t="shared" ref="I312" si="384">D89</f>
        <v>Romain</v>
      </c>
      <c r="J312" s="409" t="str">
        <f>E276</f>
        <v xml:space="preserve">Bachelor of science - Ecole Hôtelière de Lausanne </v>
      </c>
      <c r="K312" s="409" t="str">
        <f>D276</f>
        <v>Développeur Full Stack</v>
      </c>
      <c r="L312" s="351"/>
      <c r="M312" s="351"/>
      <c r="N312" s="351"/>
      <c r="O312" s="351" t="s">
        <v>773</v>
      </c>
      <c r="P312" s="351"/>
      <c r="Q312" s="351"/>
      <c r="R312" s="351"/>
      <c r="S312" s="351"/>
      <c r="T312" s="351"/>
    </row>
    <row r="313" spans="1:20" s="112" customFormat="1" ht="24.75" thickBot="1" x14ac:dyDescent="0.3">
      <c r="A313" s="112" t="s">
        <v>816</v>
      </c>
      <c r="B313" s="364">
        <f>B274</f>
        <v>2</v>
      </c>
      <c r="C313" s="406" t="str">
        <f>C274</f>
        <v>GASPERIN Anthony</v>
      </c>
      <c r="D313" s="407">
        <f t="shared" ref="D313:F314" si="385">R274</f>
        <v>57.560729166666668</v>
      </c>
      <c r="E313" s="408">
        <f t="shared" si="385"/>
        <v>693</v>
      </c>
      <c r="F313" s="407">
        <f t="shared" si="385"/>
        <v>39889.585312499999</v>
      </c>
      <c r="G313" s="415"/>
      <c r="H313" s="406" t="str">
        <f t="shared" ref="H313" si="386">C87</f>
        <v>GASPERIN</v>
      </c>
      <c r="I313" s="409" t="str">
        <f t="shared" ref="I313" si="387">D87</f>
        <v>Anthony</v>
      </c>
      <c r="J313" s="409" t="str">
        <f>E274</f>
        <v xml:space="preserve">Docteur en Sciences mention informatique - Université de Genève </v>
      </c>
      <c r="K313" s="409" t="str">
        <f>D274</f>
        <v>Lead Developer</v>
      </c>
      <c r="L313" s="351"/>
      <c r="M313" s="351"/>
      <c r="N313" s="351"/>
      <c r="O313" s="351" t="s">
        <v>773</v>
      </c>
      <c r="P313" s="351"/>
      <c r="Q313" s="351"/>
      <c r="R313" s="351"/>
      <c r="S313" s="351"/>
      <c r="T313" s="351"/>
    </row>
    <row r="314" spans="1:20" s="112" customFormat="1" ht="24.75" thickBot="1" x14ac:dyDescent="0.3">
      <c r="A314" s="112" t="s">
        <v>816</v>
      </c>
      <c r="B314" s="364">
        <f>B275</f>
        <v>5</v>
      </c>
      <c r="C314" s="406" t="str">
        <f>C275</f>
        <v>LA CORTE Matias</v>
      </c>
      <c r="D314" s="407">
        <f t="shared" si="385"/>
        <v>11.787150832620664</v>
      </c>
      <c r="E314" s="408">
        <f t="shared" si="385"/>
        <v>221</v>
      </c>
      <c r="F314" s="407">
        <f t="shared" si="385"/>
        <v>2604.9603340091667</v>
      </c>
      <c r="G314" s="415"/>
      <c r="H314" s="406" t="str">
        <f t="shared" ref="H314" si="388">C88</f>
        <v>LA CORTE</v>
      </c>
      <c r="I314" s="409" t="str">
        <f t="shared" ref="I314" si="389">D88</f>
        <v>Matias</v>
      </c>
      <c r="J314" s="409" t="str">
        <f>E275</f>
        <v>Baccalauréat Général - Acadmie de Grenoble</v>
      </c>
      <c r="K314" s="409" t="str">
        <f>D275</f>
        <v>Apprenti</v>
      </c>
      <c r="L314" s="351"/>
      <c r="M314" s="351"/>
      <c r="N314" s="351"/>
      <c r="O314" s="351" t="s">
        <v>773</v>
      </c>
      <c r="P314" s="351"/>
      <c r="Q314" s="351"/>
      <c r="R314" s="351"/>
      <c r="S314" s="351"/>
      <c r="T314" s="351"/>
    </row>
    <row r="315" spans="1:20" s="112" customFormat="1" ht="24.75" thickBot="1" x14ac:dyDescent="0.3">
      <c r="A315" s="112" t="s">
        <v>816</v>
      </c>
      <c r="B315" s="364">
        <f>B275</f>
        <v>5</v>
      </c>
      <c r="C315" s="406" t="str">
        <f>C275</f>
        <v>LA CORTE Matias</v>
      </c>
      <c r="D315" s="407">
        <f t="shared" ref="D315:F316" si="390">R275</f>
        <v>11.787150832620664</v>
      </c>
      <c r="E315" s="408">
        <f t="shared" si="390"/>
        <v>221</v>
      </c>
      <c r="F315" s="407">
        <f t="shared" si="390"/>
        <v>2604.9603340091667</v>
      </c>
      <c r="G315" s="415"/>
      <c r="H315" s="406" t="str">
        <f t="shared" ref="H315" si="391">C88</f>
        <v>LA CORTE</v>
      </c>
      <c r="I315" s="409" t="str">
        <f t="shared" ref="I315" si="392">D88</f>
        <v>Matias</v>
      </c>
      <c r="J315" s="409" t="str">
        <f>E275</f>
        <v>Baccalauréat Général - Acadmie de Grenoble</v>
      </c>
      <c r="K315" s="409" t="str">
        <f>D275</f>
        <v>Apprenti</v>
      </c>
      <c r="L315" s="351"/>
      <c r="M315" s="351"/>
      <c r="N315" s="351"/>
      <c r="O315" s="351" t="s">
        <v>773</v>
      </c>
      <c r="P315" s="351"/>
      <c r="Q315" s="351"/>
      <c r="R315" s="351"/>
      <c r="S315" s="351"/>
      <c r="T315" s="351"/>
    </row>
    <row r="316" spans="1:20" s="112" customFormat="1" ht="24.75" thickBot="1" x14ac:dyDescent="0.3">
      <c r="A316" s="112" t="s">
        <v>816</v>
      </c>
      <c r="B316" s="364">
        <f>B276</f>
        <v>9</v>
      </c>
      <c r="C316" s="406" t="str">
        <f>C276</f>
        <v>WIRTH Romain</v>
      </c>
      <c r="D316" s="407">
        <f t="shared" si="390"/>
        <v>29.251643192488263</v>
      </c>
      <c r="E316" s="408">
        <f t="shared" si="390"/>
        <v>853</v>
      </c>
      <c r="F316" s="407">
        <f t="shared" si="390"/>
        <v>24951.65164319249</v>
      </c>
      <c r="G316" s="415"/>
      <c r="H316" s="406" t="str">
        <f t="shared" ref="H316" si="393">C89</f>
        <v>WIRTH</v>
      </c>
      <c r="I316" s="409" t="str">
        <f t="shared" ref="I316" si="394">D89</f>
        <v>Romain</v>
      </c>
      <c r="J316" s="409" t="str">
        <f>E276</f>
        <v xml:space="preserve">Bachelor of science - Ecole Hôtelière de Lausanne </v>
      </c>
      <c r="K316" s="409" t="str">
        <f>D276</f>
        <v>Développeur Full Stack</v>
      </c>
      <c r="L316" s="351"/>
      <c r="M316" s="351"/>
      <c r="N316" s="351"/>
      <c r="O316" s="351" t="s">
        <v>773</v>
      </c>
      <c r="P316" s="351"/>
      <c r="Q316" s="351"/>
      <c r="R316" s="351"/>
      <c r="S316" s="351"/>
      <c r="T316" s="351"/>
    </row>
    <row r="317" spans="1:20" s="112" customFormat="1" ht="24.75" thickBot="1" x14ac:dyDescent="0.3">
      <c r="A317" s="112" t="s">
        <v>816</v>
      </c>
      <c r="B317" s="364">
        <f>B274</f>
        <v>2</v>
      </c>
      <c r="C317" s="406" t="str">
        <f>C274</f>
        <v>GASPERIN Anthony</v>
      </c>
      <c r="D317" s="407">
        <f t="shared" ref="D317:F318" si="395">R274</f>
        <v>57.560729166666668</v>
      </c>
      <c r="E317" s="408">
        <f t="shared" si="395"/>
        <v>693</v>
      </c>
      <c r="F317" s="407">
        <f t="shared" si="395"/>
        <v>39889.585312499999</v>
      </c>
      <c r="G317" s="415"/>
      <c r="H317" s="406" t="str">
        <f t="shared" ref="H317" si="396">C87</f>
        <v>GASPERIN</v>
      </c>
      <c r="I317" s="409" t="str">
        <f t="shared" ref="I317" si="397">D87</f>
        <v>Anthony</v>
      </c>
      <c r="J317" s="409" t="str">
        <f>E274</f>
        <v xml:space="preserve">Docteur en Sciences mention informatique - Université de Genève </v>
      </c>
      <c r="K317" s="409" t="str">
        <f>D274</f>
        <v>Lead Developer</v>
      </c>
      <c r="L317" s="351"/>
      <c r="M317" s="351"/>
      <c r="N317" s="351"/>
      <c r="O317" s="351" t="s">
        <v>773</v>
      </c>
      <c r="P317" s="351"/>
      <c r="Q317" s="351"/>
      <c r="R317" s="351"/>
      <c r="S317" s="351"/>
      <c r="T317" s="351"/>
    </row>
    <row r="318" spans="1:20" s="112" customFormat="1" ht="24.75" thickBot="1" x14ac:dyDescent="0.3">
      <c r="A318" s="112" t="s">
        <v>816</v>
      </c>
      <c r="B318" s="364">
        <f>B275</f>
        <v>5</v>
      </c>
      <c r="C318" s="406" t="str">
        <f>C275</f>
        <v>LA CORTE Matias</v>
      </c>
      <c r="D318" s="407">
        <f t="shared" si="395"/>
        <v>11.787150832620664</v>
      </c>
      <c r="E318" s="408">
        <f t="shared" si="395"/>
        <v>221</v>
      </c>
      <c r="F318" s="407">
        <f t="shared" si="395"/>
        <v>2604.9603340091667</v>
      </c>
      <c r="G318" s="415"/>
      <c r="H318" s="406" t="str">
        <f t="shared" ref="H318" si="398">C88</f>
        <v>LA CORTE</v>
      </c>
      <c r="I318" s="409" t="str">
        <f t="shared" ref="I318" si="399">D88</f>
        <v>Matias</v>
      </c>
      <c r="J318" s="409" t="str">
        <f>E275</f>
        <v>Baccalauréat Général - Acadmie de Grenoble</v>
      </c>
      <c r="K318" s="409" t="str">
        <f>D275</f>
        <v>Apprenti</v>
      </c>
      <c r="L318" s="351"/>
      <c r="M318" s="351"/>
      <c r="N318" s="351"/>
      <c r="O318" s="351" t="s">
        <v>773</v>
      </c>
      <c r="P318" s="351"/>
      <c r="Q318" s="351"/>
      <c r="R318" s="351"/>
      <c r="S318" s="351"/>
      <c r="T318" s="351"/>
    </row>
    <row r="319" spans="1:20" s="112" customFormat="1" ht="24.75" thickBot="1" x14ac:dyDescent="0.3">
      <c r="A319" s="112" t="s">
        <v>816</v>
      </c>
      <c r="B319" s="364">
        <f>B275</f>
        <v>5</v>
      </c>
      <c r="C319" s="406" t="str">
        <f>C275</f>
        <v>LA CORTE Matias</v>
      </c>
      <c r="D319" s="407">
        <f t="shared" ref="D319:F320" si="400">R275</f>
        <v>11.787150832620664</v>
      </c>
      <c r="E319" s="408">
        <f t="shared" si="400"/>
        <v>221</v>
      </c>
      <c r="F319" s="407">
        <f t="shared" si="400"/>
        <v>2604.9603340091667</v>
      </c>
      <c r="G319" s="415"/>
      <c r="H319" s="406" t="str">
        <f t="shared" ref="H319" si="401">C88</f>
        <v>LA CORTE</v>
      </c>
      <c r="I319" s="409" t="str">
        <f t="shared" ref="I319" si="402">D88</f>
        <v>Matias</v>
      </c>
      <c r="J319" s="409" t="str">
        <f>E275</f>
        <v>Baccalauréat Général - Acadmie de Grenoble</v>
      </c>
      <c r="K319" s="409" t="str">
        <f>D275</f>
        <v>Apprenti</v>
      </c>
      <c r="L319" s="351"/>
      <c r="M319" s="351"/>
      <c r="N319" s="351"/>
      <c r="O319" s="351" t="s">
        <v>773</v>
      </c>
      <c r="P319" s="351"/>
      <c r="Q319" s="351"/>
      <c r="R319" s="351"/>
      <c r="S319" s="351"/>
      <c r="T319" s="351"/>
    </row>
    <row r="320" spans="1:20" s="112" customFormat="1" ht="24.75" thickBot="1" x14ac:dyDescent="0.3">
      <c r="A320" s="112" t="s">
        <v>816</v>
      </c>
      <c r="B320" s="364">
        <f>B276</f>
        <v>9</v>
      </c>
      <c r="C320" s="406" t="str">
        <f>C276</f>
        <v>WIRTH Romain</v>
      </c>
      <c r="D320" s="407">
        <f t="shared" si="400"/>
        <v>29.251643192488263</v>
      </c>
      <c r="E320" s="408">
        <f t="shared" si="400"/>
        <v>853</v>
      </c>
      <c r="F320" s="407">
        <f t="shared" si="400"/>
        <v>24951.65164319249</v>
      </c>
      <c r="G320" s="415"/>
      <c r="H320" s="406" t="str">
        <f t="shared" ref="H320" si="403">C89</f>
        <v>WIRTH</v>
      </c>
      <c r="I320" s="409" t="str">
        <f t="shared" ref="I320" si="404">D89</f>
        <v>Romain</v>
      </c>
      <c r="J320" s="409" t="str">
        <f>E276</f>
        <v xml:space="preserve">Bachelor of science - Ecole Hôtelière de Lausanne </v>
      </c>
      <c r="K320" s="409" t="str">
        <f>D276</f>
        <v>Développeur Full Stack</v>
      </c>
      <c r="L320" s="351"/>
      <c r="M320" s="351"/>
      <c r="N320" s="351"/>
      <c r="O320" s="351" t="s">
        <v>773</v>
      </c>
      <c r="P320" s="351"/>
      <c r="Q320" s="351"/>
      <c r="R320" s="351"/>
      <c r="S320" s="351"/>
      <c r="T320" s="351"/>
    </row>
    <row r="321" spans="1:20" s="112" customFormat="1" ht="24.75" thickBot="1" x14ac:dyDescent="0.3">
      <c r="A321" s="112" t="s">
        <v>816</v>
      </c>
      <c r="B321" s="364">
        <f>B274</f>
        <v>2</v>
      </c>
      <c r="C321" s="406" t="str">
        <f>C274</f>
        <v>GASPERIN Anthony</v>
      </c>
      <c r="D321" s="407">
        <f t="shared" ref="D321:F322" si="405">R274</f>
        <v>57.560729166666668</v>
      </c>
      <c r="E321" s="408">
        <f t="shared" si="405"/>
        <v>693</v>
      </c>
      <c r="F321" s="407">
        <f t="shared" si="405"/>
        <v>39889.585312499999</v>
      </c>
      <c r="G321" s="415"/>
      <c r="H321" s="406" t="str">
        <f t="shared" ref="H321" si="406">C87</f>
        <v>GASPERIN</v>
      </c>
      <c r="I321" s="409" t="str">
        <f t="shared" ref="I321" si="407">D87</f>
        <v>Anthony</v>
      </c>
      <c r="J321" s="409" t="str">
        <f>E274</f>
        <v xml:space="preserve">Docteur en Sciences mention informatique - Université de Genève </v>
      </c>
      <c r="K321" s="409" t="str">
        <f>D274</f>
        <v>Lead Developer</v>
      </c>
      <c r="L321" s="351"/>
      <c r="M321" s="351"/>
      <c r="N321" s="351"/>
      <c r="O321" s="351" t="s">
        <v>773</v>
      </c>
      <c r="P321" s="351"/>
      <c r="Q321" s="351"/>
      <c r="R321" s="351"/>
      <c r="S321" s="351"/>
      <c r="T321" s="351"/>
    </row>
    <row r="322" spans="1:20" s="112" customFormat="1" ht="24.75" thickBot="1" x14ac:dyDescent="0.3">
      <c r="A322" s="112" t="s">
        <v>816</v>
      </c>
      <c r="B322" s="364">
        <f>B275</f>
        <v>5</v>
      </c>
      <c r="C322" s="406" t="str">
        <f>C275</f>
        <v>LA CORTE Matias</v>
      </c>
      <c r="D322" s="407">
        <f t="shared" si="405"/>
        <v>11.787150832620664</v>
      </c>
      <c r="E322" s="408">
        <f t="shared" si="405"/>
        <v>221</v>
      </c>
      <c r="F322" s="407">
        <f t="shared" si="405"/>
        <v>2604.9603340091667</v>
      </c>
      <c r="G322" s="415"/>
      <c r="H322" s="406" t="str">
        <f t="shared" ref="H322" si="408">C88</f>
        <v>LA CORTE</v>
      </c>
      <c r="I322" s="409" t="str">
        <f t="shared" ref="I322" si="409">D88</f>
        <v>Matias</v>
      </c>
      <c r="J322" s="409" t="str">
        <f>E275</f>
        <v>Baccalauréat Général - Acadmie de Grenoble</v>
      </c>
      <c r="K322" s="409" t="str">
        <f>D275</f>
        <v>Apprenti</v>
      </c>
      <c r="L322" s="351"/>
      <c r="M322" s="351"/>
      <c r="N322" s="351"/>
      <c r="O322" s="351" t="s">
        <v>773</v>
      </c>
      <c r="P322" s="351"/>
      <c r="Q322" s="351"/>
      <c r="R322" s="351"/>
      <c r="S322" s="351"/>
      <c r="T322" s="351"/>
    </row>
    <row r="323" spans="1:20" s="112" customFormat="1" ht="24.75" thickBot="1" x14ac:dyDescent="0.3">
      <c r="A323" s="112" t="s">
        <v>816</v>
      </c>
      <c r="B323" s="364">
        <f>B275</f>
        <v>5</v>
      </c>
      <c r="C323" s="406" t="str">
        <f>C275</f>
        <v>LA CORTE Matias</v>
      </c>
      <c r="D323" s="407">
        <f t="shared" ref="D323:F324" si="410">R275</f>
        <v>11.787150832620664</v>
      </c>
      <c r="E323" s="408">
        <f t="shared" si="410"/>
        <v>221</v>
      </c>
      <c r="F323" s="407">
        <f t="shared" si="410"/>
        <v>2604.9603340091667</v>
      </c>
      <c r="G323" s="415"/>
      <c r="H323" s="406" t="str">
        <f t="shared" ref="H323" si="411">C88</f>
        <v>LA CORTE</v>
      </c>
      <c r="I323" s="409" t="str">
        <f t="shared" ref="I323" si="412">D88</f>
        <v>Matias</v>
      </c>
      <c r="J323" s="409" t="str">
        <f>E275</f>
        <v>Baccalauréat Général - Acadmie de Grenoble</v>
      </c>
      <c r="K323" s="409" t="str">
        <f>D275</f>
        <v>Apprenti</v>
      </c>
      <c r="L323" s="351"/>
      <c r="M323" s="351"/>
      <c r="N323" s="351"/>
      <c r="O323" s="351" t="s">
        <v>773</v>
      </c>
      <c r="P323" s="351"/>
      <c r="Q323" s="351"/>
      <c r="R323" s="351"/>
      <c r="S323" s="351"/>
      <c r="T323" s="351"/>
    </row>
    <row r="324" spans="1:20" s="112" customFormat="1" ht="24.75" thickBot="1" x14ac:dyDescent="0.3">
      <c r="A324" s="112" t="s">
        <v>816</v>
      </c>
      <c r="B324" s="364">
        <f>B276</f>
        <v>9</v>
      </c>
      <c r="C324" s="406" t="str">
        <f>C276</f>
        <v>WIRTH Romain</v>
      </c>
      <c r="D324" s="407">
        <f t="shared" si="410"/>
        <v>29.251643192488263</v>
      </c>
      <c r="E324" s="408">
        <f t="shared" si="410"/>
        <v>853</v>
      </c>
      <c r="F324" s="407">
        <f t="shared" si="410"/>
        <v>24951.65164319249</v>
      </c>
      <c r="G324" s="415"/>
      <c r="H324" s="406" t="str">
        <f t="shared" ref="H324" si="413">C89</f>
        <v>WIRTH</v>
      </c>
      <c r="I324" s="409" t="str">
        <f t="shared" ref="I324" si="414">D89</f>
        <v>Romain</v>
      </c>
      <c r="J324" s="409" t="str">
        <f>E276</f>
        <v xml:space="preserve">Bachelor of science - Ecole Hôtelière de Lausanne </v>
      </c>
      <c r="K324" s="409" t="str">
        <f>D276</f>
        <v>Développeur Full Stack</v>
      </c>
      <c r="L324" s="351"/>
      <c r="M324" s="351"/>
      <c r="N324" s="351"/>
      <c r="O324" s="351" t="s">
        <v>773</v>
      </c>
      <c r="P324" s="351"/>
      <c r="Q324" s="351"/>
      <c r="R324" s="351"/>
      <c r="S324" s="351"/>
      <c r="T324" s="351"/>
    </row>
    <row r="325" spans="1:20" s="112" customFormat="1" ht="24.75" thickBot="1" x14ac:dyDescent="0.3">
      <c r="A325" s="112" t="s">
        <v>816</v>
      </c>
      <c r="B325" s="364">
        <f>B274</f>
        <v>2</v>
      </c>
      <c r="C325" s="406" t="str">
        <f>C274</f>
        <v>GASPERIN Anthony</v>
      </c>
      <c r="D325" s="407">
        <f t="shared" ref="D325:F326" si="415">R274</f>
        <v>57.560729166666668</v>
      </c>
      <c r="E325" s="408">
        <f t="shared" si="415"/>
        <v>693</v>
      </c>
      <c r="F325" s="407">
        <f t="shared" si="415"/>
        <v>39889.585312499999</v>
      </c>
      <c r="G325" s="415"/>
      <c r="H325" s="406" t="str">
        <f t="shared" ref="H325" si="416">C87</f>
        <v>GASPERIN</v>
      </c>
      <c r="I325" s="409" t="str">
        <f t="shared" ref="I325" si="417">D87</f>
        <v>Anthony</v>
      </c>
      <c r="J325" s="409" t="str">
        <f>E274</f>
        <v xml:space="preserve">Docteur en Sciences mention informatique - Université de Genève </v>
      </c>
      <c r="K325" s="409" t="str">
        <f>D274</f>
        <v>Lead Developer</v>
      </c>
      <c r="L325" s="351"/>
      <c r="M325" s="351"/>
      <c r="N325" s="351"/>
      <c r="O325" s="351" t="s">
        <v>773</v>
      </c>
      <c r="P325" s="351"/>
      <c r="Q325" s="351"/>
      <c r="R325" s="351"/>
      <c r="S325" s="351"/>
      <c r="T325" s="351"/>
    </row>
    <row r="326" spans="1:20" s="112" customFormat="1" ht="24.75" thickBot="1" x14ac:dyDescent="0.3">
      <c r="A326" s="112" t="s">
        <v>816</v>
      </c>
      <c r="B326" s="364">
        <f>B275</f>
        <v>5</v>
      </c>
      <c r="C326" s="406" t="str">
        <f>C275</f>
        <v>LA CORTE Matias</v>
      </c>
      <c r="D326" s="407">
        <f t="shared" si="415"/>
        <v>11.787150832620664</v>
      </c>
      <c r="E326" s="408">
        <f t="shared" si="415"/>
        <v>221</v>
      </c>
      <c r="F326" s="407">
        <f t="shared" si="415"/>
        <v>2604.9603340091667</v>
      </c>
      <c r="G326" s="415"/>
      <c r="H326" s="406" t="str">
        <f t="shared" ref="H326" si="418">C88</f>
        <v>LA CORTE</v>
      </c>
      <c r="I326" s="409" t="str">
        <f t="shared" ref="I326" si="419">D88</f>
        <v>Matias</v>
      </c>
      <c r="J326" s="409" t="str">
        <f>E275</f>
        <v>Baccalauréat Général - Acadmie de Grenoble</v>
      </c>
      <c r="K326" s="409" t="str">
        <f>D275</f>
        <v>Apprenti</v>
      </c>
      <c r="L326" s="351"/>
      <c r="M326" s="351"/>
      <c r="N326" s="351"/>
      <c r="O326" s="351" t="s">
        <v>773</v>
      </c>
      <c r="P326" s="351"/>
      <c r="Q326" s="351"/>
      <c r="R326" s="351"/>
      <c r="S326" s="351"/>
      <c r="T326" s="351"/>
    </row>
    <row r="327" spans="1:20" s="112" customFormat="1" ht="24.75" thickBot="1" x14ac:dyDescent="0.3">
      <c r="A327" s="112" t="s">
        <v>816</v>
      </c>
      <c r="B327" s="364">
        <f>B275</f>
        <v>5</v>
      </c>
      <c r="C327" s="406" t="str">
        <f>C275</f>
        <v>LA CORTE Matias</v>
      </c>
      <c r="D327" s="407">
        <f t="shared" ref="D327:F328" si="420">R275</f>
        <v>11.787150832620664</v>
      </c>
      <c r="E327" s="408">
        <f t="shared" si="420"/>
        <v>221</v>
      </c>
      <c r="F327" s="407">
        <f t="shared" si="420"/>
        <v>2604.9603340091667</v>
      </c>
      <c r="G327" s="415"/>
      <c r="H327" s="406" t="str">
        <f t="shared" ref="H327" si="421">C88</f>
        <v>LA CORTE</v>
      </c>
      <c r="I327" s="409" t="str">
        <f t="shared" ref="I327" si="422">D88</f>
        <v>Matias</v>
      </c>
      <c r="J327" s="409" t="str">
        <f>E275</f>
        <v>Baccalauréat Général - Acadmie de Grenoble</v>
      </c>
      <c r="K327" s="409" t="str">
        <f>D275</f>
        <v>Apprenti</v>
      </c>
      <c r="L327" s="351"/>
      <c r="M327" s="351"/>
      <c r="N327" s="351"/>
      <c r="O327" s="351" t="s">
        <v>773</v>
      </c>
      <c r="P327" s="351"/>
      <c r="Q327" s="351"/>
      <c r="R327" s="351"/>
      <c r="S327" s="351"/>
      <c r="T327" s="351"/>
    </row>
    <row r="328" spans="1:20" s="112" customFormat="1" ht="24.75" thickBot="1" x14ac:dyDescent="0.3">
      <c r="A328" s="112" t="s">
        <v>816</v>
      </c>
      <c r="B328" s="364">
        <f>B276</f>
        <v>9</v>
      </c>
      <c r="C328" s="406" t="str">
        <f>C276</f>
        <v>WIRTH Romain</v>
      </c>
      <c r="D328" s="407">
        <f t="shared" si="420"/>
        <v>29.251643192488263</v>
      </c>
      <c r="E328" s="408">
        <f t="shared" si="420"/>
        <v>853</v>
      </c>
      <c r="F328" s="407">
        <f t="shared" si="420"/>
        <v>24951.65164319249</v>
      </c>
      <c r="G328" s="415"/>
      <c r="H328" s="406" t="str">
        <f t="shared" ref="H328" si="423">C89</f>
        <v>WIRTH</v>
      </c>
      <c r="I328" s="409" t="str">
        <f t="shared" ref="I328" si="424">D89</f>
        <v>Romain</v>
      </c>
      <c r="J328" s="409" t="str">
        <f>E276</f>
        <v xml:space="preserve">Bachelor of science - Ecole Hôtelière de Lausanne </v>
      </c>
      <c r="K328" s="409" t="str">
        <f>D276</f>
        <v>Développeur Full Stack</v>
      </c>
      <c r="L328" s="351"/>
      <c r="M328" s="351"/>
      <c r="N328" s="351"/>
      <c r="O328" s="351" t="s">
        <v>773</v>
      </c>
      <c r="P328" s="351"/>
      <c r="Q328" s="351"/>
      <c r="R328" s="351"/>
      <c r="S328" s="351"/>
      <c r="T328" s="351"/>
    </row>
    <row r="329" spans="1:20" s="112" customFormat="1" ht="24.75" thickBot="1" x14ac:dyDescent="0.3">
      <c r="A329" s="112" t="s">
        <v>816</v>
      </c>
      <c r="B329" s="364">
        <f>B274</f>
        <v>2</v>
      </c>
      <c r="C329" s="406" t="str">
        <f>C274</f>
        <v>GASPERIN Anthony</v>
      </c>
      <c r="D329" s="407">
        <f t="shared" ref="D329:F330" si="425">R274</f>
        <v>57.560729166666668</v>
      </c>
      <c r="E329" s="408">
        <f t="shared" si="425"/>
        <v>693</v>
      </c>
      <c r="F329" s="407">
        <f t="shared" si="425"/>
        <v>39889.585312499999</v>
      </c>
      <c r="G329" s="415"/>
      <c r="H329" s="406" t="str">
        <f t="shared" ref="H329" si="426">C87</f>
        <v>GASPERIN</v>
      </c>
      <c r="I329" s="409" t="str">
        <f t="shared" ref="I329" si="427">D87</f>
        <v>Anthony</v>
      </c>
      <c r="J329" s="409" t="str">
        <f>E274</f>
        <v xml:space="preserve">Docteur en Sciences mention informatique - Université de Genève </v>
      </c>
      <c r="K329" s="409" t="str">
        <f>D274</f>
        <v>Lead Developer</v>
      </c>
      <c r="L329" s="351"/>
      <c r="M329" s="351"/>
      <c r="N329" s="351"/>
      <c r="O329" s="351" t="s">
        <v>773</v>
      </c>
      <c r="P329" s="351"/>
      <c r="Q329" s="351"/>
      <c r="R329" s="351"/>
      <c r="S329" s="351"/>
      <c r="T329" s="351"/>
    </row>
    <row r="330" spans="1:20" s="112" customFormat="1" ht="24.75" thickBot="1" x14ac:dyDescent="0.3">
      <c r="A330" s="112" t="s">
        <v>816</v>
      </c>
      <c r="B330" s="364">
        <f>B275</f>
        <v>5</v>
      </c>
      <c r="C330" s="406" t="str">
        <f>C275</f>
        <v>LA CORTE Matias</v>
      </c>
      <c r="D330" s="407">
        <f t="shared" si="425"/>
        <v>11.787150832620664</v>
      </c>
      <c r="E330" s="408">
        <f t="shared" si="425"/>
        <v>221</v>
      </c>
      <c r="F330" s="407">
        <f t="shared" si="425"/>
        <v>2604.9603340091667</v>
      </c>
      <c r="G330" s="415"/>
      <c r="H330" s="406" t="str">
        <f t="shared" ref="H330" si="428">C88</f>
        <v>LA CORTE</v>
      </c>
      <c r="I330" s="409" t="str">
        <f t="shared" ref="I330" si="429">D88</f>
        <v>Matias</v>
      </c>
      <c r="J330" s="409" t="str">
        <f>E275</f>
        <v>Baccalauréat Général - Acadmie de Grenoble</v>
      </c>
      <c r="K330" s="409" t="str">
        <f>D275</f>
        <v>Apprenti</v>
      </c>
      <c r="L330" s="351"/>
      <c r="M330" s="351"/>
      <c r="N330" s="351"/>
      <c r="O330" s="351" t="s">
        <v>773</v>
      </c>
      <c r="P330" s="351"/>
      <c r="Q330" s="351"/>
      <c r="R330" s="351"/>
      <c r="S330" s="351"/>
      <c r="T330" s="351"/>
    </row>
    <row r="331" spans="1:20" s="112" customFormat="1" ht="24.75" thickBot="1" x14ac:dyDescent="0.3">
      <c r="A331" s="112" t="s">
        <v>816</v>
      </c>
      <c r="B331" s="364">
        <f>B275</f>
        <v>5</v>
      </c>
      <c r="C331" s="406" t="str">
        <f>C275</f>
        <v>LA CORTE Matias</v>
      </c>
      <c r="D331" s="407">
        <f t="shared" ref="D331:F332" si="430">R275</f>
        <v>11.787150832620664</v>
      </c>
      <c r="E331" s="408">
        <f t="shared" si="430"/>
        <v>221</v>
      </c>
      <c r="F331" s="407">
        <f t="shared" si="430"/>
        <v>2604.9603340091667</v>
      </c>
      <c r="G331" s="415"/>
      <c r="H331" s="406" t="str">
        <f t="shared" ref="H331" si="431">C88</f>
        <v>LA CORTE</v>
      </c>
      <c r="I331" s="409" t="str">
        <f t="shared" ref="I331" si="432">D88</f>
        <v>Matias</v>
      </c>
      <c r="J331" s="409" t="str">
        <f>E275</f>
        <v>Baccalauréat Général - Acadmie de Grenoble</v>
      </c>
      <c r="K331" s="409" t="str">
        <f>D275</f>
        <v>Apprenti</v>
      </c>
      <c r="L331" s="351"/>
      <c r="M331" s="351"/>
      <c r="N331" s="351"/>
      <c r="O331" s="351" t="s">
        <v>773</v>
      </c>
      <c r="P331" s="351"/>
      <c r="Q331" s="351"/>
      <c r="R331" s="351"/>
      <c r="S331" s="351"/>
      <c r="T331" s="351"/>
    </row>
    <row r="332" spans="1:20" s="112" customFormat="1" ht="24.75" thickBot="1" x14ac:dyDescent="0.3">
      <c r="A332" s="112" t="s">
        <v>816</v>
      </c>
      <c r="B332" s="364">
        <f>B276</f>
        <v>9</v>
      </c>
      <c r="C332" s="406" t="str">
        <f>C276</f>
        <v>WIRTH Romain</v>
      </c>
      <c r="D332" s="407">
        <f t="shared" si="430"/>
        <v>29.251643192488263</v>
      </c>
      <c r="E332" s="408">
        <f t="shared" si="430"/>
        <v>853</v>
      </c>
      <c r="F332" s="407">
        <f t="shared" si="430"/>
        <v>24951.65164319249</v>
      </c>
      <c r="G332" s="415"/>
      <c r="H332" s="406" t="str">
        <f t="shared" ref="H332" si="433">C89</f>
        <v>WIRTH</v>
      </c>
      <c r="I332" s="409" t="str">
        <f t="shared" ref="I332" si="434">D89</f>
        <v>Romain</v>
      </c>
      <c r="J332" s="409" t="str">
        <f>E276</f>
        <v xml:space="preserve">Bachelor of science - Ecole Hôtelière de Lausanne </v>
      </c>
      <c r="K332" s="409" t="str">
        <f>D276</f>
        <v>Développeur Full Stack</v>
      </c>
      <c r="L332" s="351"/>
      <c r="M332" s="351"/>
      <c r="N332" s="351"/>
      <c r="O332" s="351" t="s">
        <v>773</v>
      </c>
      <c r="P332" s="351"/>
      <c r="Q332" s="351"/>
      <c r="R332" s="351"/>
      <c r="S332" s="351"/>
      <c r="T332" s="351"/>
    </row>
    <row r="333" spans="1:20" s="112" customFormat="1" ht="24.75" thickBot="1" x14ac:dyDescent="0.3">
      <c r="A333" s="112" t="s">
        <v>816</v>
      </c>
      <c r="B333" s="364">
        <f>B274</f>
        <v>2</v>
      </c>
      <c r="C333" s="406" t="str">
        <f>C274</f>
        <v>GASPERIN Anthony</v>
      </c>
      <c r="D333" s="407">
        <f t="shared" ref="D333:F334" si="435">R274</f>
        <v>57.560729166666668</v>
      </c>
      <c r="E333" s="408">
        <f t="shared" si="435"/>
        <v>693</v>
      </c>
      <c r="F333" s="407">
        <f t="shared" si="435"/>
        <v>39889.585312499999</v>
      </c>
      <c r="G333" s="415"/>
      <c r="H333" s="406" t="str">
        <f t="shared" ref="H333" si="436">C87</f>
        <v>GASPERIN</v>
      </c>
      <c r="I333" s="409" t="str">
        <f t="shared" ref="I333" si="437">D87</f>
        <v>Anthony</v>
      </c>
      <c r="J333" s="409" t="str">
        <f>E274</f>
        <v xml:space="preserve">Docteur en Sciences mention informatique - Université de Genève </v>
      </c>
      <c r="K333" s="409" t="str">
        <f>D274</f>
        <v>Lead Developer</v>
      </c>
      <c r="L333" s="351"/>
      <c r="M333" s="351"/>
      <c r="N333" s="351"/>
      <c r="O333" s="351" t="s">
        <v>773</v>
      </c>
      <c r="P333" s="351"/>
      <c r="Q333" s="351"/>
      <c r="R333" s="351"/>
      <c r="S333" s="351"/>
      <c r="T333" s="351"/>
    </row>
    <row r="334" spans="1:20" s="112" customFormat="1" ht="24.75" thickBot="1" x14ac:dyDescent="0.3">
      <c r="A334" s="112" t="s">
        <v>816</v>
      </c>
      <c r="B334" s="364">
        <f>B275</f>
        <v>5</v>
      </c>
      <c r="C334" s="406" t="str">
        <f>C275</f>
        <v>LA CORTE Matias</v>
      </c>
      <c r="D334" s="407">
        <f t="shared" si="435"/>
        <v>11.787150832620664</v>
      </c>
      <c r="E334" s="408">
        <f t="shared" si="435"/>
        <v>221</v>
      </c>
      <c r="F334" s="407">
        <f t="shared" si="435"/>
        <v>2604.9603340091667</v>
      </c>
      <c r="G334" s="415"/>
      <c r="H334" s="406" t="str">
        <f t="shared" ref="H334" si="438">C88</f>
        <v>LA CORTE</v>
      </c>
      <c r="I334" s="409" t="str">
        <f t="shared" ref="I334" si="439">D88</f>
        <v>Matias</v>
      </c>
      <c r="J334" s="409" t="str">
        <f>E275</f>
        <v>Baccalauréat Général - Acadmie de Grenoble</v>
      </c>
      <c r="K334" s="409" t="str">
        <f>D275</f>
        <v>Apprenti</v>
      </c>
      <c r="L334" s="351"/>
      <c r="M334" s="351"/>
      <c r="N334" s="351"/>
      <c r="O334" s="351" t="s">
        <v>773</v>
      </c>
      <c r="P334" s="351"/>
      <c r="Q334" s="351"/>
      <c r="R334" s="351"/>
      <c r="S334" s="351"/>
      <c r="T334" s="351"/>
    </row>
    <row r="335" spans="1:20" s="112" customFormat="1" ht="24.75" thickBot="1" x14ac:dyDescent="0.3">
      <c r="A335" s="112" t="s">
        <v>816</v>
      </c>
      <c r="B335" s="364">
        <f>B275</f>
        <v>5</v>
      </c>
      <c r="C335" s="406" t="str">
        <f>C275</f>
        <v>LA CORTE Matias</v>
      </c>
      <c r="D335" s="407">
        <f t="shared" ref="D335:F336" si="440">R275</f>
        <v>11.787150832620664</v>
      </c>
      <c r="E335" s="408">
        <f t="shared" si="440"/>
        <v>221</v>
      </c>
      <c r="F335" s="407">
        <f t="shared" si="440"/>
        <v>2604.9603340091667</v>
      </c>
      <c r="G335" s="415"/>
      <c r="H335" s="406" t="str">
        <f t="shared" ref="H335" si="441">C88</f>
        <v>LA CORTE</v>
      </c>
      <c r="I335" s="409" t="str">
        <f t="shared" ref="I335" si="442">D88</f>
        <v>Matias</v>
      </c>
      <c r="J335" s="409" t="str">
        <f>E275</f>
        <v>Baccalauréat Général - Acadmie de Grenoble</v>
      </c>
      <c r="K335" s="409" t="str">
        <f>D275</f>
        <v>Apprenti</v>
      </c>
      <c r="L335" s="351"/>
      <c r="M335" s="351"/>
      <c r="N335" s="351"/>
      <c r="O335" s="351" t="s">
        <v>773</v>
      </c>
      <c r="P335" s="351"/>
      <c r="Q335" s="351"/>
      <c r="R335" s="351"/>
      <c r="S335" s="351"/>
      <c r="T335" s="351"/>
    </row>
    <row r="336" spans="1:20" s="112" customFormat="1" ht="24.75" thickBot="1" x14ac:dyDescent="0.3">
      <c r="A336" s="112" t="s">
        <v>816</v>
      </c>
      <c r="B336" s="364">
        <f>B276</f>
        <v>9</v>
      </c>
      <c r="C336" s="406" t="str">
        <f>C276</f>
        <v>WIRTH Romain</v>
      </c>
      <c r="D336" s="407">
        <f t="shared" si="440"/>
        <v>29.251643192488263</v>
      </c>
      <c r="E336" s="408">
        <f t="shared" si="440"/>
        <v>853</v>
      </c>
      <c r="F336" s="407">
        <f t="shared" si="440"/>
        <v>24951.65164319249</v>
      </c>
      <c r="G336" s="415"/>
      <c r="H336" s="406" t="str">
        <f t="shared" ref="H336" si="443">C89</f>
        <v>WIRTH</v>
      </c>
      <c r="I336" s="409" t="str">
        <f t="shared" ref="I336" si="444">D89</f>
        <v>Romain</v>
      </c>
      <c r="J336" s="409" t="str">
        <f>E276</f>
        <v xml:space="preserve">Bachelor of science - Ecole Hôtelière de Lausanne </v>
      </c>
      <c r="K336" s="409" t="str">
        <f>D276</f>
        <v>Développeur Full Stack</v>
      </c>
      <c r="L336" s="351"/>
      <c r="M336" s="351"/>
      <c r="N336" s="351"/>
      <c r="O336" s="351" t="s">
        <v>773</v>
      </c>
      <c r="P336" s="351"/>
      <c r="Q336" s="351"/>
      <c r="R336" s="351"/>
      <c r="S336" s="351"/>
      <c r="T336" s="351"/>
    </row>
    <row r="337" spans="2:11" s="112" customFormat="1" ht="24.75" thickBot="1" x14ac:dyDescent="0.3">
      <c r="B337" s="364">
        <f t="shared" ref="B337:C344" si="445">B274</f>
        <v>2</v>
      </c>
      <c r="C337" s="406" t="str">
        <f t="shared" si="445"/>
        <v>GASPERIN Anthony</v>
      </c>
      <c r="D337" s="407">
        <f t="shared" ref="D337:F344" si="446">R274</f>
        <v>57.560729166666668</v>
      </c>
      <c r="E337" s="408">
        <f t="shared" si="446"/>
        <v>693</v>
      </c>
      <c r="F337" s="407">
        <f t="shared" si="446"/>
        <v>39889.585312499999</v>
      </c>
      <c r="G337" s="415"/>
      <c r="H337" s="406" t="str">
        <f t="shared" ref="H337:I344" si="447">C87</f>
        <v>GASPERIN</v>
      </c>
      <c r="I337" s="409" t="str">
        <f t="shared" si="447"/>
        <v>Anthony</v>
      </c>
      <c r="J337" s="409" t="str">
        <f t="shared" ref="J337:J344" si="448">E274</f>
        <v xml:space="preserve">Docteur en Sciences mention informatique - Université de Genève </v>
      </c>
      <c r="K337" s="409" t="str">
        <f t="shared" ref="K337:K344" si="449">D274</f>
        <v>Lead Developer</v>
      </c>
    </row>
    <row r="338" spans="2:11" s="112" customFormat="1" ht="24.75" thickBot="1" x14ac:dyDescent="0.3">
      <c r="B338" s="364">
        <f t="shared" si="445"/>
        <v>5</v>
      </c>
      <c r="C338" s="406" t="str">
        <f t="shared" si="445"/>
        <v>LA CORTE Matias</v>
      </c>
      <c r="D338" s="407">
        <f t="shared" si="446"/>
        <v>11.787150832620664</v>
      </c>
      <c r="E338" s="408">
        <f t="shared" si="446"/>
        <v>221</v>
      </c>
      <c r="F338" s="407">
        <f t="shared" si="446"/>
        <v>2604.9603340091667</v>
      </c>
      <c r="G338" s="415"/>
      <c r="H338" s="406" t="str">
        <f t="shared" si="447"/>
        <v>LA CORTE</v>
      </c>
      <c r="I338" s="409" t="str">
        <f t="shared" si="447"/>
        <v>Matias</v>
      </c>
      <c r="J338" s="409" t="str">
        <f t="shared" si="448"/>
        <v>Baccalauréat Général - Acadmie de Grenoble</v>
      </c>
      <c r="K338" s="409" t="str">
        <f t="shared" si="449"/>
        <v>Apprenti</v>
      </c>
    </row>
    <row r="339" spans="2:11" s="112" customFormat="1" ht="24.75" thickBot="1" x14ac:dyDescent="0.3">
      <c r="B339" s="364">
        <f t="shared" si="445"/>
        <v>9</v>
      </c>
      <c r="C339" s="406" t="str">
        <f t="shared" si="445"/>
        <v>WIRTH Romain</v>
      </c>
      <c r="D339" s="407">
        <f t="shared" si="446"/>
        <v>29.251643192488263</v>
      </c>
      <c r="E339" s="408">
        <f t="shared" si="446"/>
        <v>853</v>
      </c>
      <c r="F339" s="407">
        <f t="shared" si="446"/>
        <v>24951.65164319249</v>
      </c>
      <c r="G339" s="415"/>
      <c r="H339" s="406" t="str">
        <f t="shared" si="447"/>
        <v>WIRTH</v>
      </c>
      <c r="I339" s="409" t="str">
        <f t="shared" si="447"/>
        <v>Romain</v>
      </c>
      <c r="J339" s="409" t="str">
        <f t="shared" si="448"/>
        <v xml:space="preserve">Bachelor of science - Ecole Hôtelière de Lausanne </v>
      </c>
      <c r="K339" s="409" t="str">
        <f t="shared" si="449"/>
        <v>Développeur Full Stack</v>
      </c>
    </row>
    <row r="340" spans="2:11" s="112" customFormat="1" ht="24.75" thickBot="1" x14ac:dyDescent="0.3">
      <c r="B340" s="364">
        <f t="shared" si="445"/>
        <v>10</v>
      </c>
      <c r="C340" s="406" t="str">
        <f t="shared" si="445"/>
        <v>CILES Grégoire</v>
      </c>
      <c r="D340" s="407">
        <f t="shared" si="446"/>
        <v>30.607960526315789</v>
      </c>
      <c r="E340" s="408">
        <f t="shared" si="446"/>
        <v>868</v>
      </c>
      <c r="F340" s="407">
        <f t="shared" si="446"/>
        <v>26567.709736842105</v>
      </c>
      <c r="G340" s="415"/>
      <c r="H340" s="406" t="str">
        <f t="shared" si="447"/>
        <v>CILES</v>
      </c>
      <c r="I340" s="409" t="str">
        <f t="shared" si="447"/>
        <v>Grégoire</v>
      </c>
      <c r="J340" s="409" t="str">
        <f t="shared" si="448"/>
        <v>RNCP Niveau 5 (Bac +2) - Developpeur web et web mobile - Simplon.co</v>
      </c>
      <c r="K340" s="409" t="str">
        <f t="shared" si="449"/>
        <v>Développeur Full Stack</v>
      </c>
    </row>
    <row r="341" spans="2:11" s="112" customFormat="1" ht="24.75" thickBot="1" x14ac:dyDescent="0.3">
      <c r="B341" s="364">
        <f t="shared" si="445"/>
        <v>12</v>
      </c>
      <c r="C341" s="406" t="str">
        <f t="shared" si="445"/>
        <v>RALANTOARISON Osée</v>
      </c>
      <c r="D341" s="407">
        <f t="shared" si="446"/>
        <v>31.191762387387389</v>
      </c>
      <c r="E341" s="408">
        <f t="shared" si="446"/>
        <v>145</v>
      </c>
      <c r="F341" s="407">
        <f t="shared" si="446"/>
        <v>4522.805546171171</v>
      </c>
      <c r="G341" s="415"/>
      <c r="H341" s="406" t="str">
        <f t="shared" si="447"/>
        <v>RALANTOARISON</v>
      </c>
      <c r="I341" s="409" t="str">
        <f t="shared" si="447"/>
        <v>Osée</v>
      </c>
      <c r="J341" s="409" t="str">
        <f t="shared" si="448"/>
        <v>Attestation de suivi Développeur Web et Web Mobile - Oclock</v>
      </c>
      <c r="K341" s="409" t="str">
        <f t="shared" si="449"/>
        <v>Développeur Full Stack</v>
      </c>
    </row>
    <row r="342" spans="2:11" s="112" customFormat="1" ht="15.75" thickBot="1" x14ac:dyDescent="0.3">
      <c r="B342" s="364" t="e">
        <f t="shared" si="445"/>
        <v>#REF!</v>
      </c>
      <c r="C342" s="406" t="e">
        <f t="shared" si="445"/>
        <v>#REF!</v>
      </c>
      <c r="D342" s="407" t="e">
        <f t="shared" si="446"/>
        <v>#REF!</v>
      </c>
      <c r="E342" s="408" t="e">
        <f t="shared" si="446"/>
        <v>#REF!</v>
      </c>
      <c r="F342" s="407" t="e">
        <f t="shared" si="446"/>
        <v>#REF!</v>
      </c>
      <c r="G342" s="415"/>
      <c r="H342" s="406" t="e">
        <f t="shared" si="447"/>
        <v>#REF!</v>
      </c>
      <c r="I342" s="409" t="e">
        <f t="shared" si="447"/>
        <v>#REF!</v>
      </c>
      <c r="J342" s="409" t="e">
        <f t="shared" si="448"/>
        <v>#REF!</v>
      </c>
      <c r="K342" s="409" t="e">
        <f t="shared" si="449"/>
        <v>#REF!</v>
      </c>
    </row>
    <row r="343" spans="2:11" s="112" customFormat="1" ht="15.75" thickBot="1" x14ac:dyDescent="0.3">
      <c r="B343" s="364" t="e">
        <f t="shared" si="445"/>
        <v>#REF!</v>
      </c>
      <c r="C343" s="406" t="e">
        <f t="shared" si="445"/>
        <v>#REF!</v>
      </c>
      <c r="D343" s="407" t="e">
        <f t="shared" si="446"/>
        <v>#REF!</v>
      </c>
      <c r="E343" s="408" t="e">
        <f t="shared" si="446"/>
        <v>#REF!</v>
      </c>
      <c r="F343" s="407" t="e">
        <f t="shared" si="446"/>
        <v>#REF!</v>
      </c>
      <c r="G343" s="415"/>
      <c r="H343" s="406" t="e">
        <f t="shared" si="447"/>
        <v>#REF!</v>
      </c>
      <c r="I343" s="409" t="e">
        <f t="shared" si="447"/>
        <v>#REF!</v>
      </c>
      <c r="J343" s="409" t="e">
        <f t="shared" si="448"/>
        <v>#REF!</v>
      </c>
      <c r="K343" s="409" t="e">
        <f t="shared" si="449"/>
        <v>#REF!</v>
      </c>
    </row>
    <row r="344" spans="2:11" s="112" customFormat="1" ht="15.75" thickBot="1" x14ac:dyDescent="0.3">
      <c r="B344" s="364">
        <f t="shared" si="445"/>
        <v>24</v>
      </c>
      <c r="C344" s="406" t="str">
        <f t="shared" si="445"/>
        <v>KANDIAH Corrège</v>
      </c>
      <c r="D344" s="407">
        <f t="shared" si="446"/>
        <v>6.9789564293694255</v>
      </c>
      <c r="E344" s="408">
        <f t="shared" si="446"/>
        <v>434</v>
      </c>
      <c r="F344" s="407">
        <f t="shared" si="446"/>
        <v>3028.8670903463308</v>
      </c>
      <c r="G344" s="415"/>
      <c r="H344" s="406" t="str">
        <f t="shared" si="447"/>
        <v>KANDIAH</v>
      </c>
      <c r="I344" s="409" t="str">
        <f t="shared" si="447"/>
        <v>Corrège</v>
      </c>
      <c r="J344" s="409">
        <f t="shared" si="448"/>
        <v>0</v>
      </c>
      <c r="K344" s="409" t="str">
        <f t="shared" si="449"/>
        <v>Apprenti</v>
      </c>
    </row>
    <row r="345" spans="2:11" s="112" customFormat="1" ht="15.75" thickBot="1" x14ac:dyDescent="0.3">
      <c r="B345" s="404"/>
      <c r="C345" s="412" t="s">
        <v>449</v>
      </c>
      <c r="D345" s="413"/>
      <c r="E345" s="410" t="e">
        <f>SUM(E293:E344)</f>
        <v>#REF!</v>
      </c>
      <c r="F345" s="411" t="e">
        <f>SUM(F293:F344)</f>
        <v>#REF!</v>
      </c>
      <c r="G345" s="415"/>
      <c r="H345" s="404"/>
      <c r="I345" s="404"/>
      <c r="J345" s="404"/>
      <c r="K345" s="404"/>
    </row>
    <row r="346" spans="2:11" s="112" customFormat="1" x14ac:dyDescent="0.25"/>
    <row r="347" spans="2:11" s="112" customFormat="1" ht="14.45" customHeight="1" x14ac:dyDescent="0.4">
      <c r="B347" s="428"/>
      <c r="C347" s="512" t="s">
        <v>684</v>
      </c>
      <c r="D347" s="512"/>
      <c r="E347" s="512"/>
      <c r="F347" s="512"/>
      <c r="G347" s="512"/>
    </row>
    <row r="348" spans="2:11" s="112" customFormat="1" ht="14.45" customHeight="1" x14ac:dyDescent="0.4">
      <c r="B348" s="428"/>
      <c r="C348" s="512"/>
      <c r="D348" s="512"/>
      <c r="E348" s="512"/>
      <c r="F348" s="512"/>
      <c r="G348" s="512"/>
    </row>
    <row r="349" spans="2:11" s="112" customFormat="1" ht="15.75" thickBot="1" x14ac:dyDescent="0.3"/>
    <row r="350" spans="2:11" s="112" customFormat="1" ht="36.75" thickBot="1" x14ac:dyDescent="0.3">
      <c r="B350" s="369" t="s">
        <v>383</v>
      </c>
      <c r="C350" s="369" t="s">
        <v>384</v>
      </c>
      <c r="D350" s="369" t="s">
        <v>385</v>
      </c>
      <c r="E350" s="369" t="s">
        <v>386</v>
      </c>
      <c r="F350" s="369" t="s">
        <v>689</v>
      </c>
      <c r="G350" s="369" t="s">
        <v>690</v>
      </c>
    </row>
    <row r="351" spans="2:11" s="112" customFormat="1" ht="15.75" thickBot="1" x14ac:dyDescent="0.3">
      <c r="B351" s="364" t="str">
        <f>VALO_AMO!H4</f>
        <v>Apple MBA 13.6</v>
      </c>
      <c r="C351" s="365">
        <f>VALO_AMO!I4</f>
        <v>45405</v>
      </c>
      <c r="D351" s="366">
        <f>VALO_AMO!J4</f>
        <v>2165</v>
      </c>
      <c r="E351" s="367">
        <f>VALO_AMO!K4</f>
        <v>36</v>
      </c>
      <c r="F351" s="368">
        <f>VALO_AMO!N4</f>
        <v>0</v>
      </c>
      <c r="G351" s="368">
        <f>VALO_AMO!Q4</f>
        <v>0</v>
      </c>
    </row>
    <row r="352" spans="2:11" s="112" customFormat="1" ht="15.75" thickBot="1" x14ac:dyDescent="0.3">
      <c r="B352" s="364" t="str">
        <f>VALO_AMO!H5</f>
        <v>Apple MBA 13.6</v>
      </c>
      <c r="C352" s="365">
        <f>VALO_AMO!I5</f>
        <v>45292</v>
      </c>
      <c r="D352" s="366">
        <f>VALO_AMO!J5</f>
        <v>2165</v>
      </c>
      <c r="E352" s="367">
        <f>VALO_AMO!K5</f>
        <v>36</v>
      </c>
      <c r="F352" s="368">
        <f>VALO_AMO!N5</f>
        <v>0</v>
      </c>
      <c r="G352" s="368">
        <f>VALO_AMO!Q5</f>
        <v>0</v>
      </c>
    </row>
    <row r="353" spans="2:21" s="112" customFormat="1" ht="15.75" thickBot="1" x14ac:dyDescent="0.3">
      <c r="B353" s="364" t="str">
        <f>VALO_AMO!H6</f>
        <v>MAC</v>
      </c>
      <c r="C353" s="365">
        <f>VALO_AMO!I6</f>
        <v>45282</v>
      </c>
      <c r="D353" s="366">
        <f>VALO_AMO!J6</f>
        <v>2165</v>
      </c>
      <c r="E353" s="367">
        <f>VALO_AMO!K6</f>
        <v>36</v>
      </c>
      <c r="F353" s="368">
        <f>VALO_AMO!N6</f>
        <v>0</v>
      </c>
      <c r="G353" s="368">
        <f>VALO_AMO!Q6</f>
        <v>0</v>
      </c>
    </row>
    <row r="354" spans="2:21" s="112" customFormat="1" ht="15.75" thickBot="1" x14ac:dyDescent="0.3">
      <c r="B354" s="364" t="str">
        <f>VALO_AMO!H7</f>
        <v>PC LENOVO</v>
      </c>
      <c r="C354" s="365">
        <f>VALO_AMO!I7</f>
        <v>45006</v>
      </c>
      <c r="D354" s="366">
        <f>VALO_AMO!J7</f>
        <v>1901.9</v>
      </c>
      <c r="E354" s="367">
        <f>VALO_AMO!K7</f>
        <v>36</v>
      </c>
      <c r="F354" s="368">
        <f>VALO_AMO!N7</f>
        <v>0</v>
      </c>
      <c r="G354" s="368">
        <f>VALO_AMO!Q7</f>
        <v>0</v>
      </c>
    </row>
    <row r="355" spans="2:21" s="112" customFormat="1" ht="15.75" thickBot="1" x14ac:dyDescent="0.3">
      <c r="B355" s="364" t="str">
        <f>VALO_AMO!H8</f>
        <v>Apple MBA 14</v>
      </c>
      <c r="C355" s="365">
        <f>VALO_AMO!I8</f>
        <v>45560</v>
      </c>
      <c r="D355" s="366">
        <f>VALO_AMO!J8</f>
        <v>1765.83</v>
      </c>
      <c r="E355" s="367">
        <f>VALO_AMO!K8</f>
        <v>36</v>
      </c>
      <c r="F355" s="368">
        <f>VALO_AMO!N8</f>
        <v>0</v>
      </c>
      <c r="G355" s="368">
        <f>VALO_AMO!Q8</f>
        <v>0</v>
      </c>
    </row>
    <row r="356" spans="2:21" s="112" customFormat="1" ht="15.75" thickBot="1" x14ac:dyDescent="0.3">
      <c r="B356" s="364" t="str">
        <f>VALO_AMO!H9</f>
        <v>Ordinateur</v>
      </c>
      <c r="C356" s="365">
        <f>VALO_AMO!I9</f>
        <v>45006</v>
      </c>
      <c r="D356" s="366">
        <f>VALO_AMO!J9</f>
        <v>1382.5</v>
      </c>
      <c r="E356" s="367">
        <f>VALO_AMO!K9</f>
        <v>36</v>
      </c>
      <c r="F356" s="368">
        <f>VALO_AMO!N9</f>
        <v>0</v>
      </c>
      <c r="G356" s="368">
        <f>VALO_AMO!Q9</f>
        <v>0</v>
      </c>
    </row>
    <row r="357" spans="2:21" s="112" customFormat="1" ht="15.75" thickBot="1" x14ac:dyDescent="0.3">
      <c r="B357" s="364" t="str">
        <f>VALO_AMO!H10</f>
        <v>Ordinateurs et accesoire</v>
      </c>
      <c r="C357" s="365">
        <f>VALO_AMO!I10</f>
        <v>45072</v>
      </c>
      <c r="D357" s="366">
        <f>VALO_AMO!J10</f>
        <v>2135.79</v>
      </c>
      <c r="E357" s="367">
        <f>VALO_AMO!K10</f>
        <v>60</v>
      </c>
      <c r="F357" s="368">
        <f>VALO_AMO!N10</f>
        <v>0</v>
      </c>
      <c r="G357" s="368">
        <f>VALO_AMO!Q10</f>
        <v>0</v>
      </c>
    </row>
    <row r="358" spans="2:21" s="112" customFormat="1" ht="15.75" thickBot="1" x14ac:dyDescent="0.3">
      <c r="B358" s="364">
        <f>VALO_AMO!H11</f>
        <v>0</v>
      </c>
      <c r="C358" s="365">
        <f>VALO_AMO!I11</f>
        <v>0</v>
      </c>
      <c r="D358" s="366">
        <f>VALO_AMO!J11</f>
        <v>0</v>
      </c>
      <c r="E358" s="367">
        <f>VALO_AMO!K11</f>
        <v>0</v>
      </c>
      <c r="F358" s="368" t="str">
        <f>VALO_AMO!N11</f>
        <v>à définir</v>
      </c>
      <c r="G358" s="368">
        <f>VALO_AMO!Q11</f>
        <v>0</v>
      </c>
    </row>
    <row r="359" spans="2:21" s="112" customFormat="1" ht="15.75" thickBot="1" x14ac:dyDescent="0.3">
      <c r="B359" s="364">
        <f>VALO_AMO!H12</f>
        <v>0</v>
      </c>
      <c r="C359" s="365">
        <f>VALO_AMO!I12</f>
        <v>0</v>
      </c>
      <c r="D359" s="366">
        <f>VALO_AMO!J12</f>
        <v>0</v>
      </c>
      <c r="E359" s="367">
        <f>VALO_AMO!K12</f>
        <v>0</v>
      </c>
      <c r="F359" s="368" t="str">
        <f>VALO_AMO!N12</f>
        <v>à définir</v>
      </c>
      <c r="G359" s="368">
        <f>VALO_AMO!Q12</f>
        <v>0</v>
      </c>
    </row>
    <row r="360" spans="2:21" s="112" customFormat="1" ht="15.75" thickBot="1" x14ac:dyDescent="0.3">
      <c r="B360" s="364">
        <f>VALO_AMO!H13</f>
        <v>0</v>
      </c>
      <c r="C360" s="365">
        <f>VALO_AMO!I13</f>
        <v>0</v>
      </c>
      <c r="D360" s="366">
        <f>VALO_AMO!J13</f>
        <v>0</v>
      </c>
      <c r="E360" s="367">
        <f>VALO_AMO!K13</f>
        <v>0</v>
      </c>
      <c r="F360" s="368" t="str">
        <f>VALO_AMO!N13</f>
        <v>à définir</v>
      </c>
      <c r="G360" s="368">
        <f>VALO_AMO!Q13</f>
        <v>0</v>
      </c>
    </row>
    <row r="361" spans="2:21" s="112" customFormat="1" ht="15.75" thickBot="1" x14ac:dyDescent="0.3">
      <c r="B361" s="364">
        <f>VALO_AMO!H14</f>
        <v>0</v>
      </c>
      <c r="C361" s="365">
        <f>VALO_AMO!I14</f>
        <v>0</v>
      </c>
      <c r="D361" s="366">
        <f>VALO_AMO!J14</f>
        <v>0</v>
      </c>
      <c r="E361" s="367">
        <f>VALO_AMO!K14</f>
        <v>0</v>
      </c>
      <c r="F361" s="368" t="str">
        <f>VALO_AMO!N14</f>
        <v>à définir</v>
      </c>
      <c r="G361" s="368">
        <f>VALO_AMO!Q14</f>
        <v>0</v>
      </c>
    </row>
    <row r="362" spans="2:21" s="112" customFormat="1" ht="15.75" thickBot="1" x14ac:dyDescent="0.3">
      <c r="B362" s="364">
        <f>VALO_AMO!H15</f>
        <v>0</v>
      </c>
      <c r="C362" s="365">
        <f>VALO_AMO!I15</f>
        <v>0</v>
      </c>
      <c r="D362" s="366">
        <f>VALO_AMO!J15</f>
        <v>0</v>
      </c>
      <c r="E362" s="367">
        <f>VALO_AMO!K15</f>
        <v>0</v>
      </c>
      <c r="F362" s="368" t="str">
        <f>VALO_AMO!N15</f>
        <v>à définir</v>
      </c>
      <c r="G362" s="368">
        <f>VALO_AMO!Q15</f>
        <v>0</v>
      </c>
    </row>
    <row r="363" spans="2:21" s="112" customFormat="1" ht="15.75" thickBot="1" x14ac:dyDescent="0.3">
      <c r="B363" s="364">
        <f>VALO_AMO!H16</f>
        <v>0</v>
      </c>
      <c r="C363" s="365">
        <f>VALO_AMO!I16</f>
        <v>0</v>
      </c>
      <c r="D363" s="366">
        <f>VALO_AMO!J16</f>
        <v>0</v>
      </c>
      <c r="E363" s="367">
        <f>VALO_AMO!K16</f>
        <v>0</v>
      </c>
      <c r="F363" s="368" t="str">
        <f>VALO_AMO!N16</f>
        <v>à définir</v>
      </c>
      <c r="G363" s="368">
        <f>VALO_AMO!Q16</f>
        <v>0</v>
      </c>
    </row>
    <row r="364" spans="2:21" s="112" customFormat="1" ht="15.75" thickBot="1" x14ac:dyDescent="0.3">
      <c r="B364" s="364">
        <f>VALO_AMO!H17</f>
        <v>0</v>
      </c>
      <c r="C364" s="365">
        <f>VALO_AMO!I17</f>
        <v>0</v>
      </c>
      <c r="D364" s="366">
        <f>VALO_AMO!J17</f>
        <v>0</v>
      </c>
      <c r="E364" s="367">
        <f>VALO_AMO!K17</f>
        <v>0</v>
      </c>
      <c r="F364" s="368" t="str">
        <f>VALO_AMO!N17</f>
        <v>à définir</v>
      </c>
      <c r="G364" s="368">
        <f>VALO_AMO!Q17</f>
        <v>0</v>
      </c>
    </row>
    <row r="365" spans="2:21" s="112" customFormat="1" ht="15.75" thickBot="1" x14ac:dyDescent="0.3">
      <c r="B365" s="364">
        <f>VALO_AMO!H18</f>
        <v>0</v>
      </c>
      <c r="C365" s="365">
        <f>VALO_AMO!I18</f>
        <v>0</v>
      </c>
      <c r="D365" s="366">
        <f>VALO_AMO!J18</f>
        <v>0</v>
      </c>
      <c r="E365" s="367">
        <f>VALO_AMO!K18</f>
        <v>0</v>
      </c>
      <c r="F365" s="368" t="str">
        <f>VALO_AMO!N18</f>
        <v>à définir</v>
      </c>
      <c r="G365" s="368">
        <f>VALO_AMO!Q18</f>
        <v>0</v>
      </c>
    </row>
    <row r="366" spans="2:21" s="112" customFormat="1" x14ac:dyDescent="0.25"/>
    <row r="367" spans="2:21" s="112" customFormat="1" ht="15.75" thickBot="1" x14ac:dyDescent="0.3"/>
    <row r="368" spans="2:21" s="112" customFormat="1" ht="24.75" thickBot="1" x14ac:dyDescent="0.3">
      <c r="B368" s="405" t="s">
        <v>774</v>
      </c>
      <c r="C368" s="405" t="s">
        <v>775</v>
      </c>
      <c r="D368" s="405" t="s">
        <v>776</v>
      </c>
      <c r="E368" s="405" t="s">
        <v>812</v>
      </c>
      <c r="F368" s="405" t="s">
        <v>777</v>
      </c>
      <c r="G368" s="405" t="s">
        <v>778</v>
      </c>
      <c r="H368" s="405" t="s">
        <v>393</v>
      </c>
      <c r="I368" s="405" t="s">
        <v>779</v>
      </c>
      <c r="J368" s="405" t="s">
        <v>780</v>
      </c>
      <c r="K368" s="405" t="s">
        <v>781</v>
      </c>
      <c r="L368" s="405" t="s">
        <v>782</v>
      </c>
      <c r="M368" s="405" t="s">
        <v>783</v>
      </c>
      <c r="N368" s="405" t="s">
        <v>784</v>
      </c>
      <c r="O368" s="405" t="s">
        <v>785</v>
      </c>
      <c r="P368" s="405" t="s">
        <v>786</v>
      </c>
      <c r="Q368" s="405" t="s">
        <v>787</v>
      </c>
      <c r="R368" s="405" t="s">
        <v>788</v>
      </c>
      <c r="S368" s="405" t="s">
        <v>789</v>
      </c>
      <c r="T368" s="405" t="s">
        <v>790</v>
      </c>
      <c r="U368" s="405" t="s">
        <v>791</v>
      </c>
    </row>
    <row r="369" spans="2:21" s="112" customFormat="1" ht="15.75" thickBot="1" x14ac:dyDescent="0.3">
      <c r="B369" s="391"/>
      <c r="C369" s="364">
        <f>VALO_AMO!G4</f>
        <v>58</v>
      </c>
      <c r="D369" s="364" t="str">
        <f>VALO_AMO!H4</f>
        <v>Apple MBA 13.6</v>
      </c>
      <c r="E369" s="364" t="e" cm="1">
        <f t="array" ref="E369">_xlfn.IFS(B369=205,"Concessions et droits similaires, brevets, licences, marques, procédés, logiciels, droits et valeurs similaires",B369=215,"Installations techniques et outillages industriels",B369=2183,"Matériel de bureau et matériel informatique",B369=2131,"Bâtiments",B369=612,"Redevance de crédit-bail")</f>
        <v>#N/A</v>
      </c>
      <c r="F369" s="365">
        <f>VALO_AMO!I4</f>
        <v>45405</v>
      </c>
      <c r="G369" s="365">
        <f t="shared" ref="G369:G377" si="450">F369</f>
        <v>45405</v>
      </c>
      <c r="H369" s="364">
        <f>VALO_AMO!J4</f>
        <v>2165</v>
      </c>
      <c r="I369" s="364" t="s">
        <v>792</v>
      </c>
      <c r="J369" s="364">
        <f>VALO_AMO!K4</f>
        <v>36</v>
      </c>
      <c r="K369" s="364"/>
      <c r="L369" s="364"/>
      <c r="M369" s="364"/>
      <c r="N369" s="364"/>
      <c r="O369" s="364"/>
      <c r="P369" s="364"/>
      <c r="Q369" s="364">
        <f>VALO_AMO!L4</f>
        <v>721.67</v>
      </c>
      <c r="R369" s="401">
        <f>VALO_AMO!N4</f>
        <v>0</v>
      </c>
      <c r="S369" s="364">
        <f>VALO_AMO!Q4</f>
        <v>0</v>
      </c>
      <c r="T369" s="364">
        <f t="shared" ref="T369:T377" si="451">L369+Q369</f>
        <v>721.67</v>
      </c>
      <c r="U369" s="364">
        <f t="shared" ref="U369:U377" si="452">H369-Q369-L369</f>
        <v>1443.33</v>
      </c>
    </row>
    <row r="370" spans="2:21" s="112" customFormat="1" ht="15.75" thickBot="1" x14ac:dyDescent="0.3">
      <c r="B370" s="391"/>
      <c r="C370" s="364">
        <f>VALO_AMO!G5</f>
        <v>59</v>
      </c>
      <c r="D370" s="364" t="str">
        <f>VALO_AMO!H5</f>
        <v>Apple MBA 13.6</v>
      </c>
      <c r="E370" s="364" t="e" cm="1">
        <f t="array" ref="E370">_xlfn.IFS(B370=205,"Concessions et droits similaires, brevets, licences, marques, procédés, logiciels, droits et valeurs similaires",B370=215,"Installations techniques et outillages industriels",B370=2183,"Matériel de bureau et matériel informatique",B370=2131,"Bâtiments",B370=612,"Redevance de crédit-bail")</f>
        <v>#N/A</v>
      </c>
      <c r="F370" s="365">
        <f>VALO_AMO!I5</f>
        <v>45292</v>
      </c>
      <c r="G370" s="365">
        <f t="shared" si="450"/>
        <v>45292</v>
      </c>
      <c r="H370" s="364">
        <f>VALO_AMO!J5</f>
        <v>2165</v>
      </c>
      <c r="I370" s="364" t="s">
        <v>792</v>
      </c>
      <c r="J370" s="364">
        <f>VALO_AMO!K5</f>
        <v>36</v>
      </c>
      <c r="K370" s="364"/>
      <c r="L370" s="364"/>
      <c r="M370" s="364"/>
      <c r="N370" s="364"/>
      <c r="O370" s="364"/>
      <c r="P370" s="364"/>
      <c r="Q370" s="364">
        <f>VALO_AMO!L5</f>
        <v>721.67</v>
      </c>
      <c r="R370" s="401">
        <f>VALO_AMO!N5</f>
        <v>0</v>
      </c>
      <c r="S370" s="364">
        <f>VALO_AMO!Q5</f>
        <v>0</v>
      </c>
      <c r="T370" s="364">
        <f t="shared" si="451"/>
        <v>721.67</v>
      </c>
      <c r="U370" s="364">
        <f t="shared" si="452"/>
        <v>1443.33</v>
      </c>
    </row>
    <row r="371" spans="2:21" s="112" customFormat="1" ht="15.75" thickBot="1" x14ac:dyDescent="0.3">
      <c r="B371" s="391"/>
      <c r="C371" s="364">
        <f>VALO_AMO!G6</f>
        <v>66</v>
      </c>
      <c r="D371" s="364" t="str">
        <f>VALO_AMO!H6</f>
        <v>MAC</v>
      </c>
      <c r="E371" s="364" t="e" cm="1">
        <f t="array" ref="E371">_xlfn.IFS(B371=205,"Concessions et droits similaires, brevets, licences, marques, procédés, logiciels, droits et valeurs similaires",B371=215,"Installations techniques et outillages industriels",B371=2183,"Matériel de bureau et matériel informatique",B371=2131,"Bâtiments",B371=612,"Redevance de crédit-bail")</f>
        <v>#N/A</v>
      </c>
      <c r="F371" s="365">
        <f>VALO_AMO!I6</f>
        <v>45282</v>
      </c>
      <c r="G371" s="365">
        <f t="shared" si="450"/>
        <v>45282</v>
      </c>
      <c r="H371" s="364">
        <f>VALO_AMO!J6</f>
        <v>2165</v>
      </c>
      <c r="I371" s="364" t="s">
        <v>792</v>
      </c>
      <c r="J371" s="364">
        <f>VALO_AMO!K6</f>
        <v>36</v>
      </c>
      <c r="K371" s="364"/>
      <c r="L371" s="364"/>
      <c r="M371" s="364"/>
      <c r="N371" s="364"/>
      <c r="O371" s="364"/>
      <c r="P371" s="364"/>
      <c r="Q371" s="364">
        <f>VALO_AMO!L6</f>
        <v>721.67</v>
      </c>
      <c r="R371" s="401">
        <f>VALO_AMO!N6</f>
        <v>0</v>
      </c>
      <c r="S371" s="364">
        <f>VALO_AMO!Q6</f>
        <v>0</v>
      </c>
      <c r="T371" s="364">
        <f t="shared" si="451"/>
        <v>721.67</v>
      </c>
      <c r="U371" s="364">
        <f t="shared" si="452"/>
        <v>1443.33</v>
      </c>
    </row>
    <row r="372" spans="2:21" s="112" customFormat="1" ht="15.75" thickBot="1" x14ac:dyDescent="0.3">
      <c r="B372" s="391"/>
      <c r="C372" s="364">
        <f>VALO_AMO!G7</f>
        <v>71</v>
      </c>
      <c r="D372" s="364" t="str">
        <f>VALO_AMO!H7</f>
        <v>PC LENOVO</v>
      </c>
      <c r="E372" s="364" t="e" cm="1">
        <f t="array" ref="E372">_xlfn.IFS(B372=205,"Concessions et droits similaires, brevets, licences, marques, procédés, logiciels, droits et valeurs similaires",B372=215,"Installations techniques et outillages industriels",B372=2183,"Matériel de bureau et matériel informatique",B372=2131,"Bâtiments",B372=612,"Redevance de crédit-bail")</f>
        <v>#N/A</v>
      </c>
      <c r="F372" s="365">
        <f>VALO_AMO!I7</f>
        <v>45006</v>
      </c>
      <c r="G372" s="365">
        <f t="shared" si="450"/>
        <v>45006</v>
      </c>
      <c r="H372" s="364">
        <f>VALO_AMO!J7</f>
        <v>1901.9</v>
      </c>
      <c r="I372" s="364" t="s">
        <v>792</v>
      </c>
      <c r="J372" s="364">
        <f>VALO_AMO!K7</f>
        <v>36</v>
      </c>
      <c r="K372" s="364"/>
      <c r="L372" s="364"/>
      <c r="M372" s="364"/>
      <c r="N372" s="364"/>
      <c r="O372" s="364"/>
      <c r="P372" s="364"/>
      <c r="Q372" s="364">
        <f>VALO_AMO!L7</f>
        <v>633.97</v>
      </c>
      <c r="R372" s="401">
        <f>VALO_AMO!N7</f>
        <v>0</v>
      </c>
      <c r="S372" s="364">
        <f>VALO_AMO!Q7</f>
        <v>0</v>
      </c>
      <c r="T372" s="364">
        <f t="shared" si="451"/>
        <v>633.97</v>
      </c>
      <c r="U372" s="364">
        <f t="shared" si="452"/>
        <v>1267.93</v>
      </c>
    </row>
    <row r="373" spans="2:21" s="112" customFormat="1" ht="15.75" thickBot="1" x14ac:dyDescent="0.3">
      <c r="B373" s="391"/>
      <c r="C373" s="364">
        <f>VALO_AMO!G8</f>
        <v>60</v>
      </c>
      <c r="D373" s="364" t="str">
        <f>VALO_AMO!H8</f>
        <v>Apple MBA 14</v>
      </c>
      <c r="E373" s="364" t="e" cm="1">
        <f t="array" ref="E373">_xlfn.IFS(B373=205,"Concessions et droits similaires, brevets, licences, marques, procédés, logiciels, droits et valeurs similaires",B373=215,"Installations techniques et outillages industriels",B373=2183,"Matériel de bureau et matériel informatique",B373=2131,"Bâtiments",B373=612,"Redevance de crédit-bail")</f>
        <v>#N/A</v>
      </c>
      <c r="F373" s="365">
        <f>VALO_AMO!I8</f>
        <v>45560</v>
      </c>
      <c r="G373" s="365">
        <f t="shared" si="450"/>
        <v>45560</v>
      </c>
      <c r="H373" s="364">
        <f>VALO_AMO!J8</f>
        <v>1765.83</v>
      </c>
      <c r="I373" s="364" t="s">
        <v>792</v>
      </c>
      <c r="J373" s="364">
        <f>VALO_AMO!K8</f>
        <v>36</v>
      </c>
      <c r="K373" s="364"/>
      <c r="L373" s="364"/>
      <c r="M373" s="364"/>
      <c r="N373" s="364"/>
      <c r="O373" s="364"/>
      <c r="P373" s="364"/>
      <c r="Q373" s="364">
        <f>VALO_AMO!L8</f>
        <v>588.61</v>
      </c>
      <c r="R373" s="401">
        <f>VALO_AMO!N8</f>
        <v>0</v>
      </c>
      <c r="S373" s="364">
        <f>VALO_AMO!Q8</f>
        <v>0</v>
      </c>
      <c r="T373" s="364">
        <f t="shared" si="451"/>
        <v>588.61</v>
      </c>
      <c r="U373" s="364">
        <f t="shared" si="452"/>
        <v>1177.2199999999998</v>
      </c>
    </row>
    <row r="374" spans="2:21" s="112" customFormat="1" ht="15.75" thickBot="1" x14ac:dyDescent="0.3">
      <c r="B374" s="391"/>
      <c r="C374" s="364">
        <f>VALO_AMO!G9</f>
        <v>67</v>
      </c>
      <c r="D374" s="364" t="str">
        <f>VALO_AMO!H9</f>
        <v>Ordinateur</v>
      </c>
      <c r="E374" s="364" t="e" cm="1">
        <f t="array" ref="E374">_xlfn.IFS(B374=205,"Concessions et droits similaires, brevets, licences, marques, procédés, logiciels, droits et valeurs similaires",B374=215,"Installations techniques et outillages industriels",B374=2183,"Matériel de bureau et matériel informatique",B374=2131,"Bâtiments",B374=612,"Redevance de crédit-bail")</f>
        <v>#N/A</v>
      </c>
      <c r="F374" s="365">
        <f>VALO_AMO!I9</f>
        <v>45006</v>
      </c>
      <c r="G374" s="365">
        <f t="shared" si="450"/>
        <v>45006</v>
      </c>
      <c r="H374" s="364">
        <f>VALO_AMO!J9</f>
        <v>1382.5</v>
      </c>
      <c r="I374" s="364" t="s">
        <v>792</v>
      </c>
      <c r="J374" s="364">
        <f>VALO_AMO!K9</f>
        <v>36</v>
      </c>
      <c r="K374" s="364"/>
      <c r="L374" s="364"/>
      <c r="M374" s="364"/>
      <c r="N374" s="364"/>
      <c r="O374" s="364"/>
      <c r="P374" s="364"/>
      <c r="Q374" s="364">
        <f>VALO_AMO!L9</f>
        <v>460.83</v>
      </c>
      <c r="R374" s="401">
        <f>VALO_AMO!N9</f>
        <v>0</v>
      </c>
      <c r="S374" s="364">
        <f>VALO_AMO!Q9</f>
        <v>0</v>
      </c>
      <c r="T374" s="364">
        <f t="shared" si="451"/>
        <v>460.83</v>
      </c>
      <c r="U374" s="364">
        <f t="shared" si="452"/>
        <v>921.67000000000007</v>
      </c>
    </row>
    <row r="375" spans="2:21" s="112" customFormat="1" ht="15.75" thickBot="1" x14ac:dyDescent="0.3">
      <c r="B375" s="391"/>
      <c r="C375" s="364">
        <f>VALO_AMO!G10</f>
        <v>69</v>
      </c>
      <c r="D375" s="364" t="str">
        <f>VALO_AMO!H10</f>
        <v>Ordinateurs et accesoire</v>
      </c>
      <c r="E375" s="364" t="e" cm="1">
        <f t="array" ref="E375">_xlfn.IFS(B375=205,"Concessions et droits similaires, brevets, licences, marques, procédés, logiciels, droits et valeurs similaires",B375=215,"Installations techniques et outillages industriels",B375=2183,"Matériel de bureau et matériel informatique",B375=2131,"Bâtiments",B375=612,"Redevance de crédit-bail")</f>
        <v>#N/A</v>
      </c>
      <c r="F375" s="365">
        <f>VALO_AMO!I10</f>
        <v>45072</v>
      </c>
      <c r="G375" s="365">
        <f t="shared" si="450"/>
        <v>45072</v>
      </c>
      <c r="H375" s="364">
        <f>VALO_AMO!J10</f>
        <v>2135.79</v>
      </c>
      <c r="I375" s="364" t="s">
        <v>792</v>
      </c>
      <c r="J375" s="364">
        <f>VALO_AMO!K10</f>
        <v>60</v>
      </c>
      <c r="K375" s="364"/>
      <c r="L375" s="364"/>
      <c r="M375" s="364"/>
      <c r="N375" s="364"/>
      <c r="O375" s="364"/>
      <c r="P375" s="364"/>
      <c r="Q375" s="364">
        <f>VALO_AMO!L10</f>
        <v>427.16</v>
      </c>
      <c r="R375" s="401">
        <f>VALO_AMO!N10</f>
        <v>0</v>
      </c>
      <c r="S375" s="364">
        <f>VALO_AMO!Q10</f>
        <v>0</v>
      </c>
      <c r="T375" s="364">
        <f t="shared" si="451"/>
        <v>427.16</v>
      </c>
      <c r="U375" s="364">
        <f t="shared" si="452"/>
        <v>1708.6299999999999</v>
      </c>
    </row>
    <row r="376" spans="2:21" s="112" customFormat="1" ht="15.75" thickBot="1" x14ac:dyDescent="0.3">
      <c r="B376" s="391"/>
      <c r="C376" s="364">
        <f>VALO_AMO!G11</f>
        <v>0</v>
      </c>
      <c r="D376" s="364">
        <f>VALO_AMO!H11</f>
        <v>0</v>
      </c>
      <c r="E376" s="364" t="e" cm="1">
        <f t="array" ref="E376">_xlfn.IFS(B376=205,"Concessions et droits similaires, brevets, licences, marques, procédés, logiciels, droits et valeurs similaires",B376=215,"Installations techniques et outillages industriels",B376=2183,"Matériel de bureau et matériel informatique",B376=2131,"Bâtiments",B376=612,"Redevance de crédit-bail")</f>
        <v>#N/A</v>
      </c>
      <c r="F376" s="365">
        <f>VALO_AMO!I11</f>
        <v>0</v>
      </c>
      <c r="G376" s="365">
        <f t="shared" si="450"/>
        <v>0</v>
      </c>
      <c r="H376" s="364">
        <f>VALO_AMO!J11</f>
        <v>0</v>
      </c>
      <c r="I376" s="364" t="s">
        <v>792</v>
      </c>
      <c r="J376" s="364">
        <f>VALO_AMO!K11</f>
        <v>0</v>
      </c>
      <c r="K376" s="364"/>
      <c r="L376" s="364"/>
      <c r="M376" s="364"/>
      <c r="N376" s="364"/>
      <c r="O376" s="364"/>
      <c r="P376" s="364"/>
      <c r="Q376" s="364">
        <f>VALO_AMO!L11</f>
        <v>0</v>
      </c>
      <c r="R376" s="401" t="str">
        <f>VALO_AMO!N11</f>
        <v>à définir</v>
      </c>
      <c r="S376" s="364">
        <f>VALO_AMO!Q11</f>
        <v>0</v>
      </c>
      <c r="T376" s="364">
        <f t="shared" si="451"/>
        <v>0</v>
      </c>
      <c r="U376" s="364">
        <f t="shared" si="452"/>
        <v>0</v>
      </c>
    </row>
    <row r="377" spans="2:21" s="112" customFormat="1" ht="15.75" thickBot="1" x14ac:dyDescent="0.3">
      <c r="B377" s="391"/>
      <c r="C377" s="364">
        <f>VALO_AMO!G12</f>
        <v>0</v>
      </c>
      <c r="D377" s="364">
        <f>VALO_AMO!H12</f>
        <v>0</v>
      </c>
      <c r="E377" s="364" t="e" cm="1">
        <f t="array" ref="E377">_xlfn.IFS(B377=205,"Concessions et droits similaires, brevets, licences, marques, procédés, logiciels, droits et valeurs similaires",B377=215,"Installations techniques et outillages industriels",B377=2183,"Matériel de bureau et matériel informatique",B377=2131,"Bâtiments",B377=612,"Redevance de crédit-bail")</f>
        <v>#N/A</v>
      </c>
      <c r="F377" s="365">
        <f>VALO_AMO!I12</f>
        <v>0</v>
      </c>
      <c r="G377" s="365">
        <f t="shared" si="450"/>
        <v>0</v>
      </c>
      <c r="H377" s="364">
        <f>VALO_AMO!J12</f>
        <v>0</v>
      </c>
      <c r="I377" s="364" t="s">
        <v>792</v>
      </c>
      <c r="J377" s="364">
        <f>VALO_AMO!K12</f>
        <v>0</v>
      </c>
      <c r="K377" s="364"/>
      <c r="L377" s="364"/>
      <c r="M377" s="364"/>
      <c r="N377" s="364"/>
      <c r="O377" s="364"/>
      <c r="P377" s="364"/>
      <c r="Q377" s="364">
        <f>VALO_AMO!L12</f>
        <v>0</v>
      </c>
      <c r="R377" s="401" t="str">
        <f>VALO_AMO!N12</f>
        <v>à définir</v>
      </c>
      <c r="S377" s="364">
        <f>VALO_AMO!Q12</f>
        <v>0</v>
      </c>
      <c r="T377" s="364">
        <f t="shared" si="451"/>
        <v>0</v>
      </c>
      <c r="U377" s="364">
        <f t="shared" si="452"/>
        <v>0</v>
      </c>
    </row>
    <row r="378" spans="2:21" s="112" customFormat="1" ht="24.75" thickBot="1" x14ac:dyDescent="0.3">
      <c r="B378" s="387" t="s">
        <v>793</v>
      </c>
      <c r="C378" s="392"/>
      <c r="D378" s="392"/>
      <c r="E378" s="392"/>
      <c r="F378" s="393"/>
      <c r="G378" s="392"/>
      <c r="H378" s="392"/>
      <c r="I378" s="392"/>
      <c r="J378" s="392"/>
      <c r="K378" s="392"/>
      <c r="L378" s="392"/>
      <c r="M378" s="392"/>
      <c r="N378" s="392"/>
      <c r="O378" s="392"/>
      <c r="P378" s="392"/>
      <c r="Q378" s="392"/>
      <c r="R378" s="392"/>
      <c r="S378" s="392"/>
      <c r="T378" s="392"/>
      <c r="U378" s="392"/>
    </row>
    <row r="379" spans="2:21" s="112" customFormat="1" ht="15.75" thickBot="1" x14ac:dyDescent="0.3">
      <c r="B379" s="397"/>
      <c r="C379" s="397"/>
      <c r="D379" s="397"/>
      <c r="E379" s="397"/>
      <c r="F379" s="398"/>
      <c r="G379" s="397"/>
      <c r="H379" s="397"/>
      <c r="I379" s="397"/>
      <c r="J379" s="397"/>
      <c r="K379" s="397"/>
      <c r="L379" s="397"/>
      <c r="M379" s="397"/>
      <c r="N379" s="397"/>
      <c r="O379" s="397"/>
      <c r="P379" s="397"/>
      <c r="Q379" s="397"/>
      <c r="R379" s="397"/>
      <c r="S379" s="397"/>
      <c r="T379" s="397"/>
      <c r="U379" s="397"/>
    </row>
    <row r="380" spans="2:21" s="112" customFormat="1" ht="15.75" thickBot="1" x14ac:dyDescent="0.3">
      <c r="B380" s="397"/>
      <c r="C380" s="397"/>
      <c r="D380" s="397"/>
      <c r="E380" s="397"/>
      <c r="F380" s="398"/>
      <c r="G380" s="397"/>
      <c r="H380" s="397"/>
      <c r="I380" s="397"/>
      <c r="J380" s="397"/>
      <c r="K380" s="397"/>
      <c r="L380" s="397"/>
      <c r="M380" s="397"/>
      <c r="N380" s="397"/>
      <c r="O380" s="397"/>
      <c r="P380" s="397"/>
      <c r="Q380" s="397"/>
      <c r="R380" s="397"/>
      <c r="S380" s="397"/>
      <c r="T380" s="397"/>
      <c r="U380" s="397"/>
    </row>
    <row r="381" spans="2:21" s="112" customFormat="1" ht="15.75" thickBot="1" x14ac:dyDescent="0.3">
      <c r="B381" s="397"/>
      <c r="C381" s="397"/>
      <c r="D381" s="397"/>
      <c r="E381" s="397"/>
      <c r="F381" s="398"/>
      <c r="G381" s="397"/>
      <c r="H381" s="397"/>
      <c r="I381" s="397"/>
      <c r="J381" s="397"/>
      <c r="K381" s="397"/>
      <c r="L381" s="397"/>
      <c r="M381" s="397"/>
      <c r="N381" s="397"/>
      <c r="O381" s="397"/>
      <c r="P381" s="397"/>
      <c r="Q381" s="397"/>
      <c r="R381" s="397"/>
      <c r="S381" s="397"/>
      <c r="T381" s="397"/>
      <c r="U381" s="397"/>
    </row>
    <row r="382" spans="2:21" s="112" customFormat="1" ht="15.75" thickBot="1" x14ac:dyDescent="0.3">
      <c r="B382" s="397"/>
      <c r="C382" s="397"/>
      <c r="D382" s="397"/>
      <c r="E382" s="397"/>
      <c r="F382" s="398"/>
      <c r="G382" s="397"/>
      <c r="H382" s="397"/>
      <c r="I382" s="397"/>
      <c r="J382" s="397"/>
      <c r="K382" s="397"/>
      <c r="L382" s="397"/>
      <c r="M382" s="397"/>
      <c r="N382" s="397"/>
      <c r="O382" s="397"/>
      <c r="P382" s="397"/>
      <c r="Q382" s="397"/>
      <c r="R382" s="397"/>
      <c r="S382" s="397"/>
      <c r="T382" s="397"/>
      <c r="U382" s="397"/>
    </row>
    <row r="383" spans="2:21" s="112" customFormat="1" ht="15.75" thickBot="1" x14ac:dyDescent="0.3">
      <c r="B383" s="397"/>
      <c r="C383" s="397"/>
      <c r="D383" s="397"/>
      <c r="E383" s="397"/>
      <c r="F383" s="398"/>
      <c r="G383" s="397"/>
      <c r="H383" s="397"/>
      <c r="I383" s="397"/>
      <c r="J383" s="397"/>
      <c r="K383" s="397"/>
      <c r="L383" s="397"/>
      <c r="M383" s="397"/>
      <c r="N383" s="397"/>
      <c r="O383" s="397"/>
      <c r="P383" s="397"/>
      <c r="Q383" s="397"/>
      <c r="R383" s="397"/>
      <c r="S383" s="397"/>
      <c r="T383" s="397"/>
      <c r="U383" s="397"/>
    </row>
    <row r="384" spans="2:21" s="112" customFormat="1" ht="15.75" thickBot="1" x14ac:dyDescent="0.3">
      <c r="B384" s="397"/>
      <c r="C384" s="397"/>
      <c r="D384" s="397"/>
      <c r="E384" s="397"/>
      <c r="F384" s="398"/>
      <c r="G384" s="397"/>
      <c r="H384" s="397"/>
      <c r="I384" s="397"/>
      <c r="J384" s="397"/>
      <c r="K384" s="397"/>
      <c r="L384" s="397"/>
      <c r="M384" s="397"/>
      <c r="N384" s="397"/>
      <c r="O384" s="397"/>
      <c r="P384" s="397"/>
      <c r="Q384" s="397"/>
      <c r="R384" s="397"/>
      <c r="S384" s="397"/>
      <c r="T384" s="397"/>
      <c r="U384" s="397"/>
    </row>
    <row r="385" spans="2:23" s="112" customFormat="1" ht="15.75" thickBot="1" x14ac:dyDescent="0.3">
      <c r="D385" s="383"/>
      <c r="E385" s="383"/>
      <c r="F385" s="383"/>
      <c r="G385" s="383"/>
      <c r="H385" s="383">
        <f>SUM(H369:H384)</f>
        <v>13681.02</v>
      </c>
      <c r="I385" s="383"/>
      <c r="J385" s="383"/>
      <c r="K385" s="383"/>
      <c r="L385" s="383">
        <f>SUM(L369:L384)</f>
        <v>0</v>
      </c>
      <c r="M385" s="383">
        <f>SUM(M369:M384)</f>
        <v>0</v>
      </c>
      <c r="N385" s="383" t="e">
        <f>AVERAGE(N369:N384)</f>
        <v>#DIV/0!</v>
      </c>
      <c r="O385" s="383">
        <f>SUM(O369:O384)</f>
        <v>0</v>
      </c>
      <c r="P385" s="383"/>
      <c r="Q385" s="383">
        <f>SUM(Q369:Q384)</f>
        <v>4275.58</v>
      </c>
      <c r="R385" s="425">
        <f>AVERAGE(R369:R384)</f>
        <v>0</v>
      </c>
      <c r="S385" s="383">
        <f>SUM(S369:S384)</f>
        <v>0</v>
      </c>
      <c r="T385" s="383">
        <f t="shared" ref="T385:U385" si="453">SUM(T369:T384)</f>
        <v>4275.58</v>
      </c>
      <c r="U385" s="383">
        <f t="shared" si="453"/>
        <v>9405.4399999999987</v>
      </c>
      <c r="V385" s="424"/>
      <c r="W385" s="424"/>
    </row>
    <row r="386" spans="2:23" s="112" customFormat="1" ht="15.75" thickBot="1" x14ac:dyDescent="0.3"/>
    <row r="387" spans="2:23" s="112" customFormat="1" ht="57.75" thickBot="1" x14ac:dyDescent="0.3">
      <c r="B387" s="377" t="s">
        <v>713</v>
      </c>
      <c r="C387" s="378" t="s">
        <v>714</v>
      </c>
      <c r="D387" s="378" t="s">
        <v>715</v>
      </c>
      <c r="E387" s="378" t="s">
        <v>716</v>
      </c>
      <c r="F387" s="378" t="s">
        <v>690</v>
      </c>
      <c r="K387" s="112" t="s">
        <v>774</v>
      </c>
    </row>
    <row r="388" spans="2:23" s="112" customFormat="1" ht="43.5" thickBot="1" x14ac:dyDescent="0.3">
      <c r="B388" s="372" t="s">
        <v>723</v>
      </c>
      <c r="C388" s="373">
        <f>SUMIF(E369:E377,"Bâtiments",H369:H377)</f>
        <v>0</v>
      </c>
      <c r="D388" s="373">
        <f>SUMIF(E369:E377,"Bâtiments",Q369:Q377)</f>
        <v>0</v>
      </c>
      <c r="E388" s="373">
        <f>SUMIF(E369:E377,"Bâtiments",R369:R377)</f>
        <v>0</v>
      </c>
      <c r="F388" s="373">
        <f>SUMIF(E369:E377,"Bâtiments",S369:S377)</f>
        <v>0</v>
      </c>
      <c r="K388" s="112">
        <v>2131</v>
      </c>
    </row>
    <row r="389" spans="2:23" s="112" customFormat="1" ht="29.25" thickBot="1" x14ac:dyDescent="0.3">
      <c r="B389" s="372" t="s">
        <v>724</v>
      </c>
      <c r="C389" s="373">
        <f>C391+C393+C395+C397</f>
        <v>0</v>
      </c>
      <c r="D389" s="373">
        <f>D391+D393+D395+D397</f>
        <v>0</v>
      </c>
      <c r="E389" s="373">
        <f>(E390+E397)/2</f>
        <v>0</v>
      </c>
      <c r="F389" s="373">
        <f>F390+F397</f>
        <v>0</v>
      </c>
    </row>
    <row r="390" spans="2:23" s="112" customFormat="1" ht="43.5" thickBot="1" x14ac:dyDescent="0.3">
      <c r="B390" s="374" t="s">
        <v>727</v>
      </c>
      <c r="C390" s="373">
        <f>C391+C393+C395</f>
        <v>0</v>
      </c>
      <c r="D390" s="373">
        <f>D391+D393+D395</f>
        <v>0</v>
      </c>
      <c r="E390" s="373">
        <f>(E391+E393+E395)/3</f>
        <v>0</v>
      </c>
      <c r="F390" s="373">
        <f>(F391+F393+F395)</f>
        <v>0</v>
      </c>
    </row>
    <row r="391" spans="2:23" s="112" customFormat="1" ht="72.75" thickBot="1" x14ac:dyDescent="0.3">
      <c r="B391" s="374" t="s">
        <v>813</v>
      </c>
      <c r="C391" s="373">
        <f>SUMIF(E369:E377,"Concessions et droits similaires, brevets, licences, marques, procédés, logiciels, droits et valeurs similaires",H369:H377)</f>
        <v>0</v>
      </c>
      <c r="D391" s="373">
        <f>SUMIF(E369:E377,"Concessions et droits similaires, brevets, licences, marques, procédés, logiciels, droits et valeurs similaires",Q369:Q377)</f>
        <v>0</v>
      </c>
      <c r="E391" s="373">
        <f>SUMIF(E369:E377,"Concessions et droits similaires, brevets, licences, marques, procédés, logiciels, droits et valeurs similaires",R369:R377)</f>
        <v>0</v>
      </c>
      <c r="F391" s="373">
        <f>SUMIF(E369:E377,"Concessions et droits similaires, brevets, licences, marques, procédés, logiciels, droits et valeurs similaires",S369:S377)</f>
        <v>0</v>
      </c>
      <c r="K391" s="112">
        <v>205</v>
      </c>
    </row>
    <row r="392" spans="2:23" s="112" customFormat="1" ht="24.75" thickBot="1" x14ac:dyDescent="0.3">
      <c r="B392" s="375" t="s">
        <v>730</v>
      </c>
      <c r="C392" s="376">
        <f>SUMIFS(H369:H377,E369:E377,"Concessions et droits similaires, brevets, licences, marques, procédés, logiciels, droits et valeurs similaires",F369:F377,"&gt;=01/01/2024",F369:F377,"&lt;=31/12/2024")</f>
        <v>0</v>
      </c>
      <c r="D392" s="376">
        <f>SUMIFS(Q369:Q377,E369:E377,"Concessions et droits similaires, brevets, licences, marques, procédés, logiciels, droits et valeurs similaires",F369:F377,"&gt;=01/01/2024",F369:F377,"&lt;=31/12/2024")</f>
        <v>0</v>
      </c>
      <c r="E392" s="376">
        <f>SUMIFS(R369:R377,E369:E377,"Concessions et droits similaires, brevets, licences, marques, procédés, logiciels, droits et valeurs similaires",F369:F377,"&gt;=01/01/2024",F369:F377,"&lt;=31/12/2024")</f>
        <v>0</v>
      </c>
      <c r="F392" s="376">
        <f>SUMIFS(S369:S377,E369:E377,"Concessions et droits similaires, brevets, licences, marques, procédés, logiciels, droits et valeurs similaires",F369:F377,"&gt;=01/01/2024",F369:F377,"&lt;=31/12/2024")</f>
        <v>0</v>
      </c>
    </row>
    <row r="393" spans="2:23" s="112" customFormat="1" ht="48.75" thickBot="1" x14ac:dyDescent="0.3">
      <c r="B393" s="374" t="s">
        <v>814</v>
      </c>
      <c r="C393" s="373">
        <f>SUMIF(E369:E377,"Installations techniques et outillages industriels",H369:H377)</f>
        <v>0</v>
      </c>
      <c r="D393" s="373">
        <f>SUMIF(E369:E377,"Installations techniques et outillages industriels",Q369:Q377)</f>
        <v>0</v>
      </c>
      <c r="E393" s="373">
        <f>SUMIF(E369:E377,"Installations techniques et outillages industriels",R369:R377)</f>
        <v>0</v>
      </c>
      <c r="F393" s="373">
        <f>SUMIF(E369:E377,"Installations techniques et outillages industriels",S369:S377)</f>
        <v>0</v>
      </c>
      <c r="K393" s="112">
        <v>215</v>
      </c>
    </row>
    <row r="394" spans="2:23" s="112" customFormat="1" ht="24.75" thickBot="1" x14ac:dyDescent="0.3">
      <c r="B394" s="375" t="s">
        <v>730</v>
      </c>
      <c r="C394" s="376">
        <f>SUMIFS(H369:H377,E369:E377,"Installations techniques et outillages industriels",F369:F377,"&gt;=01/01/2024",F369:F377,"&lt;=31/12/2024")</f>
        <v>0</v>
      </c>
      <c r="D394" s="376">
        <f>SUMIFS(Q369:Q377,E369:E377,"Installations techniques et outillages industriels",F369:F377,"&gt;=01/01/2024",F369:F377,"&lt;=31/12/2024")</f>
        <v>0</v>
      </c>
      <c r="E394" s="376">
        <f>SUMIFS(R369:R377,E369:E377,"Installations techniques et outillages industriels",F369:F377,"&gt;=01/01/2024",F369:F377,"&lt;=31/12/2024")</f>
        <v>0</v>
      </c>
      <c r="F394" s="376">
        <f>SUMIFS(S369:S377,E369:E377,"Installations techniques et outillages industriels",F369:F377,"&gt;=01/01/2024",F369:F377,"&lt;=31/12/2024")</f>
        <v>0</v>
      </c>
    </row>
    <row r="395" spans="2:23" s="112" customFormat="1" ht="36.75" thickBot="1" x14ac:dyDescent="0.3">
      <c r="B395" s="374" t="s">
        <v>815</v>
      </c>
      <c r="C395" s="373">
        <f>SUMIF(E369:E377,"Matériel de bureau et matériel informatique",H369:H377)</f>
        <v>0</v>
      </c>
      <c r="D395" s="373">
        <f>SUMIF(E369:E377,"Matériel de bureau et matériel informatique",Q369:Q377)</f>
        <v>0</v>
      </c>
      <c r="E395" s="373">
        <f>SUMIF(E369:E377,"Matériel de bureau et matériel informatique",R369:R377)</f>
        <v>0</v>
      </c>
      <c r="F395" s="373">
        <f>SUMIF(E369:E377,"Matériel de bureau et matériel informatique",S369:S377)</f>
        <v>0</v>
      </c>
      <c r="K395" s="112">
        <v>2183</v>
      </c>
    </row>
    <row r="396" spans="2:23" s="112" customFormat="1" ht="24.75" thickBot="1" x14ac:dyDescent="0.3">
      <c r="B396" s="375" t="s">
        <v>730</v>
      </c>
      <c r="C396" s="376">
        <f>SUMIFS(H369:H377,E369:E377,"Matériel de bureau et matériel informatique",F369:F377,"&gt;=01/01/2024",F369:F377,"&lt;=31/12/2024")</f>
        <v>0</v>
      </c>
      <c r="D396" s="376">
        <f>SUMIFS(Q369:Q377,E369:E377,"Matériel de bureau et matériel informatique",F369:F377,"&gt;=01/01/2024",F369:F377,"&lt;=31/12/2024")</f>
        <v>0</v>
      </c>
      <c r="E396" s="376">
        <f>SUMIFS(R369:R377,E369:E377,"Matériel de bureau et matériel informatique",F369:F377,"&gt;=01/01/2024",F369:F377,"&lt;=31/12/2024")</f>
        <v>0</v>
      </c>
      <c r="F396" s="376">
        <f>SUMIFS(S369:S377,E369:E377,"Matériel de bureau et matériel informatique",F369:F377,"&gt;=01/01/2024",F369:F377,"&lt;=31/12/2024")</f>
        <v>0</v>
      </c>
    </row>
    <row r="397" spans="2:23" s="112" customFormat="1" ht="43.5" thickBot="1" x14ac:dyDescent="0.3">
      <c r="B397" s="374" t="s">
        <v>735</v>
      </c>
      <c r="C397" s="373">
        <f>SUMIF(E369:E377,"Redevance de crédit-bail",H369:H377)</f>
        <v>0</v>
      </c>
      <c r="D397" s="373">
        <f>SUMIF(E369:E377,"Redevance de crédit-bail",Q369:Q377)</f>
        <v>0</v>
      </c>
      <c r="E397" s="373">
        <f>SUMIF(E369:E377,"Redevance de crédit-bail",R369:R377)</f>
        <v>0</v>
      </c>
      <c r="F397" s="373">
        <f>SUMIF(E369:E377,"Redevance de crédit-bail",S369:S377)</f>
        <v>0</v>
      </c>
      <c r="K397" s="112">
        <v>612</v>
      </c>
    </row>
    <row r="398" spans="2:23" s="112" customFormat="1" x14ac:dyDescent="0.25"/>
    <row r="399" spans="2:23" s="112" customFormat="1" x14ac:dyDescent="0.25"/>
    <row r="400" spans="2:23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pans="5:5" s="112" customFormat="1" x14ac:dyDescent="0.25"/>
    <row r="434" spans="5:5" s="112" customFormat="1" x14ac:dyDescent="0.25"/>
    <row r="435" spans="5:5" s="112" customFormat="1" x14ac:dyDescent="0.25"/>
    <row r="436" spans="5:5" s="112" customFormat="1" x14ac:dyDescent="0.25"/>
    <row r="437" spans="5:5" s="112" customFormat="1" x14ac:dyDescent="0.25"/>
    <row r="438" spans="5:5" s="112" customFormat="1" x14ac:dyDescent="0.25"/>
    <row r="439" spans="5:5" s="112" customFormat="1" x14ac:dyDescent="0.25"/>
    <row r="440" spans="5:5" s="112" customFormat="1" x14ac:dyDescent="0.25"/>
    <row r="441" spans="5:5" s="112" customFormat="1" x14ac:dyDescent="0.25"/>
    <row r="442" spans="5:5" s="112" customFormat="1" x14ac:dyDescent="0.25"/>
    <row r="443" spans="5:5" s="112" customFormat="1" x14ac:dyDescent="0.25"/>
    <row r="444" spans="5:5" s="112" customFormat="1" x14ac:dyDescent="0.25"/>
    <row r="445" spans="5:5" s="112" customFormat="1" x14ac:dyDescent="0.25"/>
    <row r="446" spans="5:5" s="112" customFormat="1" x14ac:dyDescent="0.25">
      <c r="E446" s="308"/>
    </row>
    <row r="447" spans="5:5" s="112" customFormat="1" x14ac:dyDescent="0.25"/>
    <row r="448" spans="5:5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  <row r="487" s="112" customFormat="1" x14ac:dyDescent="0.25"/>
    <row r="488" s="112" customFormat="1" x14ac:dyDescent="0.25"/>
    <row r="489" s="112" customFormat="1" x14ac:dyDescent="0.25"/>
    <row r="490" s="112" customFormat="1" x14ac:dyDescent="0.25"/>
    <row r="491" s="112" customFormat="1" x14ac:dyDescent="0.25"/>
    <row r="492" s="112" customFormat="1" x14ac:dyDescent="0.25"/>
    <row r="493" s="112" customFormat="1" x14ac:dyDescent="0.25"/>
    <row r="494" s="112" customFormat="1" x14ac:dyDescent="0.25"/>
    <row r="495" s="112" customFormat="1" x14ac:dyDescent="0.25"/>
    <row r="496" s="112" customFormat="1" x14ac:dyDescent="0.25"/>
    <row r="497" s="112" customFormat="1" x14ac:dyDescent="0.25"/>
    <row r="498" s="112" customFormat="1" x14ac:dyDescent="0.25"/>
    <row r="499" s="112" customFormat="1" x14ac:dyDescent="0.25"/>
    <row r="500" s="112" customFormat="1" x14ac:dyDescent="0.25"/>
    <row r="501" s="112" customFormat="1" x14ac:dyDescent="0.25"/>
    <row r="502" s="112" customFormat="1" x14ac:dyDescent="0.25"/>
    <row r="503" s="112" customFormat="1" x14ac:dyDescent="0.25"/>
    <row r="504" s="112" customFormat="1" x14ac:dyDescent="0.25"/>
    <row r="505" s="112" customFormat="1" x14ac:dyDescent="0.25"/>
    <row r="506" s="112" customFormat="1" x14ac:dyDescent="0.25"/>
    <row r="507" s="112" customFormat="1" x14ac:dyDescent="0.25"/>
    <row r="508" s="112" customFormat="1" x14ac:dyDescent="0.25"/>
    <row r="509" s="112" customFormat="1" x14ac:dyDescent="0.25"/>
    <row r="510" s="112" customFormat="1" x14ac:dyDescent="0.25"/>
    <row r="511" s="112" customFormat="1" x14ac:dyDescent="0.25"/>
    <row r="512" s="112" customFormat="1" x14ac:dyDescent="0.25"/>
    <row r="513" s="112" customFormat="1" x14ac:dyDescent="0.25"/>
    <row r="514" s="112" customFormat="1" x14ac:dyDescent="0.25"/>
    <row r="515" s="112" customFormat="1" x14ac:dyDescent="0.25"/>
    <row r="516" s="112" customFormat="1" x14ac:dyDescent="0.25"/>
    <row r="517" s="112" customFormat="1" x14ac:dyDescent="0.25"/>
    <row r="518" s="112" customFormat="1" x14ac:dyDescent="0.25"/>
    <row r="519" s="112" customFormat="1" x14ac:dyDescent="0.25"/>
    <row r="520" s="112" customFormat="1" x14ac:dyDescent="0.25"/>
    <row r="521" s="112" customFormat="1" x14ac:dyDescent="0.25"/>
    <row r="522" s="112" customFormat="1" x14ac:dyDescent="0.25"/>
    <row r="523" s="112" customFormat="1" x14ac:dyDescent="0.25"/>
    <row r="524" s="112" customFormat="1" x14ac:dyDescent="0.25"/>
    <row r="525" s="112" customFormat="1" x14ac:dyDescent="0.25"/>
    <row r="526" s="112" customFormat="1" x14ac:dyDescent="0.25"/>
    <row r="527" s="112" customFormat="1" x14ac:dyDescent="0.25"/>
    <row r="528" s="112" customFormat="1" x14ac:dyDescent="0.25"/>
    <row r="529" s="112" customFormat="1" x14ac:dyDescent="0.25"/>
    <row r="530" s="112" customFormat="1" x14ac:dyDescent="0.25"/>
    <row r="531" s="112" customFormat="1" x14ac:dyDescent="0.25"/>
    <row r="532" s="112" customFormat="1" x14ac:dyDescent="0.25"/>
    <row r="533" s="112" customFormat="1" x14ac:dyDescent="0.25"/>
    <row r="534" s="112" customFormat="1" x14ac:dyDescent="0.25"/>
    <row r="535" s="112" customFormat="1" x14ac:dyDescent="0.25"/>
    <row r="536" s="112" customFormat="1" x14ac:dyDescent="0.25"/>
    <row r="537" s="112" customFormat="1" x14ac:dyDescent="0.25"/>
    <row r="538" s="112" customFormat="1" x14ac:dyDescent="0.25"/>
    <row r="539" s="112" customFormat="1" x14ac:dyDescent="0.25"/>
    <row r="540" s="112" customFormat="1" x14ac:dyDescent="0.25"/>
    <row r="541" s="112" customFormat="1" x14ac:dyDescent="0.25"/>
    <row r="542" s="112" customFormat="1" x14ac:dyDescent="0.25"/>
    <row r="543" s="112" customFormat="1" x14ac:dyDescent="0.25"/>
    <row r="544" s="112" customFormat="1" x14ac:dyDescent="0.25"/>
    <row r="545" s="112" customFormat="1" x14ac:dyDescent="0.25"/>
    <row r="546" s="112" customFormat="1" x14ac:dyDescent="0.25"/>
    <row r="547" s="112" customFormat="1" x14ac:dyDescent="0.25"/>
    <row r="548" s="112" customFormat="1" x14ac:dyDescent="0.25"/>
    <row r="549" s="112" customFormat="1" x14ac:dyDescent="0.25"/>
    <row r="550" s="112" customFormat="1" x14ac:dyDescent="0.25"/>
    <row r="551" s="112" customFormat="1" x14ac:dyDescent="0.25"/>
    <row r="552" s="112" customFormat="1" x14ac:dyDescent="0.25"/>
    <row r="553" s="112" customFormat="1" x14ac:dyDescent="0.25"/>
    <row r="554" s="112" customFormat="1" x14ac:dyDescent="0.25"/>
    <row r="555" s="112" customFormat="1" x14ac:dyDescent="0.25"/>
    <row r="556" s="112" customFormat="1" x14ac:dyDescent="0.25"/>
    <row r="557" s="112" customFormat="1" x14ac:dyDescent="0.25"/>
    <row r="558" s="112" customFormat="1" x14ac:dyDescent="0.25"/>
    <row r="559" s="112" customFormat="1" x14ac:dyDescent="0.25"/>
    <row r="560" s="112" customFormat="1" x14ac:dyDescent="0.25"/>
    <row r="561" s="112" customFormat="1" x14ac:dyDescent="0.25"/>
    <row r="562" s="112" customFormat="1" x14ac:dyDescent="0.25"/>
    <row r="563" s="112" customFormat="1" x14ac:dyDescent="0.25"/>
    <row r="564" s="112" customFormat="1" x14ac:dyDescent="0.25"/>
    <row r="565" s="112" customFormat="1" x14ac:dyDescent="0.25"/>
    <row r="566" s="112" customFormat="1" x14ac:dyDescent="0.25"/>
    <row r="567" s="112" customFormat="1" x14ac:dyDescent="0.25"/>
    <row r="568" s="112" customFormat="1" x14ac:dyDescent="0.25"/>
    <row r="569" s="112" customFormat="1" x14ac:dyDescent="0.25"/>
    <row r="570" s="112" customFormat="1" x14ac:dyDescent="0.25"/>
    <row r="571" s="112" customFormat="1" x14ac:dyDescent="0.25"/>
    <row r="572" s="112" customFormat="1" x14ac:dyDescent="0.25"/>
    <row r="573" s="112" customFormat="1" x14ac:dyDescent="0.25"/>
    <row r="574" s="112" customFormat="1" x14ac:dyDescent="0.25"/>
    <row r="575" s="112" customFormat="1" x14ac:dyDescent="0.25"/>
    <row r="576" s="112" customFormat="1" x14ac:dyDescent="0.25"/>
    <row r="577" s="112" customFormat="1" x14ac:dyDescent="0.25"/>
    <row r="578" s="112" customFormat="1" x14ac:dyDescent="0.25"/>
    <row r="579" s="112" customFormat="1" x14ac:dyDescent="0.25"/>
    <row r="580" s="112" customFormat="1" x14ac:dyDescent="0.25"/>
    <row r="581" s="112" customFormat="1" x14ac:dyDescent="0.25"/>
    <row r="582" s="112" customFormat="1" x14ac:dyDescent="0.25"/>
    <row r="583" s="112" customFormat="1" x14ac:dyDescent="0.25"/>
    <row r="584" s="112" customFormat="1" x14ac:dyDescent="0.25"/>
    <row r="585" s="112" customFormat="1" x14ac:dyDescent="0.25"/>
    <row r="586" s="112" customFormat="1" x14ac:dyDescent="0.25"/>
    <row r="587" s="112" customFormat="1" x14ac:dyDescent="0.25"/>
    <row r="588" s="112" customFormat="1" x14ac:dyDescent="0.25"/>
    <row r="589" s="112" customFormat="1" x14ac:dyDescent="0.25"/>
    <row r="590" s="112" customFormat="1" x14ac:dyDescent="0.25"/>
    <row r="591" s="112" customFormat="1" x14ac:dyDescent="0.25"/>
    <row r="592" s="112" customFormat="1" x14ac:dyDescent="0.25"/>
    <row r="593" s="112" customFormat="1" x14ac:dyDescent="0.25"/>
    <row r="594" s="112" customFormat="1" x14ac:dyDescent="0.25"/>
    <row r="595" s="112" customFormat="1" x14ac:dyDescent="0.25"/>
    <row r="596" s="112" customFormat="1" x14ac:dyDescent="0.25"/>
    <row r="597" s="112" customFormat="1" x14ac:dyDescent="0.25"/>
    <row r="598" s="112" customFormat="1" x14ac:dyDescent="0.25"/>
    <row r="599" s="112" customFormat="1" x14ac:dyDescent="0.25"/>
    <row r="600" s="112" customFormat="1" x14ac:dyDescent="0.25"/>
    <row r="601" s="112" customFormat="1" x14ac:dyDescent="0.25"/>
    <row r="602" s="112" customFormat="1" x14ac:dyDescent="0.25"/>
    <row r="603" s="112" customFormat="1" x14ac:dyDescent="0.25"/>
    <row r="604" s="112" customFormat="1" x14ac:dyDescent="0.25"/>
    <row r="605" s="112" customFormat="1" x14ac:dyDescent="0.25"/>
    <row r="606" s="112" customFormat="1" x14ac:dyDescent="0.25"/>
    <row r="607" s="112" customFormat="1" x14ac:dyDescent="0.25"/>
    <row r="608" s="112" customFormat="1" x14ac:dyDescent="0.25"/>
    <row r="609" s="112" customFormat="1" x14ac:dyDescent="0.25"/>
    <row r="610" s="112" customFormat="1" x14ac:dyDescent="0.25"/>
    <row r="611" s="112" customFormat="1" x14ac:dyDescent="0.25"/>
    <row r="612" s="112" customFormat="1" x14ac:dyDescent="0.25"/>
    <row r="613" s="112" customFormat="1" x14ac:dyDescent="0.25"/>
    <row r="614" s="112" customFormat="1" x14ac:dyDescent="0.25"/>
    <row r="615" s="112" customFormat="1" x14ac:dyDescent="0.25"/>
    <row r="616" s="112" customFormat="1" x14ac:dyDescent="0.25"/>
    <row r="617" s="112" customFormat="1" x14ac:dyDescent="0.25"/>
    <row r="618" s="112" customFormat="1" x14ac:dyDescent="0.25"/>
    <row r="619" s="112" customFormat="1" x14ac:dyDescent="0.25"/>
    <row r="620" s="112" customFormat="1" x14ac:dyDescent="0.25"/>
    <row r="621" s="112" customFormat="1" x14ac:dyDescent="0.25"/>
    <row r="622" s="112" customFormat="1" x14ac:dyDescent="0.25"/>
    <row r="623" s="112" customFormat="1" x14ac:dyDescent="0.25"/>
    <row r="624" s="112" customFormat="1" x14ac:dyDescent="0.25"/>
    <row r="625" s="112" customFormat="1" x14ac:dyDescent="0.25"/>
    <row r="626" s="112" customFormat="1" x14ac:dyDescent="0.25"/>
    <row r="627" s="112" customFormat="1" x14ac:dyDescent="0.25"/>
    <row r="628" s="112" customFormat="1" x14ac:dyDescent="0.25"/>
    <row r="629" s="112" customFormat="1" x14ac:dyDescent="0.25"/>
    <row r="630" s="112" customFormat="1" x14ac:dyDescent="0.25"/>
    <row r="631" s="112" customFormat="1" x14ac:dyDescent="0.25"/>
    <row r="632" s="112" customFormat="1" x14ac:dyDescent="0.25"/>
    <row r="633" s="112" customFormat="1" x14ac:dyDescent="0.25"/>
    <row r="634" s="112" customFormat="1" x14ac:dyDescent="0.25"/>
    <row r="635" s="112" customFormat="1" x14ac:dyDescent="0.25"/>
    <row r="636" s="112" customFormat="1" x14ac:dyDescent="0.25"/>
    <row r="637" s="112" customFormat="1" x14ac:dyDescent="0.25"/>
    <row r="638" s="112" customFormat="1" x14ac:dyDescent="0.25"/>
    <row r="639" s="112" customFormat="1" x14ac:dyDescent="0.25"/>
    <row r="640" s="112" customFormat="1" x14ac:dyDescent="0.25"/>
    <row r="641" s="112" customFormat="1" x14ac:dyDescent="0.25"/>
    <row r="642" s="112" customFormat="1" x14ac:dyDescent="0.25"/>
    <row r="643" s="112" customFormat="1" x14ac:dyDescent="0.25"/>
    <row r="644" s="112" customFormat="1" x14ac:dyDescent="0.25"/>
    <row r="645" s="112" customFormat="1" x14ac:dyDescent="0.25"/>
    <row r="646" s="112" customFormat="1" x14ac:dyDescent="0.25"/>
    <row r="647" s="112" customFormat="1" x14ac:dyDescent="0.25"/>
    <row r="648" s="112" customFormat="1" x14ac:dyDescent="0.25"/>
    <row r="649" s="112" customFormat="1" x14ac:dyDescent="0.25"/>
    <row r="650" s="112" customFormat="1" x14ac:dyDescent="0.25"/>
    <row r="651" s="112" customFormat="1" x14ac:dyDescent="0.25"/>
    <row r="652" s="112" customFormat="1" x14ac:dyDescent="0.25"/>
    <row r="653" s="112" customFormat="1" x14ac:dyDescent="0.25"/>
    <row r="654" s="112" customFormat="1" x14ac:dyDescent="0.25"/>
    <row r="655" s="112" customFormat="1" x14ac:dyDescent="0.25"/>
    <row r="656" s="112" customFormat="1" x14ac:dyDescent="0.25"/>
    <row r="657" s="112" customFormat="1" x14ac:dyDescent="0.25"/>
    <row r="658" s="112" customFormat="1" x14ac:dyDescent="0.25"/>
    <row r="659" s="112" customFormat="1" x14ac:dyDescent="0.25"/>
    <row r="660" s="112" customFormat="1" x14ac:dyDescent="0.25"/>
    <row r="661" s="112" customFormat="1" x14ac:dyDescent="0.25"/>
    <row r="662" s="112" customFormat="1" x14ac:dyDescent="0.25"/>
    <row r="663" s="112" customFormat="1" x14ac:dyDescent="0.25"/>
    <row r="664" s="112" customFormat="1" x14ac:dyDescent="0.25"/>
    <row r="665" s="112" customFormat="1" x14ac:dyDescent="0.25"/>
    <row r="666" s="112" customFormat="1" x14ac:dyDescent="0.25"/>
    <row r="667" s="112" customFormat="1" x14ac:dyDescent="0.25"/>
    <row r="668" s="112" customFormat="1" x14ac:dyDescent="0.25"/>
    <row r="669" s="112" customFormat="1" x14ac:dyDescent="0.25"/>
    <row r="670" s="112" customFormat="1" x14ac:dyDescent="0.25"/>
    <row r="671" s="112" customFormat="1" x14ac:dyDescent="0.25"/>
    <row r="672" s="112" customFormat="1" x14ac:dyDescent="0.25"/>
    <row r="673" s="112" customFormat="1" x14ac:dyDescent="0.25"/>
    <row r="674" s="112" customFormat="1" x14ac:dyDescent="0.25"/>
    <row r="675" s="112" customFormat="1" x14ac:dyDescent="0.25"/>
    <row r="676" s="112" customFormat="1" x14ac:dyDescent="0.25"/>
    <row r="677" s="112" customFormat="1" x14ac:dyDescent="0.25"/>
    <row r="678" s="112" customFormat="1" x14ac:dyDescent="0.25"/>
    <row r="679" s="112" customFormat="1" x14ac:dyDescent="0.25"/>
    <row r="680" s="112" customFormat="1" x14ac:dyDescent="0.25"/>
    <row r="681" s="112" customFormat="1" x14ac:dyDescent="0.25"/>
  </sheetData>
  <mergeCells count="36">
    <mergeCell ref="C226:D226"/>
    <mergeCell ref="B289:J289"/>
    <mergeCell ref="C23:E23"/>
    <mergeCell ref="C24:E25"/>
    <mergeCell ref="F24:F25"/>
    <mergeCell ref="G24:G35"/>
    <mergeCell ref="C166:F166"/>
    <mergeCell ref="C103:F103"/>
    <mergeCell ref="C41:E41"/>
    <mergeCell ref="F10:F11"/>
    <mergeCell ref="C15:E16"/>
    <mergeCell ref="F15:F16"/>
    <mergeCell ref="G15:G16"/>
    <mergeCell ref="C17:E17"/>
    <mergeCell ref="G17:G23"/>
    <mergeCell ref="C18:E18"/>
    <mergeCell ref="C19:E19"/>
    <mergeCell ref="C20:E20"/>
    <mergeCell ref="C21:E21"/>
    <mergeCell ref="C22:E22"/>
    <mergeCell ref="C3:G3"/>
    <mergeCell ref="C37:E38"/>
    <mergeCell ref="C347:G348"/>
    <mergeCell ref="D10:E10"/>
    <mergeCell ref="G5:G9"/>
    <mergeCell ref="C7:D7"/>
    <mergeCell ref="C8:D8"/>
    <mergeCell ref="G10:G14"/>
    <mergeCell ref="C11:E11"/>
    <mergeCell ref="C14:D14"/>
    <mergeCell ref="C5:E6"/>
    <mergeCell ref="F5:F9"/>
    <mergeCell ref="C9:D9"/>
    <mergeCell ref="D12:E12"/>
    <mergeCell ref="F12:F13"/>
    <mergeCell ref="C13:E13"/>
  </mergeCells>
  <conditionalFormatting sqref="L6">
    <cfRule type="containsText" dxfId="1" priority="3" operator="containsText" text="Oui">
      <formula>NOT(ISERROR(SEARCH("Oui",L6)))</formula>
    </cfRule>
    <cfRule type="containsText" dxfId="0" priority="4" operator="containsText" text="Non">
      <formula>NOT(ISERROR(SEARCH("Non",L6)))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5" r:id="rId4" name="Button 9">
              <controlPr defaultSize="0" print="0" autoFill="0" autoPict="0" macro="[0]!CopieTableauxJEI_Evoluee">
                <anchor moveWithCells="1" sizeWithCells="1">
                  <from>
                    <xdr:col>2</xdr:col>
                    <xdr:colOff>971550</xdr:colOff>
                    <xdr:row>0</xdr:row>
                    <xdr:rowOff>152400</xdr:rowOff>
                  </from>
                  <to>
                    <xdr:col>2</xdr:col>
                    <xdr:colOff>3838575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B9F5791-AF5E-4B51-B0E8-B9F9128FECCB}">
          <x14:formula1>
            <xm:f>parametrage!$E$2:$E$3</xm:f>
          </x14:formula1>
          <xm:sqref>F18:F23 F27:F29 F31:F32 F34:F35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35B38175-3FF6-43C3-A482-47912CABD32F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31</vt:i4>
      </vt:variant>
    </vt:vector>
  </HeadingPairs>
  <TitlesOfParts>
    <vt:vector size="31" baseType="lpstr">
      <vt:lpstr>suivi évolution</vt:lpstr>
      <vt:lpstr>parametrage</vt:lpstr>
      <vt:lpstr>2069 A</vt:lpstr>
      <vt:lpstr>2069-A2-SD</vt:lpstr>
      <vt:lpstr>parametres chiffrage</vt:lpstr>
      <vt:lpstr>Verif VS 24</vt:lpstr>
      <vt:lpstr>SYNTHESE</vt:lpstr>
      <vt:lpstr>SYNTHESE final</vt:lpstr>
      <vt:lpstr>SYNTHESE_TS</vt:lpstr>
      <vt:lpstr>REP cout</vt:lpstr>
      <vt:lpstr>REP_cout_TS</vt:lpstr>
      <vt:lpstr>AMO_TS</vt:lpstr>
      <vt:lpstr>VALO_AMO</vt:lpstr>
      <vt:lpstr>Fiche pour valo</vt:lpstr>
      <vt:lpstr>HRECH</vt:lpstr>
      <vt:lpstr>VALO_PERSO</vt:lpstr>
      <vt:lpstr>PERSO_TS</vt:lpstr>
      <vt:lpstr>HTRAV 2023</vt:lpstr>
      <vt:lpstr>Calcul FF</vt:lpstr>
      <vt:lpstr>VALO_BREVET</vt:lpstr>
      <vt:lpstr>BREVET_TS</vt:lpstr>
      <vt:lpstr>VALO_ST</vt:lpstr>
      <vt:lpstr>Sous-traitance_TS</vt:lpstr>
      <vt:lpstr>VALO-autres dépenses CIR</vt:lpstr>
      <vt:lpstr>VEILLE_TS</vt:lpstr>
      <vt:lpstr>VALO_SUBV</vt:lpstr>
      <vt:lpstr>PPT</vt:lpstr>
      <vt:lpstr>check list</vt:lpstr>
      <vt:lpstr>Amélioration Matrice</vt:lpstr>
      <vt:lpstr>JEI</vt:lpstr>
      <vt:lpstr>JEI Jules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Axel Lopez</dc:creator>
  <cp:keywords/>
  <dc:description/>
  <cp:lastModifiedBy>Aglaé SAUDRAIS</cp:lastModifiedBy>
  <cp:revision/>
  <dcterms:created xsi:type="dcterms:W3CDTF">2024-05-22T04:29:16Z</dcterms:created>
  <dcterms:modified xsi:type="dcterms:W3CDTF">2026-02-20T16:47:55Z</dcterms:modified>
  <cp:category/>
  <cp:contentStatus/>
</cp:coreProperties>
</file>